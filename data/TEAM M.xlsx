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S" sheetId="1" r:id="rId4"/>
    <sheet state="visible" name="ABS - Delay qsn" sheetId="2" r:id="rId5"/>
    <sheet state="hidden" name="GRA Delays" sheetId="3" r:id="rId6"/>
    <sheet state="hidden" name="GRA" sheetId="4" r:id="rId7"/>
    <sheet state="hidden" name="Beck CPA -Bookkeeping" sheetId="5" r:id="rId8"/>
    <sheet state="hidden" name="Beck CPA - Delay Questions" sheetId="6" r:id="rId9"/>
  </sheets>
  <definedNames>
    <definedName hidden="1" localSheetId="1" name="_xlnm._FilterDatabase">'ABS - Delay qsn'!$A$1:$AA$301</definedName>
  </definedNames>
  <calcPr/>
  <extLst>
    <ext uri="GoogleSheetsCustomDataVersion2">
      <go:sheetsCustomData xmlns:go="http://customooxmlschemas.google.com/" r:id="rId10" roundtripDataChecksum="b+hCeirVHfLi41+oUxgDxQjF875LEED5IqsTr9ZtyhQ="/>
    </ext>
  </extLst>
</workbook>
</file>

<file path=xl/sharedStrings.xml><?xml version="1.0" encoding="utf-8"?>
<sst xmlns="http://schemas.openxmlformats.org/spreadsheetml/2006/main" count="8877" uniqueCount="2621">
  <si>
    <t/>
  </si>
  <si>
    <t>Committed Hours</t>
  </si>
  <si>
    <t>Booked Hours</t>
  </si>
  <si>
    <t>Review</t>
  </si>
  <si>
    <t>EOD Workflow</t>
  </si>
  <si>
    <t>Practice Protect</t>
  </si>
  <si>
    <t>Email, Messangers, &amp; Communications</t>
  </si>
  <si>
    <t>Whale</t>
  </si>
  <si>
    <t>Timesheets</t>
  </si>
  <si>
    <t>Staff Coverage</t>
  </si>
  <si>
    <t>BOD Status</t>
  </si>
  <si>
    <t>EOD Status</t>
  </si>
  <si>
    <t>EOD Status details</t>
  </si>
  <si>
    <t>EOD Query Details</t>
  </si>
  <si>
    <t>Key Points/Notes</t>
  </si>
  <si>
    <t>0/0/00</t>
  </si>
  <si>
    <t>AMA, TL by Vendor, Liability Acct (i.e payroll, sales tax, LOC, clearing acct) &amp; Fin Statements</t>
  </si>
  <si>
    <t>Define any changes in workflow</t>
  </si>
  <si>
    <t>Logins opened through PP on Coaxis (exception Timesheets)</t>
  </si>
  <si>
    <t>Review &amp; respond. Assign projects based on comm received.</t>
  </si>
  <si>
    <t>Review daily &amp; make updates as needed. All new SOPs to be confirmed by TL before preparer begins work. Cross train team members on workflows &amp; new SOPs.</t>
  </si>
  <si>
    <t>Ensure correct account codes aare noted and 8 hours were booked. Review allocated hours for client &amp; notify of target date if target hours have been reach to client.</t>
  </si>
  <si>
    <t>Contact manager for coverage resource help when a team member is on PTO</t>
  </si>
  <si>
    <t>Who is assigned to what project</t>
  </si>
  <si>
    <t>Highlight problems, delays, &amp; SOP changes. @ Operation Leaders to have them notified</t>
  </si>
  <si>
    <t>Not Applicable</t>
  </si>
  <si>
    <t>Completed</t>
  </si>
  <si>
    <t>CL/PR Reviewed</t>
  </si>
  <si>
    <t>Monthly - 6 Files
Est. 4Hrs
Jeevitha will work on monthly tasks.</t>
  </si>
  <si>
    <t xml:space="preserve">Completed </t>
  </si>
  <si>
    <t>Completed, Booked -1.23hrs</t>
  </si>
  <si>
    <t xml:space="preserve">Waiting for statements and deposit slips, </t>
  </si>
  <si>
    <t>Monthly - 5 Files
Est. 3Hrs
Jeevitha will work on monthly tasks.</t>
  </si>
  <si>
    <t>Completed, Booked -3.16</t>
  </si>
  <si>
    <t>ABS - Monthly File - 6 file
Estimated hour - 4hr</t>
  </si>
  <si>
    <t>Completed,</t>
  </si>
  <si>
    <t>Monthly - 6 Files
Est. 2hrs
Jeevitha will work on monthly tasks</t>
  </si>
  <si>
    <t>Monthly - 6 Files
Est. 3hrs
Jeevitha will work on monthly tasks</t>
  </si>
  <si>
    <t>Completed,Booked -1.10</t>
  </si>
  <si>
    <t>Monthly - 5 Files
Est. 3hrs
Kanimozhi will work on monthly tasks</t>
  </si>
  <si>
    <t>In Progress</t>
  </si>
  <si>
    <t>in progress, Booked -0.56</t>
  </si>
  <si>
    <t>Monthly - 5 Files
Est. 3hrs
Jeevitha will work on monthly tasks</t>
  </si>
  <si>
    <t>Completed,Booked -0.72</t>
  </si>
  <si>
    <t>Monthly - 5 Files
Est. 2hrs
Kanimozhi will work on monthly tasks</t>
  </si>
  <si>
    <t>Completed , Booked -0.72</t>
  </si>
  <si>
    <t>Completed, Booked -3.76</t>
  </si>
  <si>
    <t>Completed, Booked -0.85</t>
  </si>
  <si>
    <t>Monthly - 5 Files
Est. 2hrs
Jeevitha will work on monthly tasks</t>
  </si>
  <si>
    <t>Completed, Booked -2.16</t>
  </si>
  <si>
    <t>Completed, Booked -1.59</t>
  </si>
  <si>
    <t>Monthly - 5 Files
Est. 4hrs
Jeevitha will work on monthly tasks</t>
  </si>
  <si>
    <t>Completed, Booked -2hr</t>
  </si>
  <si>
    <t>Completed, Booked -2.37</t>
  </si>
  <si>
    <t>Monthly File -5
Est hrs - 3
Jeevitha will work on monthly tasks</t>
  </si>
  <si>
    <t>Completed, Booked - .86</t>
  </si>
  <si>
    <t>Monthly File -5
Est hrs - 2
Jeevitha will work on monthly tasks</t>
  </si>
  <si>
    <t>Completed, Booked -3.46</t>
  </si>
  <si>
    <t>"Monthly File -5
Est hrs - 3
Jeevitha will work on monthly tasks"</t>
  </si>
  <si>
    <t>Completed,Booked - 0.80</t>
  </si>
  <si>
    <t>Posted query</t>
  </si>
  <si>
    <t>"Monthly File -6
Est hrs - 2
Jeevitha will work on monthly tasks"</t>
  </si>
  <si>
    <t>Completed, Booked -1.01</t>
  </si>
  <si>
    <t>Monthly File - 5
Est hrs - 5
Jeevitha will work on monthly tasks</t>
  </si>
  <si>
    <t>Inprogress, Booked -3.10</t>
  </si>
  <si>
    <t>Monthly File - 7
Est hrs - 4
Jeevitha will work on monthly tasks</t>
  </si>
  <si>
    <t>Inprogress, Booked -.97</t>
  </si>
  <si>
    <t>Monthly File - 6
Est hrs - 4
Kanimozhi will work on monthly tasks</t>
  </si>
  <si>
    <t>Completed, Booked -.0.48hrs</t>
  </si>
  <si>
    <t xml:space="preserve">Swetha is on PTO. Hence, Evangelin updated the daily satus, </t>
  </si>
  <si>
    <t xml:space="preserve">Monthly files - 6 files  
Review - 1
Est - 4hrs
Jeevitha will work on monthly tasks. </t>
  </si>
  <si>
    <t>Inprogress, booked - 1.57hrs</t>
  </si>
  <si>
    <t>Monthly files - 5 files
Est - 2hrs
Jeevitha will work on monthly tasks</t>
  </si>
  <si>
    <t>completed Booked -2.8hrs</t>
  </si>
  <si>
    <t>Monthly files - 6 files
Est - 3hrs
Jeevitha will work on monthly tasks</t>
  </si>
  <si>
    <t>Completed, Booked - 2.5</t>
  </si>
  <si>
    <t>Completed, booked -1.49</t>
  </si>
  <si>
    <t>Completed, Booked -2.70</t>
  </si>
  <si>
    <t>Completed, Booked -3.73</t>
  </si>
  <si>
    <t>Monthly files - 5 files
Est - 4hrs
swetha will work on monthly tasks</t>
  </si>
  <si>
    <t>In process, Booked -1hr</t>
  </si>
  <si>
    <t>Monthly files - 5 files
Est - 3hrs
Jeevitha will work on monthly files</t>
  </si>
  <si>
    <t>Completed, Booked -2.80</t>
  </si>
  <si>
    <t>Monthly files - 6 files
Est - 3hrs
Jeevitha will work on monthly files</t>
  </si>
  <si>
    <t>Completed, Booked - 2.41</t>
  </si>
  <si>
    <t>Monthly files - 4 files (3 inprogress) (1 file Query)
Daily - 6 files 
Est - 3hrs
Jeevitha will work on monthly files</t>
  </si>
  <si>
    <t xml:space="preserve">
Daily - Completed, Booked -4hrs</t>
  </si>
  <si>
    <t xml:space="preserve">Monthly files - 2files (2 files Query)
Daily task - 5 files
Est - 3hrs
Jeevitha will work on monthly &amp; daily </t>
  </si>
  <si>
    <t>Completed, Booked - 2hrs</t>
  </si>
  <si>
    <t xml:space="preserve">Monthly files - 2files (2 files Query)
Daily task - 6 files
Est - 5hrs
Jeevitha will work on monthly &amp; daily </t>
  </si>
  <si>
    <t>Monhtly Inprocess
Daily - Completed Booked -2.30hrs</t>
  </si>
  <si>
    <t xml:space="preserve">Monthly files - 2files (2 files Query)
Daily task - 6 files
Est - 6hrs
Jeevitha will work on monthly &amp; daily </t>
  </si>
  <si>
    <t xml:space="preserve">Monthly Inprocess
Daily - Completed, Booked -3hrs </t>
  </si>
  <si>
    <t xml:space="preserve">Monthly files - 2files (2 files Query)
Daily task - 6 files
Est - 5 hrs
Jeevitha will work on monthly &amp; daily </t>
  </si>
  <si>
    <t>Monthly Inprocess
Daily - Completed
Booked -3.79 hrs</t>
  </si>
  <si>
    <t>Monthly files - 2files (2 files Query)
Daily task - 6 files
Est - 5 hrs
Jeevitha will work on monthly &amp; daily. Swetha will review the files.</t>
  </si>
  <si>
    <t>Completed, Booked -5hrs</t>
  </si>
  <si>
    <t xml:space="preserve">As brought up in the past please do not post questions in Slack and in Keeper -Rebecca 
</t>
  </si>
  <si>
    <t xml:space="preserve">We primarily use Keeper for task-related questions, and if we don’t receive a response within 3-4 days, we follow up in Slack. Moving forward, we will handle follow-ups as well through Keeper. Hope this works for you - Reply to rebecca </t>
  </si>
  <si>
    <r>
      <rPr>
        <rFont val="Arial"/>
        <color rgb="FFFF0000"/>
      </rPr>
      <t>Monthly files - 6files</t>
    </r>
    <r>
      <rPr>
        <rFont val="Arial"/>
        <color theme="1"/>
      </rPr>
      <t xml:space="preserve"> (2 files Query) </t>
    </r>
    <r>
      <rPr>
        <rFont val="Arial"/>
        <color rgb="FFFF0000"/>
      </rPr>
      <t>Priority</t>
    </r>
    <r>
      <rPr>
        <rFont val="Arial"/>
        <color theme="1"/>
      </rPr>
      <t xml:space="preserve">
Daily task - 6 files
Est - 8 hrs
Jeevitha will work on monthly &amp; daily. Swetha will review the files.</t>
    </r>
  </si>
  <si>
    <t>Daily - Completed Booked - 4.93</t>
  </si>
  <si>
    <t>Monthly files - 6files (2 files Query)
Daily task - 6 files
Est - 5hrs
Jeevitha will work on monthly &amp; daily. Swetha will review the files.</t>
  </si>
  <si>
    <t>Daily - Completed Booked - 1.19</t>
  </si>
  <si>
    <t>Monthly files - 6files (4 files Query)
Daily task - 6 files
Est - 4hrs
Jeevitha will work on monthly &amp; daily. Swetha will review the files.</t>
  </si>
  <si>
    <t>Daily - completed Booked - 1.13</t>
  </si>
  <si>
    <t>Monthly files - 6files (4 files Query)
Daily task - 6 files
Est - 7hrs
Jeevitha will work on monthly &amp; daily. Swetha will review the files.</t>
  </si>
  <si>
    <t>Completed
Booked - 9.02</t>
  </si>
  <si>
    <t>Monthly files - 6files (4 files Query)
Daily task - 6 files
Est - 7hrs
Jeevitha and Methab will work on monthly &amp; daily. Swetha will review the files.</t>
  </si>
  <si>
    <t>Completed Booked - 7.21</t>
  </si>
  <si>
    <t>Completed Booked - 1.92</t>
  </si>
  <si>
    <t xml:space="preserve">Monthly files - 6files (4 files Query)
Daily task - 6 files
Est - 4hrs
Jeevitha will work on monthly &amp; daily. </t>
  </si>
  <si>
    <t>Completed Booked - 0.57</t>
  </si>
  <si>
    <t xml:space="preserve">Swetha is on PTO. Hence, Hema updated the status
</t>
  </si>
  <si>
    <t>Completed Booked - 4.41</t>
  </si>
  <si>
    <t xml:space="preserve">Whomever is working on the account is wasting my time and money, and it's beyond frustrating. Despite numerous reminders to check the payroll files in Dropbox—and even sending the file myself to show that the backup is there—I’m still receiving questions like this on today:
'We have coded the reimbursement to Chris as "Office Supplies" based on the attached backup for $45.75. However, the total reimbursement includes a $6.70 difference for which we don't have backup documentation, so we've coded that difference to "Office Supplies." Please confirm.'
This string of unnecessary questions is wasting far too much time. I really need you, as the manager, to step in and resolve this ongoing issue.
No, the $6.70 should not be coded to 'Office Supplies.' The backup documentation is in the file, as I’ve mentioned multiple times. The spreadsheets for that pay period should have everything, including the backup, 99.9% of the time. Please review the payroll file and tabs in the workbook carefully to find Chris's reimbursement and address this properly.
</t>
  </si>
  <si>
    <t>Completed Booked - 4.78</t>
  </si>
  <si>
    <r>
      <rPr>
        <rFont val="Arial"/>
        <color theme="1"/>
      </rPr>
      <t xml:space="preserve">Monthly files - 6 files (3 files Query)
Daily task - 6 files
</t>
    </r>
    <r>
      <rPr>
        <rFont val="Arial"/>
        <b/>
        <color rgb="FFFF0000"/>
      </rPr>
      <t>Review - 1 East west - Priority</t>
    </r>
    <r>
      <rPr>
        <rFont val="Arial"/>
        <color theme="1"/>
      </rPr>
      <t xml:space="preserve">
Est - 6hrs
Jeevitha will work on monthly &amp; daily. </t>
    </r>
  </si>
  <si>
    <t>Completed, Booked - 3.62</t>
  </si>
  <si>
    <t xml:space="preserve">Monthly files - 6 files (3 files Query)
Daily task - 6 files
Est - 3hrs
Jeevitha will work on monthly &amp; daily. </t>
  </si>
  <si>
    <t>Completed, Booked - 5.08</t>
  </si>
  <si>
    <t>Daily - 5
Monthly file -5
Review -1
Est. 3hrs
Swetha will work on daily, monthly &amp; review.</t>
  </si>
  <si>
    <t>Completed, Booked - 1.89</t>
  </si>
  <si>
    <t>Daily - 5
Monthly file -5
Est. 7hrs
Jeevitha will work on monthly &amp; daily.  Mehtab  will be working on monthly</t>
  </si>
  <si>
    <t>Completed, Booked - 6.71</t>
  </si>
  <si>
    <t xml:space="preserve">Monthly file -5
Est. 4hrs
Evangelin will work on monthly </t>
  </si>
  <si>
    <t>Booked - 2.36</t>
  </si>
  <si>
    <t>Awaiting Response</t>
  </si>
  <si>
    <t>Booked - 1.14</t>
  </si>
  <si>
    <t xml:space="preserve">Daily Tasks  -4
Est. - 3 hrs
Evangelin will work on monthly </t>
  </si>
  <si>
    <t>Booked - 2.39</t>
  </si>
  <si>
    <t xml:space="preserve">Daily - 3
Est - 2.30hrs
Evangelin will work on monthly </t>
  </si>
  <si>
    <t>Completed, Booked - 1.87</t>
  </si>
  <si>
    <t>Daily - 5
Est - 4.30 hrs
Evangelin will work on daily task</t>
  </si>
  <si>
    <t>Booked - 2.21</t>
  </si>
  <si>
    <t>Daily - 3
Est - 2.30 hrs
Evangelin will work on daily task</t>
  </si>
  <si>
    <t>All completed Booked - 3.47</t>
  </si>
  <si>
    <t>Daily - 4
Review - 1
Est - 3 hrs
Evangelin will work on daily task and review</t>
  </si>
  <si>
    <t>All completed Booked - 2.69</t>
  </si>
  <si>
    <t>Daily - 3 , Review - 2
Est - 4 hrs
Evangelin will work on daily task. Swetha will review the file.</t>
  </si>
  <si>
    <t xml:space="preserve">All completed Booked - 3.26 </t>
  </si>
  <si>
    <t xml:space="preserve">Daily - 3 , 
Est - 3.30 hrs
Evangelin will work on daily task. </t>
  </si>
  <si>
    <t>Completed , Booked -3.53</t>
  </si>
  <si>
    <t xml:space="preserve">Daily - 3 , 
Est - 3 hrs
Evangelin will work on daily task. </t>
  </si>
  <si>
    <t>Completed, Booked - 1.88</t>
  </si>
  <si>
    <t>Temp. Hold</t>
  </si>
  <si>
    <t>please halt all work for ABS till I hear from Rebecca. Thank you - Message from Penny</t>
  </si>
  <si>
    <t xml:space="preserve">Monthly - 6 , 
Est - 5.30 hrs
Evangelin will work on monthly. </t>
  </si>
  <si>
    <t>In Process, Booked - 4.95</t>
  </si>
  <si>
    <t>ABS is good to go on work - Message from Penny</t>
  </si>
  <si>
    <t xml:space="preserve">Daily - 5
Monthly - 1  , 
Est - 1 hrs
Evangelin will work on monthly. </t>
  </si>
  <si>
    <t>Inprocess, Booked - 0.67</t>
  </si>
  <si>
    <t xml:space="preserve">Daily - 5
Monthly -1
Est -3 hrs
Evangelin will work on monthly. </t>
  </si>
  <si>
    <t>Daily - completed
Monthly - Inprogress 
Booked - 1.46</t>
  </si>
  <si>
    <t xml:space="preserve">Daily - 5
Monthly -1
Est - 2hrs
Evangelin will work on monthly. </t>
  </si>
  <si>
    <t>Completed , Booked -2.19</t>
  </si>
  <si>
    <t>Updates Made</t>
  </si>
  <si>
    <t xml:space="preserve">Daily - 3
Est - 3.30hrs
Evangelin will work on monthly. </t>
  </si>
  <si>
    <t>Completed , Booked -1.74</t>
  </si>
  <si>
    <t>Daily - 6
Monthly - 5 (Posted query - Waiting for deposits slips &amp; stmts)
Review - 1
Est - 2 hrs
Swetha will work on monthly.</t>
  </si>
  <si>
    <t>Daily - 5 Completed, 1 processing 
Monthly - 5 (Posted query - Waiting for deposits slips &amp; stmts)
Review - 1 completed 
Booked - 1.06</t>
  </si>
  <si>
    <t>Daily - 4
Monthly - 5 (Posted query - Waiting for deposits slips &amp; stmts)
Est - 5hrs
Evangelin will work on monthly &amp; daily.</t>
  </si>
  <si>
    <t>Daily - 4 Completed, 1 processing 
Monthly - 4 (Posted query - Waiting for deposits slips &amp; stmts)
Review - 1 completed 
Booked - 5.90</t>
  </si>
  <si>
    <t>Daily - 8
Monthly - 1 (Posted query - Waiting for deposits slips &amp; stmts)
Monthly - 3
Est - 4.30hrs
Evangelin will work on monthly &amp; daily.</t>
  </si>
  <si>
    <t>Daily - 8 -completed
Monthly - 1 (Posted query - Waiting for deposits slips)
Monthly - 3 Inprocess
Booked - 4.36</t>
  </si>
  <si>
    <t>Swetha is on PTO. Hence, Hema updated the status</t>
  </si>
  <si>
    <t>Daily - 8
Monthly - 1 (Posted query - Waiting for deposits slips)
Review - 1
Est - 3.30hrs
Evangelin will work on review &amp; daily.</t>
  </si>
  <si>
    <t>Daily - 8 - Completed
Review - 1 - Completed
Booked - 3.18</t>
  </si>
  <si>
    <t>Daily - 8
Monthly - 1 (Posted query - Waiting for deposits slips)
Est - 2hrs
Evangelin will work on   daily.</t>
  </si>
  <si>
    <t xml:space="preserve">Daily - 8 -Completed
Booked -2.01hrs
</t>
  </si>
  <si>
    <t>Swetha is on PTO. Hence, Evangelin updated the status</t>
  </si>
  <si>
    <t>Daily - 7
Monthly - 1 (Posted query )
Est - 1hr
Evangelin will work on   daily.</t>
  </si>
  <si>
    <t xml:space="preserve">Daily - Completed
Booked - 0.71
</t>
  </si>
  <si>
    <t>Daily - 8
Monthly - 1 (Posted query )
Est - 1 hr 
Evangelin will work on   daily.</t>
  </si>
  <si>
    <t>Daily - 9
Monthly - 1 (Posted query )
Review - 2
Est - 1 hr 
Evangelin  will work on  daily. Swetha will review the files</t>
  </si>
  <si>
    <t xml:space="preserve">Daily, review - Completed
Booked -  0.88
</t>
  </si>
  <si>
    <t>Daily Task - 9
Total monthly -  6
In Process - 5
Posted query - 1 
Est - 4 hrs
Evangelin will work on monthly &amp; daily.</t>
  </si>
  <si>
    <t>DAILY - COMPLETED
MONTHLY - POSTED  QUERY REQ. STATEMENTS AND DEPOSIT SLIP , Booked -4.18</t>
  </si>
  <si>
    <t>Daily Task - 8
Total monthly -  Posted query - 6 
1099 - 5
1099 In process - 4 ; 
Posted query - 1 
Est - 2.30 hrs
Evangelin will work on monthly &amp; daily.</t>
  </si>
  <si>
    <t>Daily Task,1099 - Completed
Total monthly -  Posted query - 6 
Booked -1.81</t>
  </si>
  <si>
    <t>it is not necessary to ask this question unless it is after the 8th. It wastes time on both sides. As a reminder the bank provides this after month end and it doesn’t come in until 3-8 days afterwards.</t>
  </si>
  <si>
    <t>As per your earlier instructions, deposits are to be reconciled by the 5th of each month for all files. To meet this timeline, we had requested deposit slips to be provided by the 5th. However, based on this message, it seems we need to wait until the 8th. Could you kindly clarify the updated timeline for requesting deposit slips? Your confirmation on this would be greatly appreciated.</t>
  </si>
  <si>
    <t>Daily Task - 7
Total monthly -  Posted query - 6  
Est - 2. hrs
Evangelin will work on daily.</t>
  </si>
  <si>
    <t>Booked -1.72
Daily - compeleted</t>
  </si>
  <si>
    <t>Daily Task - 8
Total monthly -  Posted query - 6  
Est - 2.30hrs
Evangelin will work on daily.</t>
  </si>
  <si>
    <t>Booked -1.31 completed</t>
  </si>
  <si>
    <t>Daily Task - 10
Total monthly -  Posted query - 6  
Est - 3hrs
Evangelin will work on daily.</t>
  </si>
  <si>
    <t>Daily completed, Booked -1.66</t>
  </si>
  <si>
    <t>Daily Task - 10
Total monthly -  Posted query - 5 
Review - 1 
Est - 2hrs
Evangelin will work on daily.</t>
  </si>
  <si>
    <t>Daily completed, Booked -2.19</t>
  </si>
  <si>
    <t xml:space="preserve">Daily Task - 11
Total monthly -  Posted query - 5 
Review - 1 
Est - 4hrs
Evangelin will work on daily. Swetha will review the file. </t>
  </si>
  <si>
    <t xml:space="preserve">Booked -3.29. Daily &amp; Review Completed and Monthly files -Posed query </t>
  </si>
  <si>
    <t xml:space="preserve">Daily Task - 8
Total monthly -  Posted query - 5 
Review - 1 
Est - 3.30hrs
Evangelin will work on daily. Swetha will review the file. </t>
  </si>
  <si>
    <t xml:space="preserve">Booked - 1.63 Daily Completed and Monthly files - Posed query </t>
  </si>
  <si>
    <t xml:space="preserve">Daily Task - 10
Total monthly -  Posted query - 5 
Est - 1hr
Evangelin will work on daily. . </t>
  </si>
  <si>
    <t xml:space="preserve">Booked -  0.89 Daily Completed and Monthly files - Posed query </t>
  </si>
  <si>
    <t>Hema updated the status, since Swetha is on PTO</t>
  </si>
  <si>
    <t xml:space="preserve">Daily Task - 10
Total monthly - 5
Posted query - 5
Est - 2hrs
Evangelin will work on daily. </t>
  </si>
  <si>
    <t xml:space="preserve">Daily Task - 10 - completed
Posted query - 5
Booked - 1.28hrs
 </t>
  </si>
  <si>
    <t xml:space="preserve">Daily Task - 9
Total monthly - 5
In progress - 3
Posted query - 2
Est - 4hrs
Evangelin will work on daily. </t>
  </si>
  <si>
    <t>Daily task, - Compleetd
Posted query - 5 (Waiting for statements and deposit slips
Booked -3.70hrs</t>
  </si>
  <si>
    <t xml:space="preserve">Daily Task - 8
Total monthly - 5
In progress - 1
Review - 1
Posted query - 4
Est - 4hrs
Evangelin will work on daily and review. </t>
  </si>
  <si>
    <t xml:space="preserve">Booked -3.9 - Completed daily and posted query - monthly </t>
  </si>
  <si>
    <t xml:space="preserve">Daily Task - 8
Total monthly - 4
Review - 2
Posted query - 4
Est - 2hrs
Evangelin will work on daily and Swetha will review the files. </t>
  </si>
  <si>
    <t>Daily completed , monthly posted query , Booked -1.30</t>
  </si>
  <si>
    <t xml:space="preserve">Daily Task - 9
Total monthly - 4
Posted query - 4
Est - 1hrs
Evangelin will work on daily  </t>
  </si>
  <si>
    <t>Booked - 0.77 completed</t>
  </si>
  <si>
    <t xml:space="preserve">Daily Task - 9
Total monthly - 4
Posted query - 4
Est - 1hr
Evangelin will work on daily  </t>
  </si>
  <si>
    <t>Booked -0.94 .Daily completed
Posted qury and waiting for deposit slip.</t>
  </si>
  <si>
    <t>Monthly - 4 (Posted query)</t>
  </si>
  <si>
    <t>We are unable to upload our weekly timesheet to the Dropbox folder as it displays the message, "Your Dropbox is full." - S&amp;N Team</t>
  </si>
  <si>
    <t xml:space="preserve">Daily Task - 10
Total Monthly Files - 6
Posted query - 4
Completed - 2
Est - 3hrs
Evangelin will work on daily  </t>
  </si>
  <si>
    <t>Booked -2.22. Daily task - completed</t>
  </si>
  <si>
    <t>I would suggest emailing it - Rebecca</t>
  </si>
  <si>
    <t xml:space="preserve">Daily Task - 8
Total Monthly Files - 6
Posted query - 4
Completed - 2
Est - 1hrs
Evangelin will work on daily  </t>
  </si>
  <si>
    <t>Booked -.0.89 Daily task - completed</t>
  </si>
  <si>
    <t xml:space="preserve">Daily Task - 9
Total Monthly Files - 6
Posted query - 2
Review - 2
Completed - 2
Est - 4hrs
Evangelin will work on daily  </t>
  </si>
  <si>
    <t>Completed daily and review , Booked -4.36</t>
  </si>
  <si>
    <r>
      <rPr>
        <rFont val="Arial"/>
        <color theme="1"/>
      </rPr>
      <t xml:space="preserve">The Client has shared a few documents via Keeper (Client Portal). However, we are unable to upload them to the Dropbox folder as it displays the message, "Your Dropbox is full." Could you please check and advise. As of now we have not resolved them in keeper - </t>
    </r>
    <r>
      <rPr>
        <rFont val="Arial"/>
        <b/>
        <color theme="1"/>
      </rPr>
      <t>S&amp; N Team</t>
    </r>
  </si>
  <si>
    <t xml:space="preserve">Daily Task - 9
Total Monthly Files - 6
Posted query - 2
Review - 2
Completed - 2
Est - 1hr
Evangelin will work on daily  </t>
  </si>
  <si>
    <t>Completed daily , Booked -0.77</t>
  </si>
  <si>
    <r>
      <rPr>
        <rFont val="Arial"/>
        <b/>
        <color rgb="FF0000FF"/>
      </rPr>
      <t>Total Monthly Files - 6
Cleanup - 1 (CC task)</t>
    </r>
    <r>
      <rPr>
        <rFont val="Arial"/>
        <color theme="1"/>
      </rPr>
      <t xml:space="preserve">
Posted query - 2
Review - 0
Completed - 4
</t>
    </r>
    <r>
      <rPr>
        <rFont val="Arial"/>
        <b/>
        <color rgb="FF0000FF"/>
      </rPr>
      <t>Daily Task - 8 (Accepting and review of client response in keeper)</t>
    </r>
    <r>
      <rPr>
        <rFont val="Arial"/>
        <color theme="1"/>
      </rPr>
      <t xml:space="preserve">
Est - 4.30hrs
Evangelin will work on daily Aprana will work on cleanup CC</t>
    </r>
  </si>
  <si>
    <t>Daily and cleanup  -  completed
Inprogress -1 
Booked -4 hrs</t>
  </si>
  <si>
    <r>
      <rPr>
        <rFont val="Arial"/>
        <b/>
        <color rgb="FF0000FF"/>
      </rPr>
      <t xml:space="preserve">Total Monthly Files - 6
</t>
    </r>
    <r>
      <rPr>
        <rFont val="Arial"/>
        <color theme="1"/>
      </rPr>
      <t xml:space="preserve">Posted query - 6
Review - 0
Completed - 0
</t>
    </r>
    <r>
      <rPr>
        <rFont val="Arial"/>
        <b/>
        <color rgb="FF0000FF"/>
      </rPr>
      <t xml:space="preserve">Daily Task - 12 </t>
    </r>
    <r>
      <rPr>
        <rFont val="Arial"/>
        <color theme="1"/>
      </rPr>
      <t xml:space="preserve">( Evangelin)
Est - 1hrs
</t>
    </r>
  </si>
  <si>
    <t>Completed - daily - 9
Inprogress- 3, booked -1.03</t>
  </si>
  <si>
    <t>The Client has shared a few documents via Keeper (Client Portal). However, we are unable to upload them to the Dropbox folder as it displays the message, "Your Dropbox is full."</t>
  </si>
  <si>
    <r>
      <rPr>
        <rFont val="Arial"/>
        <b/>
        <color rgb="FF0000FF"/>
      </rPr>
      <t xml:space="preserve">Total Monthly Files - 6
</t>
    </r>
    <r>
      <rPr>
        <rFont val="Arial"/>
        <color theme="1"/>
      </rPr>
      <t xml:space="preserve">Posted query - 6
Review - 0
Completed - 0
</t>
    </r>
    <r>
      <rPr>
        <rFont val="Arial"/>
        <b/>
        <color rgb="FF0000FF"/>
      </rPr>
      <t xml:space="preserve">Daily Task - 9 </t>
    </r>
    <r>
      <rPr>
        <rFont val="Arial"/>
        <color theme="1"/>
      </rPr>
      <t>( Evangelin)
Est - 2hrs</t>
    </r>
  </si>
  <si>
    <t>Daily task completed, Booked -1.10</t>
  </si>
  <si>
    <t>Hi! I am not sure I am of any help as it is related to your Dropbox account not mine. If you look in the help section they give some suggestions on how to free up more space. I wonder if it has to do with how you are saving files. I know they weren’t showing up on my side or the client’s side the way they once did in the past.</t>
  </si>
  <si>
    <r>
      <rPr>
        <rFont val="Arial"/>
        <b/>
        <color rgb="FF0000FF"/>
      </rPr>
      <t xml:space="preserve">Total Monthly Files - 6
</t>
    </r>
    <r>
      <rPr>
        <rFont val="Arial"/>
        <color theme="1"/>
      </rPr>
      <t xml:space="preserve">Posted query - 6
Review - 0
Completed - 0
</t>
    </r>
    <r>
      <rPr>
        <rFont val="Arial"/>
        <b/>
        <color rgb="FF0000FF"/>
      </rPr>
      <t xml:space="preserve">Daily Task - 10 </t>
    </r>
    <r>
      <rPr>
        <rFont val="Arial"/>
        <color theme="1"/>
      </rPr>
      <t>( Evangelin)
Est - 4hrs</t>
    </r>
  </si>
  <si>
    <r>
      <rPr>
        <rFont val="Arial"/>
        <b/>
        <color rgb="FF0000FF"/>
      </rPr>
      <t xml:space="preserve">Total Monthly Files - 6
</t>
    </r>
    <r>
      <rPr>
        <rFont val="Arial"/>
        <color theme="1"/>
      </rPr>
      <t xml:space="preserve">Posted query - 5
Iprogress - 0
Review - 1 
Completed - 0
</t>
    </r>
    <r>
      <rPr>
        <rFont val="Arial"/>
        <b/>
        <color rgb="FF0000FF"/>
      </rPr>
      <t xml:space="preserve">Daily Task - 9 </t>
    </r>
    <r>
      <rPr>
        <rFont val="Arial"/>
        <color theme="1"/>
      </rPr>
      <t>( Evangelin)
Est - 3hrs</t>
    </r>
  </si>
  <si>
    <t>Completed daily and review , Booked - 2.67</t>
  </si>
  <si>
    <r>
      <rPr>
        <rFont val="Arial"/>
        <b/>
        <color rgb="FF0000FF"/>
      </rPr>
      <t xml:space="preserve">Total Monthly Files - 6
</t>
    </r>
    <r>
      <rPr>
        <rFont val="Arial"/>
        <color theme="1"/>
      </rPr>
      <t xml:space="preserve">Posted query - 5
Iprogress - 0
Review - 0 
Completed - 1
</t>
    </r>
    <r>
      <rPr>
        <rFont val="Arial"/>
        <b/>
        <color rgb="FF0000FF"/>
      </rPr>
      <t xml:space="preserve">Daily Task - 10 </t>
    </r>
    <r>
      <rPr>
        <rFont val="Arial"/>
        <color theme="1"/>
      </rPr>
      <t>( Evangelin)
Est - 5hrs</t>
    </r>
  </si>
  <si>
    <t>Completed daily Booked -4.30</t>
  </si>
  <si>
    <r>
      <rPr>
        <rFont val="Arial"/>
        <b/>
        <color rgb="FF0000FF"/>
      </rPr>
      <t xml:space="preserve">Total Monthly Files - 6
</t>
    </r>
    <r>
      <rPr>
        <rFont val="Arial"/>
        <color theme="1"/>
      </rPr>
      <t xml:space="preserve">Posted query - 5
Iprogress - 0
Review - 0 
Completed - 1
</t>
    </r>
    <r>
      <rPr>
        <rFont val="Arial"/>
        <b/>
        <color rgb="FF0000FF"/>
      </rPr>
      <t xml:space="preserve">Daily Task - 10 </t>
    </r>
    <r>
      <rPr>
        <rFont val="Arial"/>
        <color theme="1"/>
      </rPr>
      <t>( swetha)
Est - 1hr</t>
    </r>
  </si>
  <si>
    <t>Completed daily Booked - 0.81</t>
  </si>
  <si>
    <r>
      <rPr>
        <rFont val="Arial"/>
        <b/>
        <color rgb="FF0000FF"/>
      </rPr>
      <t xml:space="preserve">Total Monthly Files - 6
</t>
    </r>
    <r>
      <rPr>
        <rFont val="Arial"/>
        <color theme="1"/>
      </rPr>
      <t xml:space="preserve">Posted query - 5
Iprogress - 0
Review - 0 
Completed - 1
</t>
    </r>
    <r>
      <rPr>
        <rFont val="Arial"/>
        <b/>
        <color rgb="FF0000FF"/>
      </rPr>
      <t xml:space="preserve">Daily Task - 10 </t>
    </r>
    <r>
      <rPr>
        <rFont val="Arial"/>
        <color theme="1"/>
      </rPr>
      <t>( swetha)
Est - 1hr</t>
    </r>
  </si>
  <si>
    <t>Yet to start</t>
  </si>
  <si>
    <r>
      <rPr>
        <rFont val="Arial"/>
        <b/>
        <color rgb="FF0000FF"/>
      </rPr>
      <t xml:space="preserve">Total Monthly Files - 6
</t>
    </r>
    <r>
      <rPr>
        <rFont val="Arial"/>
        <color theme="1"/>
      </rPr>
      <t xml:space="preserve">Posted query - 5
In progress - 0
Review - 0 
Completed - 1
</t>
    </r>
    <r>
      <rPr>
        <rFont val="Arial"/>
        <b/>
        <color rgb="FF0000FF"/>
      </rPr>
      <t xml:space="preserve">Daily Task - 13 </t>
    </r>
    <r>
      <rPr>
        <rFont val="Arial"/>
        <color theme="1"/>
      </rPr>
      <t>( Evangelin)
Est - 4hrs</t>
    </r>
  </si>
  <si>
    <t>in progress, Booked -3.07
Completed - 5 daily</t>
  </si>
  <si>
    <r>
      <rPr>
        <rFont val="Arial"/>
        <b/>
        <color rgb="FF0000FF"/>
      </rPr>
      <t xml:space="preserve">Total Monthly Files - 6
</t>
    </r>
    <r>
      <rPr>
        <rFont val="Arial"/>
        <color theme="1"/>
      </rPr>
      <t xml:space="preserve">Posted query - 5
In progress - 0
Review - 0 
Completed - 1
</t>
    </r>
    <r>
      <rPr>
        <rFont val="Arial"/>
        <b/>
        <color rgb="FF0000FF"/>
      </rPr>
      <t xml:space="preserve">Daily Task - 18 </t>
    </r>
    <r>
      <rPr>
        <rFont val="Arial"/>
        <color theme="1"/>
      </rPr>
      <t>( Evangelin)
Est - 4hrs</t>
    </r>
  </si>
  <si>
    <t>Daily - 15 completed
Daily - Inprogress - booked -4.5</t>
  </si>
  <si>
    <t>I hope you had a  wonderful holiday. A couple of weeks ago, I requested that the W-2s be reviewed and was informed by someone on the team that work on them would not begin until the 22nd. However, the person responding to me seems to have inaccurate information. The 22nd is the date when Gusto publishes the W-2s to the employee portal, not when the finalized W-2s become available for the owners. The W-2s have already been published and need to be reviewed and verified within the next two days. In the future, please avoid marking a task as "in-progress" if work has not yet started. This gives the impression that the task is actively being worked on, which can be misleading. Thanks!</t>
  </si>
  <si>
    <t>Last week, we encountered issues accessing the 2024 W-2s in Gusto. Following your previous instructions, we attempted to retrieve the Preliminary W-2s but were unsuccessful. It wasn’t until Monday that we were able to access the W-2 for Inglewood. Afterward, we proceeded with the task and sent an email requesting confirmation of the format to ensure its accuracy before continuing with the remaining files.
Regarding your message this morning regarding Sun Path, we have just started working on the task, adhering to the same format used for Inglewood. This is why the status is currently set to "In Process."</t>
  </si>
  <si>
    <r>
      <rPr>
        <rFont val="Arial"/>
        <b/>
        <color rgb="FF0000FF"/>
      </rPr>
      <t>Total Monthly Files - 6</t>
    </r>
    <r>
      <rPr>
        <rFont val="Arial"/>
        <color theme="1"/>
      </rPr>
      <t xml:space="preserve">
Posted query - 5
In progress - 0
Review - 0
Completed - 1
</t>
    </r>
    <r>
      <rPr>
        <rFont val="Arial"/>
        <b/>
        <color rgb="FF0000FF"/>
      </rPr>
      <t>Daily Task - 13 ( Evangelin)
W2 tasks - 2 (Swetha)</t>
    </r>
    <r>
      <rPr>
        <rFont val="Arial"/>
        <color theme="1"/>
      </rPr>
      <t xml:space="preserve">
Est - 7hrs</t>
    </r>
  </si>
  <si>
    <t>Booked - 6.07
Daily - 11 completed
2 - posted query, W2 task - In process</t>
  </si>
  <si>
    <r>
      <rPr>
        <rFont val="Arial"/>
        <b/>
        <color rgb="FF0000FF"/>
      </rPr>
      <t>Total Monthly Files - 6</t>
    </r>
    <r>
      <rPr>
        <rFont val="Arial"/>
        <color theme="1"/>
      </rPr>
      <t xml:space="preserve">
Posted query - 4
In progress - 0
Review - 1
Completed - 1
</t>
    </r>
    <r>
      <rPr>
        <rFont val="Arial"/>
        <b/>
        <color rgb="FF0000FF"/>
      </rPr>
      <t>Cleanup - 1</t>
    </r>
    <r>
      <rPr>
        <rFont val="Arial"/>
        <color theme="1"/>
      </rPr>
      <t xml:space="preserve">  Inprogress (Evangelin)
</t>
    </r>
    <r>
      <rPr>
        <rFont val="Arial"/>
        <b/>
        <color rgb="FF0000FF"/>
      </rPr>
      <t>Daily Task - 10 ( Evangelin)
W2 tasks - 2 (Swetha)</t>
    </r>
    <r>
      <rPr>
        <rFont val="Arial"/>
        <color theme="1"/>
      </rPr>
      <t xml:space="preserve">
Est - 7hrs</t>
    </r>
  </si>
  <si>
    <t>Booked - 4.81
Daily - completed 
review - completed</t>
  </si>
  <si>
    <r>
      <rPr>
        <rFont val="Arial"/>
        <b/>
        <color rgb="FF0000FF"/>
      </rPr>
      <t>Total Monthly Files - 6</t>
    </r>
    <r>
      <rPr>
        <rFont val="Arial"/>
        <color theme="1"/>
      </rPr>
      <t xml:space="preserve">
Posted query - 3
In progress - 1
Review - 0
Completed - 2
</t>
    </r>
    <r>
      <rPr>
        <rFont val="Arial"/>
        <b/>
        <color rgb="FF0000FF"/>
      </rPr>
      <t>Cleanup - 1</t>
    </r>
    <r>
      <rPr>
        <rFont val="Arial"/>
        <color theme="1"/>
      </rPr>
      <t xml:space="preserve">  Inprogress (Evangelin)
</t>
    </r>
    <r>
      <rPr>
        <rFont val="Arial"/>
        <b/>
        <color rgb="FF0000FF"/>
      </rPr>
      <t>Daily Task - 10 ( Evangelin)
W2 tasks - 2 (Swetha)</t>
    </r>
    <r>
      <rPr>
        <rFont val="Arial"/>
        <color theme="1"/>
      </rPr>
      <t xml:space="preserve">
Est - 4.30hrs</t>
    </r>
  </si>
  <si>
    <t>Daily - completed - 
Cleanup - iinprogress
Posted query - 4, Booked -2.11</t>
  </si>
  <si>
    <r>
      <rPr>
        <rFont val="Arial"/>
        <b/>
        <color rgb="FF0000FF"/>
      </rPr>
      <t>Total Monthly Files - 6</t>
    </r>
    <r>
      <rPr>
        <rFont val="Arial"/>
        <color theme="1"/>
      </rPr>
      <t xml:space="preserve">
Posted query - 3
In progress - 1
Review - 0
Completed - 2
</t>
    </r>
    <r>
      <rPr>
        <rFont val="Arial"/>
        <b/>
        <color rgb="FF0000FF"/>
      </rPr>
      <t>Cleanup - 1</t>
    </r>
    <r>
      <rPr>
        <rFont val="Arial"/>
        <color theme="1"/>
      </rPr>
      <t xml:space="preserve">  Inprogress (Evangelin)
</t>
    </r>
    <r>
      <rPr>
        <rFont val="Arial"/>
        <b/>
        <color rgb="FF0000FF"/>
      </rPr>
      <t>Daily Task - 17 ( Evangelin)
W2 tasks - 2 (Swetha)  (Waiting for rebecca confirmation to process further)</t>
    </r>
    <r>
      <rPr>
        <rFont val="Arial"/>
        <color theme="1"/>
      </rPr>
      <t xml:space="preserve">
Est - 4hrs</t>
    </r>
  </si>
  <si>
    <t>Posted query - 3 
Cleanup in progress
Daily - completed , Booked -3.22</t>
  </si>
  <si>
    <r>
      <rPr>
        <rFont val="Arial"/>
        <b/>
        <color rgb="FF0000FF"/>
      </rPr>
      <t>Total Monthly Files - 6</t>
    </r>
    <r>
      <rPr>
        <rFont val="Arial"/>
        <color theme="1"/>
      </rPr>
      <t xml:space="preserve">
Posted query - 4
In progress - 1
Review - 0
Completed - 2
</t>
    </r>
    <r>
      <rPr>
        <rFont val="Arial"/>
        <b/>
        <color rgb="FF0000FF"/>
      </rPr>
      <t>Cleanup - 1</t>
    </r>
    <r>
      <rPr>
        <rFont val="Arial"/>
        <color theme="1"/>
      </rPr>
      <t xml:space="preserve">  Inprogress (Evangelin)
</t>
    </r>
    <r>
      <rPr>
        <rFont val="Arial"/>
        <b/>
        <color rgb="FF0000FF"/>
      </rPr>
      <t>Daily Task - 8 ( Evangelin)
W2 tasks - 2 (Swetha)  (Waiting for rebecca confirmation to process further)</t>
    </r>
    <r>
      <rPr>
        <rFont val="Arial"/>
        <color theme="1"/>
      </rPr>
      <t xml:space="preserve">
Est - 7hrs</t>
    </r>
  </si>
  <si>
    <t>Booked -6.31
Completed - daily 
Monthly - inprogress</t>
  </si>
  <si>
    <t>There are different types of meals and there were a couple of years where 100% was for the majority of meals. Do you know the rules for meals?
 You don't know rules for meals in general or specifically for this client?</t>
  </si>
  <si>
    <r>
      <rPr>
        <rFont val="Arial"/>
        <b/>
        <color rgb="FF0000FF"/>
      </rPr>
      <t>Total Monthly Files - 6</t>
    </r>
    <r>
      <rPr>
        <rFont val="Arial"/>
        <color theme="1"/>
      </rPr>
      <t xml:space="preserve">
Posted query - 3
In progress - 0
Review - 1
Completed - 2
</t>
    </r>
    <r>
      <rPr>
        <rFont val="Arial"/>
        <b/>
        <color rgb="FF0000FF"/>
      </rPr>
      <t>Cleanup - 1</t>
    </r>
    <r>
      <rPr>
        <rFont val="Arial"/>
        <color theme="1"/>
      </rPr>
      <t xml:space="preserve">  Rreview  (Evangelin)
</t>
    </r>
    <r>
      <rPr>
        <rFont val="Arial"/>
        <b/>
        <color rgb="FF0000FF"/>
      </rPr>
      <t xml:space="preserve">Daily Task - 8 ( Evangelin)
W2 tasks - 2 (Swetha)  - Posted query </t>
    </r>
    <r>
      <rPr>
        <rFont val="Arial"/>
        <color theme="1"/>
      </rPr>
      <t xml:space="preserve">
Est - 10hrs</t>
    </r>
  </si>
  <si>
    <t xml:space="preserve">Booked -9.23hrs
Inprogress W2 and review
Daily - completed </t>
  </si>
  <si>
    <r>
      <rPr>
        <rFont val="Arial"/>
        <b/>
        <color rgb="FF0000FF"/>
      </rPr>
      <t>Total Monthly Files - 6</t>
    </r>
    <r>
      <rPr>
        <rFont val="Arial"/>
        <color theme="1"/>
      </rPr>
      <t xml:space="preserve">
Posted query - 3
In progress - 0
Review - 1
Completed - 2
</t>
    </r>
    <r>
      <rPr>
        <rFont val="Arial"/>
        <b/>
        <color rgb="FF0000FF"/>
      </rPr>
      <t>Cleanup - 1</t>
    </r>
    <r>
      <rPr>
        <rFont val="Arial"/>
        <color theme="1"/>
      </rPr>
      <t xml:space="preserve">  Rreview  (Swetha)
</t>
    </r>
    <r>
      <rPr>
        <rFont val="Arial"/>
        <b/>
        <color rgb="FF0000FF"/>
      </rPr>
      <t xml:space="preserve">Daily Task - 10 ( Evangelin)
W2 tasks - 2  </t>
    </r>
    <r>
      <rPr>
        <rFont val="Arial"/>
        <color theme="1"/>
      </rPr>
      <t xml:space="preserve">
</t>
    </r>
    <r>
      <rPr>
        <rFont val="Arial"/>
        <b/>
        <color theme="1"/>
      </rPr>
      <t>Est - 3hrs</t>
    </r>
  </si>
  <si>
    <r>
      <rPr>
        <rFont val="Arial"/>
        <b/>
        <color theme="1"/>
      </rPr>
      <t>Booked -2.18</t>
    </r>
    <r>
      <rPr>
        <rFont val="Arial"/>
        <color theme="1"/>
      </rPr>
      <t>Daily - completed
W2 - inprogress</t>
    </r>
  </si>
  <si>
    <r>
      <rPr>
        <rFont val="Arial"/>
        <b/>
        <color rgb="FF0000FF"/>
      </rPr>
      <t>Total Monthly Files - 6</t>
    </r>
    <r>
      <rPr>
        <rFont val="Arial"/>
        <color theme="1"/>
      </rPr>
      <t xml:space="preserve">
Posted query - 3
In progress - 0
Review - 1
Completed - 2
</t>
    </r>
    <r>
      <rPr>
        <rFont val="Arial"/>
        <b/>
        <color rgb="FF0000FF"/>
      </rPr>
      <t>Cleanup - 1</t>
    </r>
    <r>
      <rPr>
        <rFont val="Arial"/>
        <color theme="1"/>
      </rPr>
      <t xml:space="preserve">  Completed  
</t>
    </r>
    <r>
      <rPr>
        <rFont val="Arial"/>
        <b/>
        <color rgb="FF0000FF"/>
      </rPr>
      <t xml:space="preserve">Daily Task - 10 ( Evangelin)
W2 tasks - 2     </t>
    </r>
    <r>
      <rPr>
        <rFont val="Arial"/>
        <color theme="1"/>
      </rPr>
      <t xml:space="preserve">
</t>
    </r>
    <r>
      <rPr>
        <rFont val="Arial"/>
        <b/>
        <color theme="1"/>
      </rPr>
      <t>Est - 3.30hrs</t>
    </r>
  </si>
  <si>
    <r>
      <rPr>
        <rFont val="Arial"/>
        <color theme="1"/>
      </rPr>
      <t xml:space="preserve">W2 , review - inprogress 
Daily - compleetd </t>
    </r>
    <r>
      <rPr>
        <rFont val="Arial"/>
        <b/>
        <color theme="1"/>
      </rPr>
      <t>booked - 3.18</t>
    </r>
  </si>
  <si>
    <r>
      <rPr>
        <rFont val="Arial"/>
        <b/>
        <color rgb="FF0000FF"/>
      </rPr>
      <t>Total Monthly Files - 6</t>
    </r>
    <r>
      <rPr>
        <rFont val="Arial"/>
        <color theme="1"/>
      </rPr>
      <t xml:space="preserve">
Posted query - 3
In progress - 0
Review - 1
Completed - 2
</t>
    </r>
    <r>
      <rPr>
        <rFont val="Arial"/>
        <b/>
        <color rgb="FF0000FF"/>
      </rPr>
      <t>Cleanup - 1</t>
    </r>
    <r>
      <rPr>
        <rFont val="Arial"/>
        <color theme="1"/>
      </rPr>
      <t xml:space="preserve">  Completed  
</t>
    </r>
    <r>
      <rPr>
        <rFont val="Arial"/>
        <b/>
        <color rgb="FF0000FF"/>
      </rPr>
      <t xml:space="preserve">Daily Task - 0 
1099 - 1 (Evangelin)
W2 tasks - 2     </t>
    </r>
    <r>
      <rPr>
        <rFont val="Arial"/>
        <color theme="1"/>
      </rPr>
      <t xml:space="preserve">
</t>
    </r>
    <r>
      <rPr>
        <rFont val="Arial"/>
        <b/>
        <color theme="1"/>
      </rPr>
      <t>Est - 5hrs</t>
    </r>
  </si>
  <si>
    <t>Booked -4.72
Review and W2 - 1 inprogress
1099- completed</t>
  </si>
  <si>
    <r>
      <rPr>
        <rFont val="Arial"/>
        <b/>
        <color rgb="FF0000FF"/>
      </rPr>
      <t>Total Monthly Files - 6</t>
    </r>
    <r>
      <rPr>
        <rFont val="Arial"/>
        <color theme="1"/>
      </rPr>
      <t xml:space="preserve">
Posted query - 3
In progress - 0
Review - 1
Completed - 2
</t>
    </r>
    <r>
      <rPr>
        <rFont val="Arial"/>
        <b/>
        <color rgb="FF0000FF"/>
      </rPr>
      <t>Cleanup - 1</t>
    </r>
    <r>
      <rPr>
        <rFont val="Arial"/>
        <color theme="1"/>
      </rPr>
      <t xml:space="preserve">  Completed  
</t>
    </r>
    <r>
      <rPr>
        <rFont val="Arial"/>
        <b/>
        <color rgb="FF0000FF"/>
      </rPr>
      <t xml:space="preserve">Daily Task - 10 
W2 tasks - 2   (1 posted query  </t>
    </r>
    <r>
      <rPr>
        <rFont val="Arial"/>
        <color theme="1"/>
      </rPr>
      <t xml:space="preserve">
</t>
    </r>
    <r>
      <rPr>
        <rFont val="Arial"/>
        <b/>
        <color theme="1"/>
      </rPr>
      <t>Est - 3.30hrs</t>
    </r>
  </si>
  <si>
    <t>Booked -3.13
Completed weekly, daily, review, W2 - 1</t>
  </si>
  <si>
    <r>
      <rPr>
        <rFont val="Arial"/>
        <b/>
        <color rgb="FF0000FF"/>
      </rPr>
      <t>Total Monthly Files - 6</t>
    </r>
    <r>
      <rPr>
        <rFont val="Arial"/>
        <color theme="1"/>
      </rPr>
      <t xml:space="preserve">
Posted query - 2
In progress - 0
Review - 0
Completed - 4
</t>
    </r>
    <r>
      <rPr>
        <rFont val="Arial"/>
        <b/>
        <color rgb="FF0000FF"/>
      </rPr>
      <t xml:space="preserve">Daily Task - 8
W2 tasks - 1   (1 posted query)  </t>
    </r>
    <r>
      <rPr>
        <rFont val="Arial"/>
        <color theme="1"/>
      </rPr>
      <t xml:space="preserve">
</t>
    </r>
    <r>
      <rPr>
        <rFont val="Arial"/>
        <b/>
        <color theme="1"/>
      </rPr>
      <t>Est - 30mins</t>
    </r>
  </si>
  <si>
    <t>Daily completed, Booked -0.28</t>
  </si>
  <si>
    <r>
      <rPr>
        <rFont val="Arial"/>
        <b/>
        <color rgb="FF0000FF"/>
      </rPr>
      <t>Total Monthly Files - 6</t>
    </r>
    <r>
      <rPr>
        <rFont val="Arial"/>
        <color theme="1"/>
      </rPr>
      <t xml:space="preserve">
Posted query - 0
In progress - 2 (Evangelin)
Review - 0
Completed - 4
</t>
    </r>
    <r>
      <rPr>
        <rFont val="Arial"/>
        <b/>
        <color rgb="FF0000FF"/>
      </rPr>
      <t xml:space="preserve">Daily Task - 10
W2 tasks - 1   (Evangelin)  </t>
    </r>
    <r>
      <rPr>
        <rFont val="Arial"/>
        <color theme="1"/>
      </rPr>
      <t xml:space="preserve">
</t>
    </r>
    <r>
      <rPr>
        <rFont val="Arial"/>
        <b/>
        <color theme="1"/>
      </rPr>
      <t>Est - 7hrs</t>
    </r>
  </si>
  <si>
    <t>Booked -6.41
Daily, W2. review  -compleetd,</t>
  </si>
  <si>
    <r>
      <rPr>
        <rFont val="Arial"/>
        <b/>
        <color rgb="FF0000FF"/>
      </rPr>
      <t>Total Monthly Files - 6</t>
    </r>
    <r>
      <rPr>
        <rFont val="Arial"/>
        <color theme="1"/>
      </rPr>
      <t xml:space="preserve">
Posted query - 0
In progress - 0
Review - 0
Completed - 6
</t>
    </r>
    <r>
      <rPr>
        <rFont val="Arial"/>
        <b/>
        <color rgb="FF0000FF"/>
      </rPr>
      <t>Daily Task - 8</t>
    </r>
    <r>
      <rPr>
        <rFont val="Arial"/>
        <color theme="1"/>
      </rPr>
      <t xml:space="preserve">
</t>
    </r>
    <r>
      <rPr>
        <rFont val="Arial"/>
        <b/>
        <color theme="1"/>
      </rPr>
      <t>Est - 1.30hr</t>
    </r>
  </si>
  <si>
    <t>Completed - daily - 9
Booked -0.71</t>
  </si>
  <si>
    <r>
      <rPr>
        <rFont val="Arial"/>
        <b/>
        <color rgb="FF0000FF"/>
      </rPr>
      <t>Total Monthly Files - 6</t>
    </r>
    <r>
      <rPr>
        <rFont val="Arial"/>
        <color theme="1"/>
      </rPr>
      <t xml:space="preserve">
Posted query - 0
In progress - 0
Review - 0
Completed - 6
</t>
    </r>
    <r>
      <rPr>
        <rFont val="Arial"/>
        <b/>
        <color rgb="FF0000FF"/>
      </rPr>
      <t>Daily Task - 9</t>
    </r>
    <r>
      <rPr>
        <rFont val="Arial"/>
        <color theme="1"/>
      </rPr>
      <t xml:space="preserve">
</t>
    </r>
    <r>
      <rPr>
        <rFont val="Arial"/>
        <b/>
        <color theme="1"/>
      </rPr>
      <t>Est - 1hr</t>
    </r>
  </si>
  <si>
    <t>Daily  - 2 completed  Booked -0.88</t>
  </si>
  <si>
    <r>
      <rPr>
        <rFont val="Arial"/>
        <b/>
        <color rgb="FF0000FF"/>
      </rPr>
      <t>Total Monthly Files - 6</t>
    </r>
    <r>
      <rPr>
        <rFont val="Arial"/>
        <color theme="1"/>
      </rPr>
      <t xml:space="preserve">
Posted query - 0
In progress - 0
Yet to start -  6
Review - 0
Completed - 0
</t>
    </r>
    <r>
      <rPr>
        <rFont val="Arial"/>
        <b/>
        <color rgb="FF0000FF"/>
      </rPr>
      <t>Daily Task - 2</t>
    </r>
    <r>
      <rPr>
        <rFont val="Arial"/>
        <color theme="1"/>
      </rPr>
      <t xml:space="preserve">
</t>
    </r>
    <r>
      <rPr>
        <rFont val="Arial"/>
        <b/>
        <color theme="1"/>
      </rPr>
      <t>Est - 30mins</t>
    </r>
  </si>
  <si>
    <t xml:space="preserve">  Booked -0.73</t>
  </si>
  <si>
    <r>
      <rPr>
        <rFont val="Arial"/>
        <b/>
        <color rgb="FF0000FF"/>
      </rPr>
      <t>Total Monthly Files - 6</t>
    </r>
    <r>
      <rPr>
        <rFont val="Arial"/>
        <color theme="1"/>
      </rPr>
      <t xml:space="preserve">
Posted query - 0
In progress - 0
Yet to start -  6
Review - 0
Completed - 0
</t>
    </r>
    <r>
      <rPr>
        <rFont val="Arial"/>
        <b/>
        <color rgb="FF0000FF"/>
      </rPr>
      <t>Daily Task - 14 (Swetha)</t>
    </r>
    <r>
      <rPr>
        <rFont val="Arial"/>
        <color theme="1"/>
      </rPr>
      <t xml:space="preserve">
</t>
    </r>
    <r>
      <rPr>
        <rFont val="Arial"/>
        <b/>
        <color theme="1"/>
      </rPr>
      <t>Est - 2hrs</t>
    </r>
  </si>
  <si>
    <t>Daily - 5 completed. Booked - 1hr
Booked -  1.04</t>
  </si>
  <si>
    <r>
      <rPr>
        <rFont val="Arial"/>
        <b/>
        <color rgb="FF0000FF"/>
      </rPr>
      <t>Total Monthly Files - 6</t>
    </r>
    <r>
      <rPr>
        <rFont val="Arial"/>
        <color theme="1"/>
      </rPr>
      <t xml:space="preserve">
Posted query - 0
In progress - 0
Yet to start -  6
Review - 0
Completed - 0
</t>
    </r>
    <r>
      <rPr>
        <rFont val="Arial"/>
        <b/>
        <color rgb="FF0000FF"/>
      </rPr>
      <t>Daily Task - 14 (Swetha)</t>
    </r>
    <r>
      <rPr>
        <rFont val="Arial"/>
        <color theme="1"/>
      </rPr>
      <t xml:space="preserve">
</t>
    </r>
    <r>
      <rPr>
        <rFont val="Arial"/>
        <b/>
        <color theme="1"/>
      </rPr>
      <t>Est - 2hrs</t>
    </r>
  </si>
  <si>
    <t>Daily Completed, Booked -2.01</t>
  </si>
  <si>
    <r>
      <rPr>
        <rFont val="Arial"/>
        <b/>
        <color rgb="FF0000FF"/>
      </rPr>
      <t>Total Monthly Files - 6</t>
    </r>
    <r>
      <rPr>
        <rFont val="Arial"/>
        <color theme="1"/>
      </rPr>
      <t xml:space="preserve">
Posted query - 0
In progress - 6
Yet to start -  0
Review - 0
Completed - 0
</t>
    </r>
    <r>
      <rPr>
        <rFont val="Arial"/>
        <b/>
        <color rgb="FF0000FF"/>
      </rPr>
      <t>Daily Task - 10 (Evangelin)</t>
    </r>
    <r>
      <rPr>
        <rFont val="Arial"/>
        <color theme="1"/>
      </rPr>
      <t xml:space="preserve">
</t>
    </r>
    <r>
      <rPr>
        <rFont val="Arial"/>
        <b/>
        <color theme="1"/>
      </rPr>
      <t>Est - 2hrs</t>
    </r>
  </si>
  <si>
    <r>
      <rPr>
        <rFont val="Arial"/>
        <color theme="1"/>
      </rPr>
      <t xml:space="preserve">
</t>
    </r>
    <r>
      <rPr>
        <rFont val="Arial"/>
        <b/>
        <color theme="1"/>
      </rPr>
      <t>Posted query</t>
    </r>
    <r>
      <rPr>
        <rFont val="Arial"/>
        <color theme="1"/>
      </rPr>
      <t xml:space="preserve"> - 6
.
Daily Task - 10 - Completed </t>
    </r>
    <r>
      <rPr>
        <rFont val="Arial"/>
        <b/>
        <color theme="1"/>
      </rPr>
      <t>Booked -1.90</t>
    </r>
  </si>
  <si>
    <r>
      <rPr>
        <rFont val="Arial"/>
        <b/>
        <color theme="1"/>
      </rPr>
      <t>Sun Path</t>
    </r>
    <r>
      <rPr>
        <rFont val="Arial"/>
        <color theme="1"/>
      </rPr>
      <t xml:space="preserve"> - Waiting on Rebecca to upload the bank stmnt.
</t>
    </r>
    <r>
      <rPr>
        <rFont val="Arial"/>
        <b/>
        <color theme="1"/>
      </rPr>
      <t>Sky</t>
    </r>
    <r>
      <rPr>
        <rFont val="Arial"/>
        <color theme="1"/>
      </rPr>
      <t xml:space="preserve"> - Waiting on Rebecca to upload the Snapshot dep. slip
</t>
    </r>
    <r>
      <rPr>
        <rFont val="Arial"/>
        <b/>
        <color theme="1"/>
      </rPr>
      <t>S3</t>
    </r>
    <r>
      <rPr>
        <rFont val="Arial"/>
        <color theme="1"/>
      </rPr>
      <t xml:space="preserve"> - Waiting on Rebecca to upload the stmnst
</t>
    </r>
    <r>
      <rPr>
        <rFont val="Arial"/>
        <b/>
        <color theme="1"/>
      </rPr>
      <t>Movement</t>
    </r>
    <r>
      <rPr>
        <rFont val="Arial"/>
        <color theme="1"/>
      </rPr>
      <t xml:space="preserve"> - Wating on client to provide deposit slip
</t>
    </r>
    <r>
      <rPr>
        <rFont val="Arial"/>
        <b/>
        <color theme="1"/>
      </rPr>
      <t>East</t>
    </r>
    <r>
      <rPr>
        <rFont val="Arial"/>
        <color theme="1"/>
      </rPr>
      <t xml:space="preserve">  -Waiting on CC stmnt from client
</t>
    </r>
    <r>
      <rPr>
        <rFont val="Arial"/>
        <b/>
        <color theme="1"/>
      </rPr>
      <t>Ingle wood</t>
    </r>
    <r>
      <rPr>
        <rFont val="Arial"/>
        <color theme="1"/>
      </rPr>
      <t xml:space="preserve"> -  Waiting for stmnt to be uploaded by rebecca</t>
    </r>
  </si>
  <si>
    <r>
      <rPr>
        <rFont val="Arial"/>
        <b/>
        <color rgb="FF0000FF"/>
      </rPr>
      <t>Total Monthly Files - 6</t>
    </r>
    <r>
      <rPr>
        <rFont val="Arial"/>
        <color theme="1"/>
      </rPr>
      <t xml:space="preserve">
Posted query - 5
In progress - 1
Yet to start -  0
Review - 0
Completed - 0
</t>
    </r>
    <r>
      <rPr>
        <rFont val="Arial"/>
        <b/>
        <color rgb="FF0000FF"/>
      </rPr>
      <t>Daily Task - 10 (Evangelin)</t>
    </r>
    <r>
      <rPr>
        <rFont val="Arial"/>
        <color theme="1"/>
      </rPr>
      <t xml:space="preserve">
</t>
    </r>
    <r>
      <rPr>
        <rFont val="Arial"/>
        <b/>
        <color theme="1"/>
      </rPr>
      <t>Est - 4hrs</t>
    </r>
  </si>
  <si>
    <r>
      <rPr>
        <rFont val="Arial"/>
        <color theme="1"/>
      </rPr>
      <t xml:space="preserve">
</t>
    </r>
    <r>
      <rPr>
        <rFont val="Arial"/>
        <b/>
        <color theme="1"/>
      </rPr>
      <t>Posted query</t>
    </r>
    <r>
      <rPr>
        <rFont val="Arial"/>
        <color theme="1"/>
      </rPr>
      <t xml:space="preserve"> - 6
.
Daily Task - 10 - Completed </t>
    </r>
    <r>
      <rPr>
        <rFont val="Arial"/>
        <b/>
        <color theme="1"/>
      </rPr>
      <t>Booked -3.78</t>
    </r>
  </si>
  <si>
    <r>
      <rPr>
        <rFont val="Arial"/>
        <b/>
        <color theme="1"/>
      </rPr>
      <t>Sun Path</t>
    </r>
    <r>
      <rPr>
        <rFont val="Arial"/>
        <color theme="1"/>
      </rPr>
      <t xml:space="preserve"> - Waiting on Rebecca to upload the bank stmnt.
</t>
    </r>
    <r>
      <rPr>
        <rFont val="Arial"/>
        <b/>
        <color theme="1"/>
      </rPr>
      <t>Sky</t>
    </r>
    <r>
      <rPr>
        <rFont val="Arial"/>
        <color theme="1"/>
      </rPr>
      <t xml:space="preserve"> - Waiting on Rebecca to upload the Snapshot dep. slip
</t>
    </r>
    <r>
      <rPr>
        <rFont val="Arial"/>
        <b/>
        <color theme="1"/>
      </rPr>
      <t>S3</t>
    </r>
    <r>
      <rPr>
        <rFont val="Arial"/>
        <color theme="1"/>
      </rPr>
      <t xml:space="preserve"> - Waiting on Rebecca to upload the stmnst
</t>
    </r>
    <r>
      <rPr>
        <rFont val="Arial"/>
        <b/>
        <color theme="1"/>
      </rPr>
      <t>Movement</t>
    </r>
    <r>
      <rPr>
        <rFont val="Arial"/>
        <color theme="1"/>
      </rPr>
      <t xml:space="preserve"> - Wating on client to provide deposit slip
</t>
    </r>
    <r>
      <rPr>
        <rFont val="Arial"/>
        <b/>
        <color theme="1"/>
      </rPr>
      <t>East</t>
    </r>
    <r>
      <rPr>
        <rFont val="Arial"/>
        <color theme="1"/>
      </rPr>
      <t xml:space="preserve">  -Waiting on CC stmnt from client
</t>
    </r>
    <r>
      <rPr>
        <rFont val="Arial"/>
        <b/>
        <color theme="1"/>
      </rPr>
      <t>Ingle wood</t>
    </r>
    <r>
      <rPr>
        <rFont val="Arial"/>
        <color theme="1"/>
      </rPr>
      <t xml:space="preserve"> -  Waiting for stmnt to be uploaded by rebecca</t>
    </r>
  </si>
  <si>
    <t>They are going to be closing down their business so February will be the last month we work on their account. They may extend it; but, more than likely, not due to the new President of the U.S.</t>
  </si>
  <si>
    <r>
      <rPr>
        <rFont val="Arial"/>
        <b/>
        <color rgb="FF0000FF"/>
      </rPr>
      <t>Total Monthly Files - 6</t>
    </r>
    <r>
      <rPr>
        <rFont val="Arial"/>
        <color theme="1"/>
      </rPr>
      <t xml:space="preserve">
Posted query - 5
In progress - 1
Yet to start -  0
Review - 0
Completed - 0
</t>
    </r>
    <r>
      <rPr>
        <rFont val="Arial"/>
        <b/>
        <color rgb="FF0000FF"/>
      </rPr>
      <t>Daily Task - 10 (Evangelin)</t>
    </r>
    <r>
      <rPr>
        <rFont val="Arial"/>
        <color theme="1"/>
      </rPr>
      <t xml:space="preserve">
</t>
    </r>
    <r>
      <rPr>
        <rFont val="Arial"/>
        <b/>
        <color theme="1"/>
      </rPr>
      <t>Est - 1hrs</t>
    </r>
  </si>
  <si>
    <t>Daily - 4 inprogress
6 completed, Booked -0.99</t>
  </si>
  <si>
    <t>Sun Path - Waiting on Rebecca to upload the bank stmnt.
Sky - Waiting on Rebecca to upload the Snapshot dep. slip
S3 - Waiting for CC stmnt 
Movement - Wating on client to provide deposit slip
East  -Waiting on CC stmnt from client
Ingle wood -  Waiting for stmnt to be uploaded by rebecca</t>
  </si>
  <si>
    <r>
      <rPr>
        <rFont val="Arial"/>
        <b/>
        <color rgb="FF0000FF"/>
      </rPr>
      <t>Total Monthly Files - 6</t>
    </r>
    <r>
      <rPr>
        <rFont val="Arial"/>
        <color theme="1"/>
      </rPr>
      <t xml:space="preserve">
Posted query - 5
In progress - 1
Yet to start -  0
Review - 0
Completed - 0
</t>
    </r>
    <r>
      <rPr>
        <rFont val="Arial"/>
        <b/>
        <color rgb="FF0000FF"/>
      </rPr>
      <t>Daily Task - 6 (Evangelin)</t>
    </r>
    <r>
      <rPr>
        <rFont val="Arial"/>
        <color theme="1"/>
      </rPr>
      <t xml:space="preserve">
</t>
    </r>
    <r>
      <rPr>
        <rFont val="Arial"/>
        <b/>
        <color theme="1"/>
      </rPr>
      <t>Est - 3hrs</t>
    </r>
  </si>
  <si>
    <t>Completed - daily , Booked  - 2.67</t>
  </si>
  <si>
    <r>
      <rPr>
        <rFont val="Arial"/>
        <b/>
        <color rgb="FF0000FF"/>
      </rPr>
      <t>Total Monthly Files - 6</t>
    </r>
    <r>
      <rPr>
        <rFont val="Arial"/>
        <color theme="1"/>
      </rPr>
      <t xml:space="preserve">
Posted query - 4
In progress - 0
Yet to start -  0
Review - 2 (Evangelin)
Completed - 0
</t>
    </r>
    <r>
      <rPr>
        <rFont val="Arial"/>
        <b/>
        <color rgb="FF0000FF"/>
      </rPr>
      <t>Daily Task - 10 (Evangelin)</t>
    </r>
    <r>
      <rPr>
        <rFont val="Arial"/>
        <color theme="1"/>
      </rPr>
      <t xml:space="preserve">
</t>
    </r>
    <r>
      <rPr>
        <rFont val="Arial"/>
        <b/>
        <color theme="1"/>
      </rPr>
      <t>Est - 3hrs</t>
    </r>
  </si>
  <si>
    <t>Daily, Review - compeleted Booked -2.26</t>
  </si>
  <si>
    <r>
      <rPr>
        <rFont val="Arial"/>
        <b/>
        <color theme="1"/>
      </rPr>
      <t xml:space="preserve">Sun Path </t>
    </r>
    <r>
      <rPr>
        <rFont val="Arial"/>
        <color theme="1"/>
      </rPr>
      <t xml:space="preserve">- Waiting on Rebecca to upload the bank stmnt.
</t>
    </r>
    <r>
      <rPr>
        <rFont val="Arial"/>
        <b/>
        <color theme="1"/>
      </rPr>
      <t>Sky -</t>
    </r>
    <r>
      <rPr>
        <rFont val="Arial"/>
        <color theme="1"/>
      </rPr>
      <t xml:space="preserve"> Waiting on Rebecca to upload the Snapshot dep. slip
</t>
    </r>
    <r>
      <rPr>
        <rFont val="Arial"/>
        <b/>
        <color theme="1"/>
      </rPr>
      <t xml:space="preserve">Movement </t>
    </r>
    <r>
      <rPr>
        <rFont val="Arial"/>
        <color theme="1"/>
      </rPr>
      <t xml:space="preserve">- Wating on client to provide deposit slip
</t>
    </r>
    <r>
      <rPr>
        <rFont val="Arial"/>
        <b/>
        <color theme="1"/>
      </rPr>
      <t xml:space="preserve">Ingle wood </t>
    </r>
    <r>
      <rPr>
        <rFont val="Arial"/>
        <color theme="1"/>
      </rPr>
      <t>-  Waiting for stmnt to be uploaded by rebecca</t>
    </r>
  </si>
  <si>
    <t>Requested  access to new file Complete Accupuncture LLC</t>
  </si>
  <si>
    <t>I am just onboarding him, when I get his QBO file set-up I will let you know.  - response from Rebecca</t>
  </si>
  <si>
    <r>
      <rPr>
        <rFont val="Arial"/>
        <b/>
        <color rgb="FF0000FF"/>
      </rPr>
      <t>Total Monthly Files - 6</t>
    </r>
    <r>
      <rPr>
        <rFont val="Arial"/>
        <color theme="1"/>
      </rPr>
      <t xml:space="preserve">
Posted query - 4
In progress - 0
Yet to start -  0
Review - 0
Completed - 2
</t>
    </r>
    <r>
      <rPr>
        <rFont val="Arial"/>
        <b/>
        <color rgb="FF0000FF"/>
      </rPr>
      <t>Daily Task - 10 (Evangelin)</t>
    </r>
    <r>
      <rPr>
        <rFont val="Arial"/>
        <color theme="1"/>
      </rPr>
      <t xml:space="preserve">
</t>
    </r>
    <r>
      <rPr>
        <rFont val="Arial"/>
        <b/>
        <color theme="1"/>
      </rPr>
      <t>Est - 2hrs</t>
    </r>
  </si>
  <si>
    <t>Daily completed, Booked -1.28</t>
  </si>
  <si>
    <r>
      <rPr>
        <rFont val="Arial"/>
        <b/>
        <color theme="1"/>
      </rPr>
      <t xml:space="preserve">Sun Path </t>
    </r>
    <r>
      <rPr>
        <rFont val="Arial"/>
        <color theme="1"/>
      </rPr>
      <t xml:space="preserve">- Waiting on Rebecca to upload the bank stmnt.
</t>
    </r>
    <r>
      <rPr>
        <rFont val="Arial"/>
        <b/>
        <color theme="1"/>
      </rPr>
      <t>Sky -</t>
    </r>
    <r>
      <rPr>
        <rFont val="Arial"/>
        <color theme="1"/>
      </rPr>
      <t xml:space="preserve"> Waiting on Rebecca to upload the Snapshot dep. slip
</t>
    </r>
    <r>
      <rPr>
        <rFont val="Arial"/>
        <b/>
        <color theme="1"/>
      </rPr>
      <t xml:space="preserve">Movement </t>
    </r>
    <r>
      <rPr>
        <rFont val="Arial"/>
        <color theme="1"/>
      </rPr>
      <t xml:space="preserve">- Wating on client to provide deposit slip
</t>
    </r>
    <r>
      <rPr>
        <rFont val="Arial"/>
        <b/>
        <color theme="1"/>
      </rPr>
      <t xml:space="preserve">Ingle wood </t>
    </r>
    <r>
      <rPr>
        <rFont val="Arial"/>
        <color theme="1"/>
      </rPr>
      <t>-  Waiting for stmnt to be uploaded by rebecca</t>
    </r>
  </si>
  <si>
    <r>
      <rPr>
        <rFont val="Arial"/>
        <b/>
        <color rgb="FF0000FF"/>
      </rPr>
      <t>Total Monthly Files - 6</t>
    </r>
    <r>
      <rPr>
        <rFont val="Arial"/>
        <color theme="1"/>
      </rPr>
      <t xml:space="preserve">
Posted query - 3
In progress - 1
Yet to start -  0
Review - 0
Completed - 2
</t>
    </r>
    <r>
      <rPr>
        <rFont val="Arial"/>
        <b/>
        <color rgb="FF0000FF"/>
      </rPr>
      <t>Daily Task - 10 (Evangelin)</t>
    </r>
    <r>
      <rPr>
        <rFont val="Arial"/>
        <color theme="1"/>
      </rPr>
      <t xml:space="preserve">
</t>
    </r>
    <r>
      <rPr>
        <rFont val="Arial"/>
        <b/>
        <color theme="1"/>
      </rPr>
      <t>Est - 1.30hrs</t>
    </r>
  </si>
  <si>
    <t>Daily, monthly - 1  completed, Booked -1.47</t>
  </si>
  <si>
    <r>
      <rPr>
        <rFont val="Arial"/>
        <b/>
        <color theme="1"/>
      </rPr>
      <t xml:space="preserve">Sun Path </t>
    </r>
    <r>
      <rPr>
        <rFont val="Arial"/>
        <color theme="1"/>
      </rPr>
      <t xml:space="preserve">- Waiting on Rebecca to upload the bank stmnt.
</t>
    </r>
    <r>
      <rPr>
        <rFont val="Arial"/>
        <b/>
        <color theme="1"/>
      </rPr>
      <t xml:space="preserve">Movement </t>
    </r>
    <r>
      <rPr>
        <rFont val="Arial"/>
        <color theme="1"/>
      </rPr>
      <t xml:space="preserve">- Wating on client to provide deposit slip
</t>
    </r>
    <r>
      <rPr>
        <rFont val="Arial"/>
        <b/>
        <color theme="1"/>
      </rPr>
      <t xml:space="preserve">Ingle wood </t>
    </r>
    <r>
      <rPr>
        <rFont val="Arial"/>
        <color theme="1"/>
      </rPr>
      <t>-  Waiting for stmnt to be uploaded by rebecca</t>
    </r>
  </si>
  <si>
    <r>
      <rPr>
        <rFont val="Arial"/>
        <b/>
        <color rgb="FF0000FF"/>
      </rPr>
      <t>Total Monthly Files - 6</t>
    </r>
    <r>
      <rPr>
        <rFont val="Arial"/>
        <color theme="1"/>
      </rPr>
      <t xml:space="preserve">
Posted query - 3
In progress - 0
Yet to start -  0
Review - 1
Completed - 2
</t>
    </r>
    <r>
      <rPr>
        <rFont val="Arial"/>
        <b/>
        <color rgb="FF0000FF"/>
      </rPr>
      <t>Daily Task - 10 (Evangelin)</t>
    </r>
    <r>
      <rPr>
        <rFont val="Arial"/>
        <color theme="1"/>
      </rPr>
      <t xml:space="preserve">
</t>
    </r>
    <r>
      <rPr>
        <rFont val="Arial"/>
        <b/>
        <color theme="1"/>
      </rPr>
      <t>Est - 3hrs</t>
    </r>
  </si>
  <si>
    <t>Booked - 2.23 Dailyand review - completed.</t>
  </si>
  <si>
    <r>
      <rPr>
        <rFont val="Arial"/>
        <b/>
        <color theme="1"/>
      </rPr>
      <t xml:space="preserve">Sun Path </t>
    </r>
    <r>
      <rPr>
        <rFont val="Arial"/>
        <color theme="1"/>
      </rPr>
      <t xml:space="preserve">- Waiting on Rebecca to upload the bank stmnt.
</t>
    </r>
    <r>
      <rPr>
        <rFont val="Arial"/>
        <b/>
        <color theme="1"/>
      </rPr>
      <t xml:space="preserve">Movement </t>
    </r>
    <r>
      <rPr>
        <rFont val="Arial"/>
        <color theme="1"/>
      </rPr>
      <t xml:space="preserve">- Wating on client to provide deposit slip
</t>
    </r>
    <r>
      <rPr>
        <rFont val="Arial"/>
        <b/>
        <color theme="1"/>
      </rPr>
      <t xml:space="preserve">Ingle wood </t>
    </r>
    <r>
      <rPr>
        <rFont val="Arial"/>
        <color theme="1"/>
      </rPr>
      <t>-  Waiting for stmnt to be uploaded by rebecca</t>
    </r>
  </si>
  <si>
    <t>Swetha is on PTO. Hence, Hema updated status</t>
  </si>
  <si>
    <r>
      <rPr>
        <rFont val="Arial"/>
        <b/>
        <color rgb="FF0000FF"/>
      </rPr>
      <t>Total Monthly Files - 6</t>
    </r>
    <r>
      <rPr>
        <rFont val="Arial"/>
        <color theme="1"/>
      </rPr>
      <t xml:space="preserve">
Posted query - 3
In progress - 0
Yet to start -  0
Review - 0
Completed - 3
</t>
    </r>
    <r>
      <rPr>
        <rFont val="Arial"/>
        <b/>
        <color rgb="FF0000FF"/>
      </rPr>
      <t>Daily Task - 10 (Evangelin)</t>
    </r>
    <r>
      <rPr>
        <rFont val="Arial"/>
        <color theme="1"/>
      </rPr>
      <t xml:space="preserve">
</t>
    </r>
    <r>
      <rPr>
        <rFont val="Arial"/>
        <b/>
        <color theme="1"/>
      </rPr>
      <t>Est - 1hr</t>
    </r>
  </si>
  <si>
    <t>Booked - 1.09 Daily - 5 completed</t>
  </si>
  <si>
    <r>
      <rPr>
        <rFont val="Arial"/>
        <b/>
        <color theme="1"/>
      </rPr>
      <t xml:space="preserve">Sun Path </t>
    </r>
    <r>
      <rPr>
        <rFont val="Arial"/>
        <color theme="1"/>
      </rPr>
      <t xml:space="preserve">- Waiting on Rebecca to upload the bank stmnt.
</t>
    </r>
    <r>
      <rPr>
        <rFont val="Arial"/>
        <b/>
        <color theme="1"/>
      </rPr>
      <t xml:space="preserve">Movement </t>
    </r>
    <r>
      <rPr>
        <rFont val="Arial"/>
        <color theme="1"/>
      </rPr>
      <t xml:space="preserve">- Wating on client to provide deposit slip
</t>
    </r>
    <r>
      <rPr>
        <rFont val="Arial"/>
        <b/>
        <color theme="1"/>
      </rPr>
      <t xml:space="preserve">Ingle wood </t>
    </r>
    <r>
      <rPr>
        <rFont val="Arial"/>
        <color theme="1"/>
      </rPr>
      <t>-  Waiting for stmnt to be uploaded by rebecca</t>
    </r>
  </si>
  <si>
    <r>
      <rPr>
        <rFont val="Arial"/>
        <b/>
        <color rgb="FF0000FF"/>
      </rPr>
      <t>Total Monthly Files - 6</t>
    </r>
    <r>
      <rPr>
        <rFont val="Arial"/>
        <color theme="1"/>
      </rPr>
      <t xml:space="preserve">
Posted query - 3
In progress - 0
Yet to start -  0
Review - 0
Completed - 3
</t>
    </r>
    <r>
      <rPr>
        <rFont val="Arial"/>
        <b/>
        <color rgb="FF0000FF"/>
      </rPr>
      <t>Daily Task - 3 (swetha)</t>
    </r>
    <r>
      <rPr>
        <rFont val="Arial"/>
        <color theme="1"/>
      </rPr>
      <t xml:space="preserve">
</t>
    </r>
    <r>
      <rPr>
        <rFont val="Arial"/>
        <b/>
        <color theme="1"/>
      </rPr>
      <t>Est - 0.30mins</t>
    </r>
  </si>
  <si>
    <t>Yet to start, Booked -0.16</t>
  </si>
  <si>
    <r>
      <rPr>
        <rFont val="Arial"/>
        <b/>
        <color theme="1"/>
      </rPr>
      <t xml:space="preserve">Sun Path </t>
    </r>
    <r>
      <rPr>
        <rFont val="Arial"/>
        <color theme="1"/>
      </rPr>
      <t xml:space="preserve">- Waiting on Rebecca to upload the bank stmnt.
</t>
    </r>
    <r>
      <rPr>
        <rFont val="Arial"/>
        <b/>
        <color theme="1"/>
      </rPr>
      <t xml:space="preserve">Movement </t>
    </r>
    <r>
      <rPr>
        <rFont val="Arial"/>
        <color theme="1"/>
      </rPr>
      <t xml:space="preserve">- Wating on client to provide deposit slip
</t>
    </r>
    <r>
      <rPr>
        <rFont val="Arial"/>
        <b/>
        <color theme="1"/>
      </rPr>
      <t xml:space="preserve">Ingle wood </t>
    </r>
    <r>
      <rPr>
        <rFont val="Arial"/>
        <color theme="1"/>
      </rPr>
      <t>-  Waiting for stmnt to be uploaded by rebecca</t>
    </r>
  </si>
  <si>
    <r>
      <rPr>
        <rFont val="Arial"/>
        <b/>
        <color rgb="FF0000FF"/>
      </rPr>
      <t>Total Monthly Files - 6</t>
    </r>
    <r>
      <rPr>
        <rFont val="Arial"/>
        <color theme="1"/>
      </rPr>
      <t xml:space="preserve">
Posted query - 3
In progress - 0
Yet to start -  0
Review - 0
Completed - 3
</t>
    </r>
    <r>
      <rPr>
        <rFont val="Arial"/>
        <b/>
        <color rgb="FF0000FF"/>
      </rPr>
      <t>Daily Task - 10 (Evangelin)</t>
    </r>
    <r>
      <rPr>
        <rFont val="Arial"/>
        <color theme="1"/>
      </rPr>
      <t xml:space="preserve">
</t>
    </r>
    <r>
      <rPr>
        <rFont val="Arial"/>
        <b/>
        <color theme="1"/>
      </rPr>
      <t>Est - 3hrs</t>
    </r>
  </si>
  <si>
    <t>Daily completed, Booked -3.08</t>
  </si>
  <si>
    <r>
      <rPr>
        <rFont val="Arial"/>
        <b/>
        <color theme="1"/>
      </rPr>
      <t xml:space="preserve">Sun Path </t>
    </r>
    <r>
      <rPr>
        <rFont val="Arial"/>
        <color theme="1"/>
      </rPr>
      <t xml:space="preserve">- Waiting on Rebecca to upload the bank stmnt.
</t>
    </r>
    <r>
      <rPr>
        <rFont val="Arial"/>
        <b/>
        <color theme="1"/>
      </rPr>
      <t xml:space="preserve">Movement </t>
    </r>
    <r>
      <rPr>
        <rFont val="Arial"/>
        <color theme="1"/>
      </rPr>
      <t xml:space="preserve">- Wating on client to provide deposit slip
</t>
    </r>
    <r>
      <rPr>
        <rFont val="Arial"/>
        <b/>
        <color theme="1"/>
      </rPr>
      <t xml:space="preserve">Ingle wood </t>
    </r>
    <r>
      <rPr>
        <rFont val="Arial"/>
        <color theme="1"/>
      </rPr>
      <t xml:space="preserve">-  Posted query reg. Check images and bank transactions , </t>
    </r>
  </si>
  <si>
    <r>
      <rPr>
        <rFont val="Arial"/>
        <b/>
        <color rgb="FF0000FF"/>
      </rPr>
      <t>Total Monthly Files - 6</t>
    </r>
    <r>
      <rPr>
        <rFont val="Arial"/>
        <color theme="1"/>
      </rPr>
      <t xml:space="preserve">
Posted query - 3
In progress - 0
Yet to start -  0
Review - 0
Completed - 3
</t>
    </r>
    <r>
      <rPr>
        <rFont val="Arial"/>
        <b/>
        <color rgb="FF0000FF"/>
      </rPr>
      <t>Daily Task - 10 (Evangelin)</t>
    </r>
    <r>
      <rPr>
        <rFont val="Arial"/>
        <color theme="1"/>
      </rPr>
      <t xml:space="preserve">
</t>
    </r>
    <r>
      <rPr>
        <rFont val="Arial"/>
        <b/>
        <color theme="1"/>
      </rPr>
      <t>Est - 2hrs</t>
    </r>
  </si>
  <si>
    <t>Daily completed, Booked -1.40</t>
  </si>
  <si>
    <r>
      <rPr>
        <rFont val="Arial"/>
        <b/>
        <color theme="1"/>
      </rPr>
      <t xml:space="preserve">Sun Path </t>
    </r>
    <r>
      <rPr>
        <rFont val="Arial"/>
        <color theme="1"/>
      </rPr>
      <t xml:space="preserve">- Waiting on Rebecca to upload the bank stmnt.
</t>
    </r>
    <r>
      <rPr>
        <rFont val="Arial"/>
        <b/>
        <color theme="1"/>
      </rPr>
      <t xml:space="preserve">Movement </t>
    </r>
    <r>
      <rPr>
        <rFont val="Arial"/>
        <color theme="1"/>
      </rPr>
      <t xml:space="preserve">- Wating on client to provide deposit slip
</t>
    </r>
    <r>
      <rPr>
        <rFont val="Arial"/>
        <b/>
        <color theme="1"/>
      </rPr>
      <t xml:space="preserve">Ingle wood </t>
    </r>
    <r>
      <rPr>
        <rFont val="Arial"/>
        <color theme="1"/>
      </rPr>
      <t xml:space="preserve">-  Posted query reg. Check images and bank transactions , </t>
    </r>
  </si>
  <si>
    <r>
      <rPr>
        <rFont val="Arial"/>
        <b/>
        <color rgb="FF0000FF"/>
      </rPr>
      <t>Total Monthly Files - 6</t>
    </r>
    <r>
      <rPr>
        <rFont val="Arial"/>
        <color theme="1"/>
      </rPr>
      <t xml:space="preserve">
Posted query - 3
In progress - 0
Yet to start -  0
Review - 0
Completed - 3
</t>
    </r>
    <r>
      <rPr>
        <rFont val="Arial"/>
        <b/>
        <color rgb="FF0000FF"/>
      </rPr>
      <t>Daily Task - 10 (Evangelin)</t>
    </r>
    <r>
      <rPr>
        <rFont val="Arial"/>
        <color theme="1"/>
      </rPr>
      <t xml:space="preserve">
</t>
    </r>
    <r>
      <rPr>
        <rFont val="Arial"/>
        <b/>
        <color theme="1"/>
      </rPr>
      <t>Est - 2.30hrs</t>
    </r>
  </si>
  <si>
    <t>Booked -1.30</t>
  </si>
  <si>
    <r>
      <rPr>
        <rFont val="Arial"/>
        <b/>
        <color theme="1"/>
      </rPr>
      <t xml:space="preserve">Sun Path </t>
    </r>
    <r>
      <rPr>
        <rFont val="Arial"/>
        <color theme="1"/>
      </rPr>
      <t xml:space="preserve">- Waiting on Rebecca to upload the bank stmnt.
</t>
    </r>
    <r>
      <rPr>
        <rFont val="Arial"/>
        <b/>
        <color theme="1"/>
      </rPr>
      <t xml:space="preserve">Movement </t>
    </r>
    <r>
      <rPr>
        <rFont val="Arial"/>
        <color theme="1"/>
      </rPr>
      <t xml:space="preserve">- Wating on client to provide deposit slip
</t>
    </r>
    <r>
      <rPr>
        <rFont val="Arial"/>
        <b/>
        <color theme="1"/>
      </rPr>
      <t xml:space="preserve">Ingle wood </t>
    </r>
    <r>
      <rPr>
        <rFont val="Arial"/>
        <color theme="1"/>
      </rPr>
      <t xml:space="preserve">-  Posted query reg. Check images and bank transactions , </t>
    </r>
  </si>
  <si>
    <r>
      <rPr>
        <rFont val="Arial"/>
        <b/>
        <color rgb="FF0000FF"/>
      </rPr>
      <t>Total Monthly Files - 6</t>
    </r>
    <r>
      <rPr>
        <rFont val="Arial"/>
        <color theme="1"/>
      </rPr>
      <t xml:space="preserve">
Posted query - 3
In progress - 0
Yet to start -  0
Review - 0
Completed - 3
</t>
    </r>
    <r>
      <rPr>
        <rFont val="Arial"/>
        <b/>
        <color rgb="FF0000FF"/>
      </rPr>
      <t>Daily Task - 8 (Evangelin)</t>
    </r>
    <r>
      <rPr>
        <rFont val="Arial"/>
        <color theme="1"/>
      </rPr>
      <t xml:space="preserve">
</t>
    </r>
    <r>
      <rPr>
        <rFont val="Arial"/>
        <b/>
        <color theme="1"/>
      </rPr>
      <t>Est - 5hrs</t>
    </r>
  </si>
  <si>
    <t>Booked -4.48 - Daily completed</t>
  </si>
  <si>
    <r>
      <rPr>
        <rFont val="Arial"/>
        <b/>
        <color theme="1"/>
      </rPr>
      <t xml:space="preserve">Sun Path </t>
    </r>
    <r>
      <rPr>
        <rFont val="Arial"/>
        <color theme="1"/>
      </rPr>
      <t xml:space="preserve">- Waiting on Rebecca to upload the bank stmnt.
</t>
    </r>
    <r>
      <rPr>
        <rFont val="Arial"/>
        <b/>
        <color theme="1"/>
      </rPr>
      <t xml:space="preserve">Movement </t>
    </r>
    <r>
      <rPr>
        <rFont val="Arial"/>
        <color theme="1"/>
      </rPr>
      <t xml:space="preserve">- Wating on client to provide deposit slip
</t>
    </r>
    <r>
      <rPr>
        <rFont val="Arial"/>
        <b/>
        <color theme="1"/>
      </rPr>
      <t xml:space="preserve">Ingle wood </t>
    </r>
    <r>
      <rPr>
        <rFont val="Arial"/>
        <color theme="1"/>
      </rPr>
      <t xml:space="preserve">-  Posted query reg.  bank transactions , </t>
    </r>
  </si>
  <si>
    <r>
      <rPr>
        <rFont val="Arial"/>
        <b/>
        <color rgb="FF0000FF"/>
      </rPr>
      <t>Total Monthly Files - 6</t>
    </r>
    <r>
      <rPr>
        <rFont val="Arial"/>
        <color theme="1"/>
      </rPr>
      <t xml:space="preserve">
Posted query - 3
In progress - 0
Yet to start -  0
Review - 0
Completed - 3
</t>
    </r>
    <r>
      <rPr>
        <rFont val="Arial"/>
        <b/>
        <color rgb="FF0000FF"/>
      </rPr>
      <t>Daily Task - 8 (Evangelin)</t>
    </r>
    <r>
      <rPr>
        <rFont val="Arial"/>
        <color theme="1"/>
      </rPr>
      <t xml:space="preserve">
</t>
    </r>
    <r>
      <rPr>
        <rFont val="Arial"/>
        <b/>
        <color theme="1"/>
      </rPr>
      <t>Est - 3hrs</t>
    </r>
  </si>
  <si>
    <t>Booked -2.37 - Daily completed</t>
  </si>
  <si>
    <r>
      <rPr>
        <rFont val="Arial"/>
        <b/>
        <color theme="1"/>
      </rPr>
      <t xml:space="preserve">Sun Path </t>
    </r>
    <r>
      <rPr>
        <rFont val="Arial"/>
        <color theme="1"/>
      </rPr>
      <t xml:space="preserve">- Waiting on Rebecca to upload the bank stmnt.
</t>
    </r>
    <r>
      <rPr>
        <rFont val="Arial"/>
        <b/>
        <color theme="1"/>
      </rPr>
      <t xml:space="preserve">Movement </t>
    </r>
    <r>
      <rPr>
        <rFont val="Arial"/>
        <color theme="1"/>
      </rPr>
      <t xml:space="preserve">- Wating on client to provide deposit slip
</t>
    </r>
    <r>
      <rPr>
        <rFont val="Arial"/>
        <b/>
        <color theme="1"/>
      </rPr>
      <t xml:space="preserve">Ingle wood </t>
    </r>
    <r>
      <rPr>
        <rFont val="Arial"/>
        <color theme="1"/>
      </rPr>
      <t xml:space="preserve">-  Posted query reg.  bank transactions , </t>
    </r>
  </si>
  <si>
    <r>
      <rPr>
        <rFont val="Arial"/>
        <b/>
        <color rgb="FF0000FF"/>
      </rPr>
      <t>Total Monthly Files - 6</t>
    </r>
    <r>
      <rPr>
        <rFont val="Arial"/>
        <color theme="1"/>
      </rPr>
      <t xml:space="preserve">
Posted query - 3
In progress - 0
Yet to start -  0
Review - 0
Completed - 3
</t>
    </r>
    <r>
      <rPr>
        <rFont val="Arial"/>
        <b/>
        <color rgb="FF0000FF"/>
      </rPr>
      <t xml:space="preserve">Daily Task - 0 </t>
    </r>
  </si>
  <si>
    <t xml:space="preserve">Posted query </t>
  </si>
  <si>
    <r>
      <rPr>
        <rFont val="Arial"/>
        <b/>
        <color theme="1"/>
      </rPr>
      <t xml:space="preserve">Sun Path </t>
    </r>
    <r>
      <rPr>
        <rFont val="Arial"/>
        <color theme="1"/>
      </rPr>
      <t xml:space="preserve">- Waiting on Rebecca to upload the bank stmnt.
</t>
    </r>
    <r>
      <rPr>
        <rFont val="Arial"/>
        <b/>
        <color theme="1"/>
      </rPr>
      <t xml:space="preserve">Movement </t>
    </r>
    <r>
      <rPr>
        <rFont val="Arial"/>
        <color theme="1"/>
      </rPr>
      <t xml:space="preserve">- Wating on client to provide deposit slip
</t>
    </r>
    <r>
      <rPr>
        <rFont val="Arial"/>
        <b/>
        <color theme="1"/>
      </rPr>
      <t xml:space="preserve">Ingle wood </t>
    </r>
    <r>
      <rPr>
        <rFont val="Arial"/>
        <color theme="1"/>
      </rPr>
      <t xml:space="preserve">-  Posted query reg.  bank transactions , </t>
    </r>
  </si>
  <si>
    <r>
      <rPr>
        <rFont val="Arial"/>
        <b/>
        <color rgb="FF0000FF"/>
      </rPr>
      <t>Total Monthly Files - 6</t>
    </r>
    <r>
      <rPr>
        <rFont val="Arial"/>
        <color theme="1"/>
      </rPr>
      <t xml:space="preserve">
Posted query - 3
In progress - 0
Yet to start -  0
Review - 0
Completed - 3
</t>
    </r>
    <r>
      <rPr>
        <rFont val="Arial"/>
        <b/>
        <color rgb="FF0000FF"/>
      </rPr>
      <t xml:space="preserve">Daily Task - 10 (Evangelin)
</t>
    </r>
    <r>
      <rPr>
        <rFont val="Arial"/>
        <b/>
        <color theme="1"/>
      </rPr>
      <t xml:space="preserve">Est - 2hrs  </t>
    </r>
  </si>
  <si>
    <t>Completed daily, Booked -0.85 hrs</t>
  </si>
  <si>
    <r>
      <rPr>
        <rFont val="Arial"/>
        <b/>
        <color theme="1"/>
      </rPr>
      <t xml:space="preserve">Sun Path </t>
    </r>
    <r>
      <rPr>
        <rFont val="Arial"/>
        <color theme="1"/>
      </rPr>
      <t xml:space="preserve">- Waiting on Rebecca to upload the bank stmnt.
</t>
    </r>
    <r>
      <rPr>
        <rFont val="Arial"/>
        <b/>
        <color theme="1"/>
      </rPr>
      <t xml:space="preserve">Movement </t>
    </r>
    <r>
      <rPr>
        <rFont val="Arial"/>
        <color theme="1"/>
      </rPr>
      <t xml:space="preserve">- Wating on client to provide deposit slip
</t>
    </r>
    <r>
      <rPr>
        <rFont val="Arial"/>
        <b/>
        <color theme="1"/>
      </rPr>
      <t xml:space="preserve">Ingle wood </t>
    </r>
    <r>
      <rPr>
        <rFont val="Arial"/>
        <color theme="1"/>
      </rPr>
      <t xml:space="preserve">-  Posted query reg.  bank transactions , </t>
    </r>
  </si>
  <si>
    <r>
      <rPr>
        <rFont val="Arial"/>
        <b/>
        <color rgb="FF0000FF"/>
      </rPr>
      <t>Total Monthly Files - 6</t>
    </r>
    <r>
      <rPr>
        <rFont val="Arial"/>
        <color theme="1"/>
      </rPr>
      <t xml:space="preserve">
Posted query - 2
In progress - 1
Yet to start -  0
Review - 0
Completed - 3
</t>
    </r>
    <r>
      <rPr>
        <rFont val="Arial"/>
        <b/>
        <color rgb="FF0000FF"/>
      </rPr>
      <t xml:space="preserve">Daily Task - 10 (Evangelin)
</t>
    </r>
    <r>
      <rPr>
        <rFont val="Arial"/>
        <b/>
        <color theme="1"/>
      </rPr>
      <t xml:space="preserve">Est - 2.30hrs  </t>
    </r>
  </si>
  <si>
    <t>dail y and monthly - completed
Booked - 2.32</t>
  </si>
  <si>
    <r>
      <rPr>
        <rFont val="Arial"/>
        <b/>
        <color theme="1"/>
      </rPr>
      <t xml:space="preserve">Sun Path </t>
    </r>
    <r>
      <rPr>
        <rFont val="Arial"/>
        <color theme="1"/>
      </rPr>
      <t xml:space="preserve">- Waiting on Rebecca to upload the bank stmnt.
</t>
    </r>
    <r>
      <rPr>
        <rFont val="Arial"/>
        <b/>
        <color theme="1"/>
      </rPr>
      <t xml:space="preserve">Movement </t>
    </r>
    <r>
      <rPr>
        <rFont val="Arial"/>
        <color theme="1"/>
      </rPr>
      <t xml:space="preserve">- Wating on client to provide deposit slip
</t>
    </r>
    <r>
      <rPr>
        <rFont val="Arial"/>
        <b/>
        <color theme="1"/>
      </rPr>
      <t xml:space="preserve">Ingle wood </t>
    </r>
    <r>
      <rPr>
        <rFont val="Arial"/>
        <color theme="1"/>
      </rPr>
      <t xml:space="preserve">-  Posted query reg.  bank transactions , </t>
    </r>
  </si>
  <si>
    <t>Swetha is on PTO, hence Hema updated the status</t>
  </si>
  <si>
    <r>
      <rPr>
        <rFont val="Arial"/>
        <b/>
        <color rgb="FF0000FF"/>
      </rPr>
      <t>Total Monthly Files - 6</t>
    </r>
    <r>
      <rPr>
        <rFont val="Arial"/>
        <color theme="1"/>
      </rPr>
      <t xml:space="preserve">
Posted query - 2
In progress - 0
Yet to start -  0
Review - 0
Completed - 4
</t>
    </r>
    <r>
      <rPr>
        <rFont val="Arial"/>
        <b/>
        <color rgb="FF0000FF"/>
      </rPr>
      <t xml:space="preserve">Daily Task - 10 (Evangelin)
</t>
    </r>
    <r>
      <rPr>
        <rFont val="Arial"/>
        <b/>
        <color theme="1"/>
      </rPr>
      <t xml:space="preserve">Est - 2.30hrs  </t>
    </r>
  </si>
  <si>
    <t>Yet to start, Booked -0.89</t>
  </si>
  <si>
    <r>
      <rPr>
        <rFont val="Arial"/>
        <b/>
        <color theme="1"/>
      </rPr>
      <t xml:space="preserve">Sun Path </t>
    </r>
    <r>
      <rPr>
        <rFont val="Arial"/>
        <color theme="1"/>
      </rPr>
      <t xml:space="preserve">- Waiting on Rebecca to upload the bank stmnt.
</t>
    </r>
    <r>
      <rPr>
        <rFont val="Arial"/>
        <b/>
        <color theme="1"/>
      </rPr>
      <t xml:space="preserve">Ingle wood </t>
    </r>
    <r>
      <rPr>
        <rFont val="Arial"/>
        <color theme="1"/>
      </rPr>
      <t xml:space="preserve">-  Posted query reg.  bank transactions , </t>
    </r>
  </si>
  <si>
    <t>It doesn't look like the email is getting checked every day as I sent a response and have not received the updated spreadsheet.</t>
  </si>
  <si>
    <t>We have shared the updated spreadsheet with you on the 20th. PFA screenshot for your reference. We have re-shared it. Could you kindly check and confirm if you have received it?.</t>
  </si>
  <si>
    <r>
      <rPr>
        <rFont val="Arial"/>
        <b/>
        <color rgb="FF0000FF"/>
      </rPr>
      <t>Total Monthly Files - 6</t>
    </r>
    <r>
      <rPr>
        <rFont val="Arial"/>
        <color theme="1"/>
      </rPr>
      <t xml:space="preserve">
Posted query - 2
In progress - 0
Yet to start -  0
Review - 0
Completed - 4
</t>
    </r>
    <r>
      <rPr>
        <rFont val="Arial"/>
        <b/>
        <color rgb="FF0000FF"/>
      </rPr>
      <t xml:space="preserve">Daily Task - 10 (Evangelin)
Need to review messages from Rebecca
</t>
    </r>
    <r>
      <rPr>
        <rFont val="Arial"/>
        <b/>
        <color theme="1"/>
      </rPr>
      <t xml:space="preserve">Est - 3.30hrs  </t>
    </r>
  </si>
  <si>
    <t>In Process - Booked -1.58</t>
  </si>
  <si>
    <r>
      <rPr>
        <rFont val="Arial"/>
        <b/>
        <color theme="1"/>
      </rPr>
      <t xml:space="preserve">Sun Path </t>
    </r>
    <r>
      <rPr>
        <rFont val="Arial"/>
        <color theme="1"/>
      </rPr>
      <t xml:space="preserve">- Waiting on Rebecca to upload the bank stmnt.
</t>
    </r>
    <r>
      <rPr>
        <rFont val="Arial"/>
        <b/>
        <color theme="1"/>
      </rPr>
      <t xml:space="preserve">Ingle wood </t>
    </r>
    <r>
      <rPr>
        <rFont val="Arial"/>
        <color theme="1"/>
      </rPr>
      <t xml:space="preserve">-  Posted query reg.  bank transactions , </t>
    </r>
  </si>
  <si>
    <t xml:space="preserve">It looks like the lawyer was missed under professional services. Even if a lawyer is paid with a cc they should still receive a 1099 - Rebecca </t>
  </si>
  <si>
    <t>If you paid a lawyer via credit card, the credit card company or processor is responsible for reporting the payment on their 1099-K form, and we don't need to issue a 1099-NEC for that specific payment. Therefore, we did not consider that vendor as eligible for a 1099.</t>
  </si>
  <si>
    <r>
      <rPr>
        <rFont val="Arial"/>
        <b/>
        <color rgb="FF0000FF"/>
      </rPr>
      <t>Total Monthly Files - 6</t>
    </r>
    <r>
      <rPr>
        <rFont val="Arial"/>
        <color theme="1"/>
      </rPr>
      <t xml:space="preserve">
Posted query - 2
In progress - 0
Yet to start -  0
Review - 0
Completed - 4
</t>
    </r>
    <r>
      <rPr>
        <rFont val="Arial"/>
        <b/>
        <color rgb="FF0000FF"/>
      </rPr>
      <t xml:space="preserve">Daily Task - 10 (Evangelin)
Need to review messages from Rebecca
</t>
    </r>
    <r>
      <rPr>
        <rFont val="Arial"/>
        <b/>
        <color theme="1"/>
      </rPr>
      <t>Est - 3hrs</t>
    </r>
  </si>
  <si>
    <r>
      <rPr>
        <rFont val="Arial"/>
        <b/>
        <color theme="1"/>
      </rPr>
      <t xml:space="preserve">Sun Path </t>
    </r>
    <r>
      <rPr>
        <rFont val="Arial"/>
        <color theme="1"/>
      </rPr>
      <t xml:space="preserve">- Waiting on Rebecca to upload the bank stmnt.
</t>
    </r>
    <r>
      <rPr>
        <rFont val="Arial"/>
        <b/>
        <color theme="1"/>
      </rPr>
      <t xml:space="preserve">Ingle wood </t>
    </r>
    <r>
      <rPr>
        <rFont val="Arial"/>
        <color theme="1"/>
      </rPr>
      <t xml:space="preserve">-  Posted query reg.  bank transactions , </t>
    </r>
  </si>
  <si>
    <r>
      <rPr>
        <rFont val="Arial"/>
        <b/>
        <color rgb="FF0000FF"/>
      </rPr>
      <t>Total Monthly Files - 6</t>
    </r>
    <r>
      <rPr>
        <rFont val="Arial"/>
        <color theme="1"/>
      </rPr>
      <t xml:space="preserve">
Posted query - 0
In progress - 0
Yet to start -  6
Review - 1 ( Jan )
Completed - 0
</t>
    </r>
    <r>
      <rPr>
        <rFont val="Arial"/>
        <b/>
        <color rgb="FF0000FF"/>
      </rPr>
      <t xml:space="preserve">Daily Task - 10 (Evangelin)
Need to review messages from Rebecca
</t>
    </r>
    <r>
      <rPr>
        <rFont val="Arial"/>
        <b/>
        <color theme="1"/>
      </rPr>
      <t>Est - 4hrs</t>
    </r>
  </si>
  <si>
    <t>Booked -3.89hrs</t>
  </si>
  <si>
    <t>Sun Path- Don't do anymore work on transactions after January. We need everything up to date to January 30th.</t>
  </si>
  <si>
    <r>
      <rPr>
        <rFont val="Arial"/>
        <b/>
        <color rgb="FF0000FF"/>
      </rPr>
      <t>Total Monthly Files - 6</t>
    </r>
    <r>
      <rPr>
        <rFont val="Arial"/>
        <color theme="1"/>
      </rPr>
      <t xml:space="preserve">
Posted query - 0
In progress - 0
Yet to start -  6
Review - 0
Completed - 0
</t>
    </r>
    <r>
      <rPr>
        <rFont val="Arial"/>
        <b/>
        <color rgb="FF0000FF"/>
      </rPr>
      <t xml:space="preserve">Daily Task - 10 (Evangelin)
</t>
    </r>
    <r>
      <rPr>
        <rFont val="Arial"/>
        <b/>
        <color theme="1"/>
      </rPr>
      <t>Est - 4hrs</t>
    </r>
  </si>
  <si>
    <t>Daily completed, Booked -3.75</t>
  </si>
  <si>
    <r>
      <rPr>
        <rFont val="Arial"/>
        <b/>
        <color theme="1"/>
      </rPr>
      <t xml:space="preserve">Ingle wood </t>
    </r>
    <r>
      <rPr>
        <rFont val="Arial"/>
        <color theme="1"/>
      </rPr>
      <t xml:space="preserve">-  Posted query reg.  bank transactions , </t>
    </r>
  </si>
  <si>
    <r>
      <rPr>
        <rFont val="Arial"/>
        <b/>
        <color rgb="FF0000FF"/>
      </rPr>
      <t>Total Monthly Files - 5</t>
    </r>
    <r>
      <rPr>
        <rFont val="Arial"/>
        <color theme="1"/>
      </rPr>
      <t xml:space="preserve">
Posted query - 0
In progress - 0
Yet to start -  5
Review - 0
Completed - 0
</t>
    </r>
    <r>
      <rPr>
        <rFont val="Arial"/>
        <b/>
        <color rgb="FF0000FF"/>
      </rPr>
      <t xml:space="preserve">Daily Task - 10 (Evangelin)
</t>
    </r>
    <r>
      <rPr>
        <rFont val="Arial"/>
        <b/>
        <color theme="1"/>
      </rPr>
      <t>Est - 1hr</t>
    </r>
  </si>
  <si>
    <t xml:space="preserve">Daily - 8 completed -Booked </t>
  </si>
  <si>
    <r>
      <rPr>
        <rFont val="Arial"/>
        <b/>
        <color theme="1"/>
      </rPr>
      <t>Ingle wood (Jan)</t>
    </r>
    <r>
      <rPr>
        <rFont val="Arial"/>
        <color theme="1"/>
      </rPr>
      <t>-  Need US bank stmnt to categorize the transactions</t>
    </r>
  </si>
  <si>
    <r>
      <rPr>
        <rFont val="Arial"/>
        <b/>
        <color rgb="FF0000FF"/>
      </rPr>
      <t>Total Monthly Files - 5</t>
    </r>
    <r>
      <rPr>
        <rFont val="Arial"/>
        <color theme="1"/>
      </rPr>
      <t xml:space="preserve">
Posted query - 0
In progress - 0
Yet to start -  5
Review -  1 (Inprogress) Jan
Completed - 0
</t>
    </r>
    <r>
      <rPr>
        <rFont val="Arial"/>
        <b/>
        <color rgb="FF0000FF"/>
      </rPr>
      <t xml:space="preserve">Daily Task - 10 (Evangelin)
</t>
    </r>
    <r>
      <rPr>
        <rFont val="Arial"/>
        <b/>
        <color theme="1"/>
      </rPr>
      <t>Est - 2.30hrs</t>
    </r>
  </si>
  <si>
    <t>Daily - completed Review - inprogress, Booked -1.66</t>
  </si>
  <si>
    <r>
      <rPr>
        <rFont val="Arial"/>
        <b/>
        <color rgb="FF0000FF"/>
      </rPr>
      <t>Total Monthly Files - 5</t>
    </r>
    <r>
      <rPr>
        <rFont val="Arial"/>
        <color theme="1"/>
      </rPr>
      <t xml:space="preserve">
Posted query - 0
In progress - 0
Yet to start -  5
Review -  1 (Inprogress) Jan
Completed - 0
</t>
    </r>
    <r>
      <rPr>
        <rFont val="Arial"/>
        <b/>
        <color rgb="FF0000FF"/>
      </rPr>
      <t xml:space="preserve">Daily Task - 10 (Evangelin)
</t>
    </r>
    <r>
      <rPr>
        <rFont val="Arial"/>
        <b/>
        <color theme="1"/>
      </rPr>
      <t>Est - 3hrs</t>
    </r>
  </si>
  <si>
    <t>Booked -2.54. Completed Daily and review</t>
  </si>
  <si>
    <r>
      <rPr>
        <rFont val="Arial"/>
        <b/>
        <color rgb="FF0000FF"/>
      </rPr>
      <t>Total Monthly Files - 5</t>
    </r>
    <r>
      <rPr>
        <rFont val="Arial"/>
        <color theme="1"/>
      </rPr>
      <t xml:space="preserve">
Posted query - 0
In progress - 0
Yet to start -  5
Review -  0 
Completed - 0
</t>
    </r>
    <r>
      <rPr>
        <rFont val="Arial"/>
        <b/>
        <color rgb="FF0000FF"/>
      </rPr>
      <t>Cleanup - 1 Inprogress</t>
    </r>
    <r>
      <rPr>
        <rFont val="Arial"/>
        <color theme="1"/>
      </rPr>
      <t xml:space="preserve">
</t>
    </r>
    <r>
      <rPr>
        <rFont val="Arial"/>
        <b/>
        <color rgb="FF0000FF"/>
      </rPr>
      <t xml:space="preserve">Daily Task - 8 (Evangelin)
</t>
    </r>
    <r>
      <rPr>
        <rFont val="Arial"/>
        <b/>
        <color theme="1"/>
      </rPr>
      <t>Est - 3hrs</t>
    </r>
  </si>
  <si>
    <t>Completed - Daily , Cleanup - Inprogress, Booked -2.88 hrs</t>
  </si>
  <si>
    <r>
      <rPr>
        <rFont val="Arial"/>
        <b/>
        <color rgb="FF0000FF"/>
      </rPr>
      <t>Total Monthly Files - 5</t>
    </r>
    <r>
      <rPr>
        <rFont val="Arial"/>
        <color theme="1"/>
      </rPr>
      <t xml:space="preserve">
Posted query - 0
In progress - 05
Yet to start -  0
Review -  0 
Completed - 0
</t>
    </r>
    <r>
      <rPr>
        <rFont val="Arial"/>
        <b/>
        <color rgb="FF0000FF"/>
      </rPr>
      <t>Cleanup - 1 Inprogress (Evangelin)</t>
    </r>
    <r>
      <rPr>
        <rFont val="Arial"/>
        <color theme="1"/>
      </rPr>
      <t xml:space="preserve">
</t>
    </r>
    <r>
      <rPr>
        <rFont val="Arial"/>
        <b/>
        <color rgb="FF0000FF"/>
      </rPr>
      <t xml:space="preserve">Daily Task - 0 
</t>
    </r>
    <r>
      <rPr>
        <rFont val="Arial"/>
        <b/>
        <color theme="1"/>
      </rPr>
      <t>Est - 3hrs</t>
    </r>
  </si>
  <si>
    <t>Posted query - 5 
Cleanup - posted query, Booked -2.45hrs</t>
  </si>
  <si>
    <r>
      <rPr>
        <rFont val="Arial"/>
        <b/>
        <color theme="1"/>
      </rPr>
      <t xml:space="preserve">Inglewood </t>
    </r>
    <r>
      <rPr>
        <rFont val="Arial"/>
        <color theme="1"/>
      </rPr>
      <t xml:space="preserve">- Need to categorize the transactions of Feb (US bank) once the marked stmnt is provided
</t>
    </r>
    <r>
      <rPr>
        <rFont val="Arial"/>
        <b/>
        <color theme="1"/>
      </rPr>
      <t>Movemnet</t>
    </r>
    <r>
      <rPr>
        <rFont val="Arial"/>
        <color theme="1"/>
      </rPr>
      <t xml:space="preserve"> - Req. backup documents for income
</t>
    </r>
    <r>
      <rPr>
        <rFont val="Arial"/>
        <b/>
        <color theme="1"/>
      </rPr>
      <t xml:space="preserve">Skyline </t>
    </r>
    <r>
      <rPr>
        <rFont val="Arial"/>
        <color theme="1"/>
      </rPr>
      <t xml:space="preserve">and </t>
    </r>
    <r>
      <rPr>
        <rFont val="Arial"/>
        <b/>
        <color theme="1"/>
      </rPr>
      <t>S3</t>
    </r>
    <r>
      <rPr>
        <rFont val="Arial"/>
        <color theme="1"/>
      </rPr>
      <t xml:space="preserve">- Req. snashot deposit slip
</t>
    </r>
    <r>
      <rPr>
        <rFont val="Arial"/>
        <b/>
        <color theme="1"/>
      </rPr>
      <t xml:space="preserve">EWI </t>
    </r>
    <r>
      <rPr>
        <rFont val="Arial"/>
        <color theme="1"/>
      </rPr>
      <t xml:space="preserve">- Posted query reg. bank transaction
</t>
    </r>
    <r>
      <rPr>
        <rFont val="Arial"/>
        <b/>
        <color theme="1"/>
      </rPr>
      <t>Complete Acupuncture</t>
    </r>
    <r>
      <rPr>
        <rFont val="Arial"/>
        <color theme="1"/>
      </rPr>
      <t xml:space="preserve"> - Req. stmnts for 2024 </t>
    </r>
  </si>
  <si>
    <r>
      <rPr>
        <rFont val="Arial"/>
        <b/>
        <color rgb="FF0000FF"/>
      </rPr>
      <t>Total Monthly Files - 7</t>
    </r>
    <r>
      <rPr>
        <rFont val="Arial"/>
        <color theme="1"/>
      </rPr>
      <t xml:space="preserve">
Posted query - 7
In progress - 0
Yet to start -  0
Review -  0 
Completed - 0
</t>
    </r>
    <r>
      <rPr>
        <rFont val="Arial"/>
        <b/>
        <color rgb="FF0000FF"/>
      </rPr>
      <t xml:space="preserve">Cleanup - 1 (Query) </t>
    </r>
    <r>
      <rPr>
        <rFont val="Arial"/>
        <color theme="1"/>
      </rPr>
      <t xml:space="preserve">
</t>
    </r>
    <r>
      <rPr>
        <rFont val="Arial"/>
        <b/>
        <color rgb="FF0000FF"/>
      </rPr>
      <t xml:space="preserve">Daily Task - 10 (Evangelin)
</t>
    </r>
    <r>
      <rPr>
        <rFont val="Arial"/>
        <b/>
        <color theme="1"/>
      </rPr>
      <t xml:space="preserve">Est - 3.30hrs </t>
    </r>
  </si>
  <si>
    <t>Daily - completed, monthly and cleanup posted query , Booked -2.37 hrs</t>
  </si>
  <si>
    <r>
      <rPr>
        <rFont val="Arial"/>
        <b/>
        <color theme="1"/>
      </rPr>
      <t xml:space="preserve">Inglewood </t>
    </r>
    <r>
      <rPr>
        <rFont val="Arial"/>
        <color theme="1"/>
      </rPr>
      <t xml:space="preserve">- Need to categorize the transactions of Feb (US bank) once the marked stmnt is provided
</t>
    </r>
    <r>
      <rPr>
        <rFont val="Arial"/>
        <b/>
        <color theme="1"/>
      </rPr>
      <t>Movemnet</t>
    </r>
    <r>
      <rPr>
        <rFont val="Arial"/>
        <color theme="1"/>
      </rPr>
      <t xml:space="preserve"> - Req. backup documents for income
</t>
    </r>
    <r>
      <rPr>
        <rFont val="Arial"/>
        <b/>
        <color theme="1"/>
      </rPr>
      <t xml:space="preserve">Skyline </t>
    </r>
    <r>
      <rPr>
        <rFont val="Arial"/>
        <color theme="1"/>
      </rPr>
      <t xml:space="preserve">and </t>
    </r>
    <r>
      <rPr>
        <rFont val="Arial"/>
        <b/>
        <color theme="1"/>
      </rPr>
      <t>S3</t>
    </r>
    <r>
      <rPr>
        <rFont val="Arial"/>
        <color theme="1"/>
      </rPr>
      <t xml:space="preserve">- Req. snashot deposit slip
</t>
    </r>
    <r>
      <rPr>
        <rFont val="Arial"/>
        <b/>
        <color theme="1"/>
      </rPr>
      <t xml:space="preserve">EWI </t>
    </r>
    <r>
      <rPr>
        <rFont val="Arial"/>
        <color theme="1"/>
      </rPr>
      <t xml:space="preserve">- Posted query reg. bank transaction
</t>
    </r>
    <r>
      <rPr>
        <rFont val="Arial"/>
        <b/>
        <color theme="1"/>
      </rPr>
      <t>Complete Acupuncture</t>
    </r>
    <r>
      <rPr>
        <rFont val="Arial"/>
        <color theme="1"/>
      </rPr>
      <t xml:space="preserve"> - Req. stmnts for 2024 </t>
    </r>
  </si>
  <si>
    <r>
      <rPr>
        <rFont val="Arial"/>
        <b/>
        <color rgb="FF0000FF"/>
      </rPr>
      <t>Total Monthly Files - 7</t>
    </r>
    <r>
      <rPr>
        <rFont val="Arial"/>
        <color theme="1"/>
      </rPr>
      <t xml:space="preserve">
Posted query - 6
In progress - 1
Yet to start -  0
Review -  0 
Completed - 0
</t>
    </r>
    <r>
      <rPr>
        <rFont val="Arial"/>
        <b/>
        <color rgb="FF0000FF"/>
      </rPr>
      <t xml:space="preserve">Daily Task - 10 (Evangelin)
</t>
    </r>
    <r>
      <rPr>
        <rFont val="Arial"/>
        <b/>
        <color theme="1"/>
      </rPr>
      <t>Est - 1hr</t>
    </r>
  </si>
  <si>
    <t>Daily completed , Monthly - 1 inprogress, Booked -1.50</t>
  </si>
  <si>
    <r>
      <rPr>
        <rFont val="Arial"/>
        <b/>
        <color theme="1"/>
      </rPr>
      <t xml:space="preserve">Inglewood </t>
    </r>
    <r>
      <rPr>
        <rFont val="Arial"/>
        <color theme="1"/>
      </rPr>
      <t xml:space="preserve">- Need to categorize the transactions of Feb (US bank) once the marked stmnt is provided
</t>
    </r>
    <r>
      <rPr>
        <rFont val="Arial"/>
        <b/>
        <color theme="1"/>
      </rPr>
      <t>Movemnet</t>
    </r>
    <r>
      <rPr>
        <rFont val="Arial"/>
        <color theme="1"/>
      </rPr>
      <t xml:space="preserve"> - Req. backup documents for income
</t>
    </r>
    <r>
      <rPr>
        <rFont val="Arial"/>
        <b/>
        <color theme="1"/>
      </rPr>
      <t xml:space="preserve">Skyline </t>
    </r>
    <r>
      <rPr>
        <rFont val="Arial"/>
        <color theme="1"/>
      </rPr>
      <t xml:space="preserve">and </t>
    </r>
    <r>
      <rPr>
        <rFont val="Arial"/>
        <b/>
        <color theme="1"/>
      </rPr>
      <t>S3</t>
    </r>
    <r>
      <rPr>
        <rFont val="Arial"/>
        <color theme="1"/>
      </rPr>
      <t xml:space="preserve">- Req. snashot deposit slip
</t>
    </r>
    <r>
      <rPr>
        <rFont val="Arial"/>
        <b/>
        <color theme="1"/>
      </rPr>
      <t xml:space="preserve">EWI </t>
    </r>
    <r>
      <rPr>
        <rFont val="Arial"/>
        <color theme="1"/>
      </rPr>
      <t>- Posted query reg. bank transacti</t>
    </r>
  </si>
  <si>
    <r>
      <rPr>
        <rFont val="Arial"/>
        <b/>
        <color rgb="FF0000FF"/>
      </rPr>
      <t>Total Monthly Files - 8</t>
    </r>
    <r>
      <rPr>
        <rFont val="Arial"/>
        <color theme="1"/>
      </rPr>
      <t xml:space="preserve">
Posted query - 7
In progress - 1
Yet to start -  0
Review -  0 
Completed - 0
</t>
    </r>
    <r>
      <rPr>
        <rFont val="Arial"/>
        <b/>
        <color rgb="FF0000FF"/>
      </rPr>
      <t xml:space="preserve">Daily Task - 10 (Evangelin)
</t>
    </r>
    <r>
      <rPr>
        <rFont val="Arial"/>
        <b/>
        <color theme="1"/>
      </rPr>
      <t>Est - 4hrs</t>
    </r>
  </si>
  <si>
    <t>Daily completed , Monthly - 1 inprogress, Booked -3.67</t>
  </si>
  <si>
    <r>
      <rPr>
        <rFont val="Arial"/>
        <b/>
        <color theme="1"/>
      </rPr>
      <t xml:space="preserve">Inglewood </t>
    </r>
    <r>
      <rPr>
        <rFont val="Arial"/>
        <color theme="1"/>
      </rPr>
      <t xml:space="preserve">- Need to categorize the transactions of Feb (US bank) once the marked stmnt is provided
</t>
    </r>
    <r>
      <rPr>
        <rFont val="Arial"/>
        <b/>
        <color theme="1"/>
      </rPr>
      <t>Movemnet</t>
    </r>
    <r>
      <rPr>
        <rFont val="Arial"/>
        <color theme="1"/>
      </rPr>
      <t xml:space="preserve"> - Req. backup documents for income
</t>
    </r>
    <r>
      <rPr>
        <rFont val="Arial"/>
        <b/>
        <color theme="1"/>
      </rPr>
      <t xml:space="preserve">Skyline </t>
    </r>
    <r>
      <rPr>
        <rFont val="Arial"/>
        <color theme="1"/>
      </rPr>
      <t xml:space="preserve">and </t>
    </r>
    <r>
      <rPr>
        <rFont val="Arial"/>
        <b/>
        <color theme="1"/>
      </rPr>
      <t>S3</t>
    </r>
    <r>
      <rPr>
        <rFont val="Arial"/>
        <color theme="1"/>
      </rPr>
      <t xml:space="preserve">- Req. snashot deposit slip
</t>
    </r>
    <r>
      <rPr>
        <rFont val="Arial"/>
        <b/>
        <color theme="1"/>
      </rPr>
      <t xml:space="preserve">EWI </t>
    </r>
    <r>
      <rPr>
        <rFont val="Arial"/>
        <color theme="1"/>
      </rPr>
      <t>- Posted query reg. bank transacti</t>
    </r>
  </si>
  <si>
    <t xml:space="preserve">We don't need Nov 2024 in there so I am a little confused why it was added. We are ONLY working on 2025; but you will need to add beginning balances. - I am Forwarding an Email to you to get done today. Thanks. </t>
  </si>
  <si>
    <t xml:space="preserve">We have not received that forward email. Posted message to Rebecca to send the mail. </t>
  </si>
  <si>
    <r>
      <rPr>
        <rFont val="Arial"/>
        <b/>
        <color rgb="FF0000FF"/>
      </rPr>
      <t>Total Monthly Files - 8</t>
    </r>
    <r>
      <rPr>
        <rFont val="Arial"/>
        <color theme="1"/>
      </rPr>
      <t xml:space="preserve">
Posted query - 7
In progress - 0
Yet to start -  1
Review -  0 
Completed - 0
</t>
    </r>
    <r>
      <rPr>
        <rFont val="Arial"/>
        <b/>
        <color rgb="FF0000FF"/>
      </rPr>
      <t xml:space="preserve">Daily Task - 8 (Evangelin)
</t>
    </r>
    <r>
      <rPr>
        <rFont val="Arial"/>
        <b/>
        <color theme="1"/>
      </rPr>
      <t>Est - 2hrs</t>
    </r>
  </si>
  <si>
    <t>DAILY COMPLETED, Booked -0.64</t>
  </si>
  <si>
    <r>
      <rPr>
        <rFont val="Arial"/>
        <b/>
        <color theme="1"/>
      </rPr>
      <t xml:space="preserve">Inglewood </t>
    </r>
    <r>
      <rPr>
        <rFont val="Arial"/>
        <color theme="1"/>
      </rPr>
      <t xml:space="preserve">- Need to categorize the transactions of Feb (US bank) once the marked stmnt is provided
</t>
    </r>
    <r>
      <rPr>
        <rFont val="Arial"/>
        <b/>
        <color theme="1"/>
      </rPr>
      <t>Movemnet</t>
    </r>
    <r>
      <rPr>
        <rFont val="Arial"/>
        <color theme="1"/>
      </rPr>
      <t xml:space="preserve"> - Req. backup documents for income
</t>
    </r>
    <r>
      <rPr>
        <rFont val="Arial"/>
        <b/>
        <color theme="1"/>
      </rPr>
      <t xml:space="preserve">Skyline </t>
    </r>
    <r>
      <rPr>
        <rFont val="Arial"/>
        <color theme="1"/>
      </rPr>
      <t xml:space="preserve">and </t>
    </r>
    <r>
      <rPr>
        <rFont val="Arial"/>
        <b/>
        <color theme="1"/>
      </rPr>
      <t>S3</t>
    </r>
    <r>
      <rPr>
        <rFont val="Arial"/>
        <color theme="1"/>
      </rPr>
      <t xml:space="preserve">- Req. snashot &amp; deposit slip
</t>
    </r>
    <r>
      <rPr>
        <rFont val="Arial"/>
        <b/>
        <color theme="1"/>
      </rPr>
      <t xml:space="preserve">EWI </t>
    </r>
    <r>
      <rPr>
        <rFont val="Arial"/>
        <color theme="1"/>
      </rPr>
      <t xml:space="preserve">- Posted query reg. bank transact
</t>
    </r>
    <r>
      <rPr>
        <rFont val="Arial"/>
        <b/>
        <color theme="1"/>
      </rPr>
      <t>Complete Acupuncture</t>
    </r>
    <r>
      <rPr>
        <rFont val="Arial"/>
        <color theme="1"/>
      </rPr>
      <t xml:space="preserve"> - waiting for gusto access/reports</t>
    </r>
  </si>
  <si>
    <r>
      <rPr>
        <rFont val="Arial"/>
        <b/>
        <color rgb="FF0000FF"/>
      </rPr>
      <t>Total Monthly Files - 8</t>
    </r>
    <r>
      <rPr>
        <rFont val="Arial"/>
        <color theme="1"/>
      </rPr>
      <t xml:space="preserve">
Posted query - 6
In progress - 1
Yet to start -  0
Review -  1 
Completed - 0
</t>
    </r>
    <r>
      <rPr>
        <rFont val="Arial"/>
        <b/>
        <color rgb="FF0000FF"/>
      </rPr>
      <t xml:space="preserve">Daily Task - 10 (Evangelin)
</t>
    </r>
    <r>
      <rPr>
        <rFont val="Arial"/>
        <b/>
        <color theme="1"/>
      </rPr>
      <t>Est - 4hrs</t>
    </r>
  </si>
  <si>
    <t>daily completed , review and monthly inprogress , Booked -3hrs</t>
  </si>
  <si>
    <r>
      <rPr>
        <rFont val="Arial"/>
        <b/>
        <color theme="1"/>
      </rPr>
      <t xml:space="preserve">Inglewood </t>
    </r>
    <r>
      <rPr>
        <rFont val="Arial"/>
        <color theme="1"/>
      </rPr>
      <t xml:space="preserve">- Need to categorize the transactions of Feb (US bank) once the marked stmnt is provided
</t>
    </r>
    <r>
      <rPr>
        <rFont val="Arial"/>
        <b/>
        <color theme="1"/>
      </rPr>
      <t>Movemnet</t>
    </r>
    <r>
      <rPr>
        <rFont val="Arial"/>
        <color theme="1"/>
      </rPr>
      <t xml:space="preserve"> - Req. backup documents for income
</t>
    </r>
    <r>
      <rPr>
        <rFont val="Arial"/>
        <b/>
        <color theme="1"/>
      </rPr>
      <t xml:space="preserve">Skyline </t>
    </r>
    <r>
      <rPr>
        <rFont val="Arial"/>
        <color theme="1"/>
      </rPr>
      <t xml:space="preserve">and </t>
    </r>
    <r>
      <rPr>
        <rFont val="Arial"/>
        <b/>
        <color theme="1"/>
      </rPr>
      <t>S3</t>
    </r>
    <r>
      <rPr>
        <rFont val="Arial"/>
        <color theme="1"/>
      </rPr>
      <t xml:space="preserve">- Req. snashot &amp; deposit slip
</t>
    </r>
    <r>
      <rPr>
        <rFont val="Arial"/>
        <b/>
        <color theme="1"/>
      </rPr>
      <t xml:space="preserve">EWI </t>
    </r>
    <r>
      <rPr>
        <rFont val="Arial"/>
        <color theme="1"/>
      </rPr>
      <t xml:space="preserve">- Posted query reg. bank transact
</t>
    </r>
    <r>
      <rPr>
        <rFont val="Arial"/>
        <b/>
        <color theme="1"/>
      </rPr>
      <t>Complete Acupuncture</t>
    </r>
    <r>
      <rPr>
        <rFont val="Arial"/>
        <color theme="1"/>
      </rPr>
      <t xml:space="preserve"> - waiting for gusto access/reports</t>
    </r>
  </si>
  <si>
    <r>
      <rPr>
        <rFont val="Arial"/>
        <b/>
        <color rgb="FF0000FF"/>
      </rPr>
      <t>Total Monthly Files - 8</t>
    </r>
    <r>
      <rPr>
        <rFont val="Arial"/>
        <color theme="1"/>
      </rPr>
      <t xml:space="preserve">
Posted query - 6
In progress - 1 (Evangelin)
Yet to start -  0
Review -  1  (Evangelin)
Completed - 0
</t>
    </r>
    <r>
      <rPr>
        <rFont val="Arial"/>
        <b/>
        <color rgb="FF0000FF"/>
      </rPr>
      <t xml:space="preserve">Daily Task - 0
</t>
    </r>
    <r>
      <rPr>
        <rFont val="Arial"/>
        <b/>
        <color theme="1"/>
      </rPr>
      <t>Est - 2hrs</t>
    </r>
  </si>
  <si>
    <t>Monthly - inprogres , review - completed, Booked -1.49hrs</t>
  </si>
  <si>
    <r>
      <rPr>
        <rFont val="Arial"/>
        <b/>
        <color theme="1"/>
      </rPr>
      <t xml:space="preserve">Inglewood </t>
    </r>
    <r>
      <rPr>
        <rFont val="Arial"/>
        <color theme="1"/>
      </rPr>
      <t xml:space="preserve">- Need to categorize the transactions of Feb (US bank) once the marked stmnt is provided
</t>
    </r>
    <r>
      <rPr>
        <rFont val="Arial"/>
        <b/>
        <color theme="1"/>
      </rPr>
      <t>Movemnet</t>
    </r>
    <r>
      <rPr>
        <rFont val="Arial"/>
        <color theme="1"/>
      </rPr>
      <t xml:space="preserve"> - Req. backup documents for income
</t>
    </r>
    <r>
      <rPr>
        <rFont val="Arial"/>
        <b/>
        <color theme="1"/>
      </rPr>
      <t xml:space="preserve">Skyline </t>
    </r>
    <r>
      <rPr>
        <rFont val="Arial"/>
        <color theme="1"/>
      </rPr>
      <t xml:space="preserve">and </t>
    </r>
    <r>
      <rPr>
        <rFont val="Arial"/>
        <b/>
        <color theme="1"/>
      </rPr>
      <t>S3</t>
    </r>
    <r>
      <rPr>
        <rFont val="Arial"/>
        <color theme="1"/>
      </rPr>
      <t xml:space="preserve">- Req. snashot &amp; deposit slip
</t>
    </r>
    <r>
      <rPr>
        <rFont val="Arial"/>
        <b/>
        <color theme="1"/>
      </rPr>
      <t xml:space="preserve">EWI </t>
    </r>
    <r>
      <rPr>
        <rFont val="Arial"/>
        <color theme="1"/>
      </rPr>
      <t xml:space="preserve">- Posted query reg. bank transact
</t>
    </r>
    <r>
      <rPr>
        <rFont val="Arial"/>
        <b/>
        <color theme="1"/>
      </rPr>
      <t>Complete Acupuncture</t>
    </r>
    <r>
      <rPr>
        <rFont val="Arial"/>
        <color theme="1"/>
      </rPr>
      <t xml:space="preserve"> - waiting for gusto access/reports.</t>
    </r>
  </si>
  <si>
    <r>
      <rPr>
        <rFont val="Arial"/>
        <b/>
        <color rgb="FF0000FF"/>
      </rPr>
      <t>Total Monthly Files - 8</t>
    </r>
    <r>
      <rPr>
        <rFont val="Arial"/>
        <color theme="1"/>
      </rPr>
      <t xml:space="preserve">
Posted query - 6
In progress - 1 (Evangelin)
Yet to start -  0
Review -  0  (Evangelin)
Completed - 1
</t>
    </r>
    <r>
      <rPr>
        <rFont val="Arial"/>
        <b/>
        <color rgb="FF0000FF"/>
      </rPr>
      <t xml:space="preserve">Daily Task - 10 (Evangelin)
</t>
    </r>
    <r>
      <rPr>
        <rFont val="Arial"/>
        <b/>
        <color theme="1"/>
      </rPr>
      <t>Est - 3hrs</t>
    </r>
  </si>
  <si>
    <t>Booked -.2.07hrs, daily completed</t>
  </si>
  <si>
    <r>
      <rPr>
        <rFont val="Arial"/>
        <b/>
        <color theme="1"/>
      </rPr>
      <t xml:space="preserve">Inglewood </t>
    </r>
    <r>
      <rPr>
        <rFont val="Arial"/>
        <color theme="1"/>
      </rPr>
      <t xml:space="preserve">- Need to categorize the transactions of Feb (US bank) once the marked stmnt is provided
</t>
    </r>
    <r>
      <rPr>
        <rFont val="Arial"/>
        <b/>
        <color theme="1"/>
      </rPr>
      <t>Movemnet</t>
    </r>
    <r>
      <rPr>
        <rFont val="Arial"/>
        <color theme="1"/>
      </rPr>
      <t xml:space="preserve"> - Req. backup documents for income
</t>
    </r>
    <r>
      <rPr>
        <rFont val="Arial"/>
        <b/>
        <color theme="1"/>
      </rPr>
      <t xml:space="preserve">Skyline </t>
    </r>
    <r>
      <rPr>
        <rFont val="Arial"/>
        <color theme="1"/>
      </rPr>
      <t xml:space="preserve">and </t>
    </r>
    <r>
      <rPr>
        <rFont val="Arial"/>
        <b/>
        <color theme="1"/>
      </rPr>
      <t>S3</t>
    </r>
    <r>
      <rPr>
        <rFont val="Arial"/>
        <color theme="1"/>
      </rPr>
      <t xml:space="preserve">- Req. snashot &amp; deposit slip
</t>
    </r>
    <r>
      <rPr>
        <rFont val="Arial"/>
        <b/>
        <color theme="1"/>
      </rPr>
      <t xml:space="preserve">EWI </t>
    </r>
    <r>
      <rPr>
        <rFont val="Arial"/>
        <color theme="1"/>
      </rPr>
      <t xml:space="preserve">- Posted query reg. bank transact
</t>
    </r>
    <r>
      <rPr>
        <rFont val="Arial"/>
        <b/>
        <color theme="1"/>
      </rPr>
      <t>Complete Acupuncture</t>
    </r>
    <r>
      <rPr>
        <rFont val="Arial"/>
        <color theme="1"/>
      </rPr>
      <t xml:space="preserve"> - waiting for gusto access/reports.</t>
    </r>
  </si>
  <si>
    <r>
      <rPr>
        <rFont val="Arial"/>
        <b/>
        <color rgb="FF0000FF"/>
      </rPr>
      <t>Total Monthly Files - 8</t>
    </r>
    <r>
      <rPr>
        <rFont val="Arial"/>
        <color theme="1"/>
      </rPr>
      <t xml:space="preserve">
Posted query - 5
In progress - 1 (Evangelin)
Yet to start -  0
Review -  1  
Completed - 1
</t>
    </r>
    <r>
      <rPr>
        <rFont val="Arial"/>
        <b/>
        <color rgb="FF0000FF"/>
      </rPr>
      <t xml:space="preserve">Daily Task - 10 (Evangelin)
</t>
    </r>
    <r>
      <rPr>
        <rFont val="Arial"/>
        <b/>
        <color theme="1"/>
      </rPr>
      <t>Est - 4hrs</t>
    </r>
  </si>
  <si>
    <t>review and daily completed , Booked -3.16</t>
  </si>
  <si>
    <r>
      <rPr>
        <rFont val="Arial"/>
        <b/>
        <color theme="1"/>
      </rPr>
      <t xml:space="preserve">Inglewood </t>
    </r>
    <r>
      <rPr>
        <rFont val="Arial"/>
        <color theme="1"/>
      </rPr>
      <t xml:space="preserve">- Need to categorize the transactions of Feb (US bank) once the marked stmnt is provided
</t>
    </r>
    <r>
      <rPr>
        <rFont val="Arial"/>
        <b/>
        <color theme="1"/>
      </rPr>
      <t xml:space="preserve">Skyline </t>
    </r>
    <r>
      <rPr>
        <rFont val="Arial"/>
        <color theme="1"/>
      </rPr>
      <t xml:space="preserve">and </t>
    </r>
    <r>
      <rPr>
        <rFont val="Arial"/>
        <b/>
        <color theme="1"/>
      </rPr>
      <t>S3</t>
    </r>
    <r>
      <rPr>
        <rFont val="Arial"/>
        <color theme="1"/>
      </rPr>
      <t xml:space="preserve">- Req. snashot &amp; deposit slip
</t>
    </r>
    <r>
      <rPr>
        <rFont val="Arial"/>
        <b/>
        <color theme="1"/>
      </rPr>
      <t xml:space="preserve">EWI </t>
    </r>
    <r>
      <rPr>
        <rFont val="Arial"/>
        <color theme="1"/>
      </rPr>
      <t xml:space="preserve">- Posted query reg. bank transact
</t>
    </r>
    <r>
      <rPr>
        <rFont val="Arial"/>
        <b/>
        <color theme="1"/>
      </rPr>
      <t>Complete Acupuncture</t>
    </r>
    <r>
      <rPr>
        <rFont val="Arial"/>
        <color theme="1"/>
      </rPr>
      <t xml:space="preserve"> - waiting for gusto access/reports.</t>
    </r>
  </si>
  <si>
    <r>
      <rPr>
        <rFont val="Arial"/>
        <b/>
        <color rgb="FF0000FF"/>
      </rPr>
      <t>Total Monthly Files - 8</t>
    </r>
    <r>
      <rPr>
        <rFont val="Arial"/>
        <color theme="1"/>
      </rPr>
      <t xml:space="preserve">
Posted query - 5
In progress - 1 (Evangelin)
Yet to start -  0
Review -  0  
Completed - 1
</t>
    </r>
    <r>
      <rPr>
        <rFont val="Arial"/>
        <b/>
        <color rgb="FF0000FF"/>
      </rPr>
      <t xml:space="preserve">Daily Task - 8 (Evangelin)
</t>
    </r>
    <r>
      <rPr>
        <rFont val="Arial"/>
        <b/>
        <color theme="1"/>
      </rPr>
      <t>Est - 2hrs</t>
    </r>
  </si>
  <si>
    <t>daily -completed
Booked - 1.95</t>
  </si>
  <si>
    <r>
      <rPr>
        <rFont val="Arial"/>
        <b/>
        <color theme="1"/>
      </rPr>
      <t xml:space="preserve">Inglewood </t>
    </r>
    <r>
      <rPr>
        <rFont val="Arial"/>
        <color theme="1"/>
      </rPr>
      <t xml:space="preserve">- Need to categorize the transactions of Feb (US bank) once the marked stmnt is provided
</t>
    </r>
    <r>
      <rPr>
        <rFont val="Arial"/>
        <b/>
        <color theme="1"/>
      </rPr>
      <t xml:space="preserve">Skyline </t>
    </r>
    <r>
      <rPr>
        <rFont val="Arial"/>
        <color theme="1"/>
      </rPr>
      <t xml:space="preserve">and </t>
    </r>
    <r>
      <rPr>
        <rFont val="Arial"/>
        <b/>
        <color theme="1"/>
      </rPr>
      <t>S3</t>
    </r>
    <r>
      <rPr>
        <rFont val="Arial"/>
        <color theme="1"/>
      </rPr>
      <t xml:space="preserve">- Req. snashot &amp; deposit slip
</t>
    </r>
    <r>
      <rPr>
        <rFont val="Arial"/>
        <b/>
        <color theme="1"/>
      </rPr>
      <t xml:space="preserve">EWI </t>
    </r>
    <r>
      <rPr>
        <rFont val="Arial"/>
        <color theme="1"/>
      </rPr>
      <t xml:space="preserve">- Posted query reg. bank transact
</t>
    </r>
    <r>
      <rPr>
        <rFont val="Arial"/>
        <b/>
        <color theme="1"/>
      </rPr>
      <t>Complete Acupuncture</t>
    </r>
    <r>
      <rPr>
        <rFont val="Arial"/>
        <color theme="1"/>
      </rPr>
      <t xml:space="preserve"> - waiting for gusto access/reports.</t>
    </r>
  </si>
  <si>
    <t xml:space="preserve">Swetha is on PTO, hence Hema updated the status. </t>
  </si>
  <si>
    <r>
      <rPr>
        <rFont val="Arial"/>
        <b/>
        <color rgb="FF0000FF"/>
      </rPr>
      <t>Total Monthly Files - 8</t>
    </r>
    <r>
      <rPr>
        <rFont val="Arial"/>
        <color theme="1"/>
      </rPr>
      <t xml:space="preserve">
Posted query - 5
In progress - 1 (Evangelin)
Yet to start -  0
Review -  0  
Completed - 2
</t>
    </r>
    <r>
      <rPr>
        <rFont val="Arial"/>
        <b/>
        <color rgb="FF0000FF"/>
      </rPr>
      <t xml:space="preserve">Daily Task - 8 (Evangelin)
</t>
    </r>
    <r>
      <rPr>
        <rFont val="Arial"/>
        <b/>
        <color theme="1"/>
      </rPr>
      <t>Est - 2hrs</t>
    </r>
  </si>
  <si>
    <t>daily -completed
Booked - 1.28 hrs</t>
  </si>
  <si>
    <r>
      <rPr>
        <rFont val="Arial"/>
        <b/>
        <color theme="1"/>
      </rPr>
      <t xml:space="preserve">Inglewood </t>
    </r>
    <r>
      <rPr>
        <rFont val="Arial"/>
        <color theme="1"/>
      </rPr>
      <t xml:space="preserve">- Need to categorize the transactions of Feb (US bank) once the marked stmnt is provided
</t>
    </r>
    <r>
      <rPr>
        <rFont val="Arial"/>
        <b/>
        <color theme="1"/>
      </rPr>
      <t xml:space="preserve">Skyline </t>
    </r>
    <r>
      <rPr>
        <rFont val="Arial"/>
        <color theme="1"/>
      </rPr>
      <t xml:space="preserve">and </t>
    </r>
    <r>
      <rPr>
        <rFont val="Arial"/>
        <b/>
        <color theme="1"/>
      </rPr>
      <t>S3</t>
    </r>
    <r>
      <rPr>
        <rFont val="Arial"/>
        <color theme="1"/>
      </rPr>
      <t xml:space="preserve">- Req. snashot &amp; deposit slip
</t>
    </r>
    <r>
      <rPr>
        <rFont val="Arial"/>
        <b/>
        <color theme="1"/>
      </rPr>
      <t xml:space="preserve">EWI </t>
    </r>
    <r>
      <rPr>
        <rFont val="Arial"/>
        <color theme="1"/>
      </rPr>
      <t xml:space="preserve">- Posted query reg. bank transact
</t>
    </r>
    <r>
      <rPr>
        <rFont val="Arial"/>
        <b/>
        <color theme="1"/>
      </rPr>
      <t>Complete Acupuncture</t>
    </r>
    <r>
      <rPr>
        <rFont val="Arial"/>
        <color theme="1"/>
      </rPr>
      <t xml:space="preserve"> and </t>
    </r>
    <r>
      <rPr>
        <rFont val="Arial"/>
        <b/>
        <color theme="1"/>
      </rPr>
      <t>NEwlife</t>
    </r>
    <r>
      <rPr>
        <rFont val="Arial"/>
        <color theme="1"/>
      </rPr>
      <t xml:space="preserve"> - waiting for pyrll access/reports.</t>
    </r>
  </si>
  <si>
    <r>
      <rPr>
        <rFont val="Arial"/>
        <b/>
        <color rgb="FF0000FF"/>
      </rPr>
      <t>Total Monthly Files - 8</t>
    </r>
    <r>
      <rPr>
        <rFont val="Arial"/>
        <color theme="1"/>
      </rPr>
      <t xml:space="preserve">
Posted query - 6
In progress - 0
Yet to start -  0
Review -  0  
Completed - 2
</t>
    </r>
    <r>
      <rPr>
        <rFont val="Arial"/>
        <b/>
        <color rgb="FF0000FF"/>
      </rPr>
      <t xml:space="preserve">Daily Task - 8 (Evangelin)
</t>
    </r>
    <r>
      <rPr>
        <rFont val="Arial"/>
        <b/>
        <color theme="1"/>
      </rPr>
      <t>Est - 3hrs</t>
    </r>
  </si>
  <si>
    <t>Booked -2.89hrs, Daily - completed</t>
  </si>
  <si>
    <r>
      <rPr>
        <rFont val="Arial"/>
        <b/>
        <color theme="1"/>
      </rPr>
      <t xml:space="preserve">Inglewood </t>
    </r>
    <r>
      <rPr>
        <rFont val="Arial"/>
        <color theme="1"/>
      </rPr>
      <t xml:space="preserve">- Need to categorize the transactions of Feb (US bank) once the marked stmnt is provided
</t>
    </r>
    <r>
      <rPr>
        <rFont val="Arial"/>
        <b/>
        <color theme="1"/>
      </rPr>
      <t xml:space="preserve">Skyline </t>
    </r>
    <r>
      <rPr>
        <rFont val="Arial"/>
        <color theme="1"/>
      </rPr>
      <t xml:space="preserve">and </t>
    </r>
    <r>
      <rPr>
        <rFont val="Arial"/>
        <b/>
        <color theme="1"/>
      </rPr>
      <t>S3</t>
    </r>
    <r>
      <rPr>
        <rFont val="Arial"/>
        <color theme="1"/>
      </rPr>
      <t xml:space="preserve">- Req. snashot &amp; deposit slip
</t>
    </r>
    <r>
      <rPr>
        <rFont val="Arial"/>
        <b/>
        <color theme="1"/>
      </rPr>
      <t xml:space="preserve">EWI </t>
    </r>
    <r>
      <rPr>
        <rFont val="Arial"/>
        <color theme="1"/>
      </rPr>
      <t xml:space="preserve">- Posted query reg. bank transact
</t>
    </r>
    <r>
      <rPr>
        <rFont val="Arial"/>
        <b/>
        <color theme="1"/>
      </rPr>
      <t>Complete Acupuncture</t>
    </r>
    <r>
      <rPr>
        <rFont val="Arial"/>
        <color theme="1"/>
      </rPr>
      <t xml:space="preserve"> and </t>
    </r>
    <r>
      <rPr>
        <rFont val="Arial"/>
        <b/>
        <color theme="1"/>
      </rPr>
      <t>NEwlife</t>
    </r>
    <r>
      <rPr>
        <rFont val="Arial"/>
        <color theme="1"/>
      </rPr>
      <t xml:space="preserve"> - waiting for pyrll access/reports.</t>
    </r>
  </si>
  <si>
    <r>
      <rPr>
        <rFont val="Arial"/>
        <b/>
        <color rgb="FF0000FF"/>
      </rPr>
      <t>Total Monthly Files - 8</t>
    </r>
    <r>
      <rPr>
        <rFont val="Arial"/>
        <color theme="1"/>
      </rPr>
      <t xml:space="preserve">
Posted query - 6
In progress - 0
Yet to start -  0
Review -  0  
Task - 1
Completed - 2
</t>
    </r>
    <r>
      <rPr>
        <rFont val="Arial"/>
        <b/>
        <color rgb="FF0000FF"/>
      </rPr>
      <t xml:space="preserve">Daily Task - 0
</t>
    </r>
    <r>
      <rPr>
        <rFont val="Arial"/>
        <b/>
        <color theme="1"/>
      </rPr>
      <t>Est - 30mins</t>
    </r>
  </si>
  <si>
    <t>Booked -0.57</t>
  </si>
  <si>
    <r>
      <rPr>
        <rFont val="Arial"/>
        <b/>
        <color theme="1"/>
      </rPr>
      <t xml:space="preserve">Inglewood </t>
    </r>
    <r>
      <rPr>
        <rFont val="Arial"/>
        <color theme="1"/>
      </rPr>
      <t xml:space="preserve">- Need to categorize the transactions of Feb (US bank) once the marked stmnt is provided
</t>
    </r>
    <r>
      <rPr>
        <rFont val="Arial"/>
        <b/>
        <color theme="1"/>
      </rPr>
      <t xml:space="preserve">Skyline </t>
    </r>
    <r>
      <rPr>
        <rFont val="Arial"/>
        <color theme="1"/>
      </rPr>
      <t xml:space="preserve">and </t>
    </r>
    <r>
      <rPr>
        <rFont val="Arial"/>
        <b/>
        <color theme="1"/>
      </rPr>
      <t>S3</t>
    </r>
    <r>
      <rPr>
        <rFont val="Arial"/>
        <color theme="1"/>
      </rPr>
      <t xml:space="preserve">- Req. snashot &amp; deposit slip
</t>
    </r>
    <r>
      <rPr>
        <rFont val="Arial"/>
        <b/>
        <color theme="1"/>
      </rPr>
      <t xml:space="preserve">EWI </t>
    </r>
    <r>
      <rPr>
        <rFont val="Arial"/>
        <color theme="1"/>
      </rPr>
      <t xml:space="preserve">- Posted query reg. bank transact
</t>
    </r>
    <r>
      <rPr>
        <rFont val="Arial"/>
        <b/>
        <color theme="1"/>
      </rPr>
      <t>Complete Acupuncture</t>
    </r>
    <r>
      <rPr>
        <rFont val="Arial"/>
        <color theme="1"/>
      </rPr>
      <t xml:space="preserve"> and </t>
    </r>
    <r>
      <rPr>
        <rFont val="Arial"/>
        <b/>
        <color theme="1"/>
      </rPr>
      <t>NEwlife</t>
    </r>
    <r>
      <rPr>
        <rFont val="Arial"/>
        <color theme="1"/>
      </rPr>
      <t xml:space="preserve"> - waiting for pyrll access/reports.</t>
    </r>
  </si>
  <si>
    <r>
      <rPr>
        <rFont val="Arial"/>
        <b/>
        <color rgb="FF0000FF"/>
      </rPr>
      <t>Total Monthly Files - 8</t>
    </r>
    <r>
      <rPr>
        <rFont val="Arial"/>
        <color theme="1"/>
      </rPr>
      <t xml:space="preserve">
Posted query - 6
In progress - 0
Yet to start -  0
Review -  0  
Completed - 2
</t>
    </r>
    <r>
      <rPr>
        <rFont val="Arial"/>
        <b/>
        <color rgb="FF0000FF"/>
      </rPr>
      <t xml:space="preserve">Daily Task - 10 (Evangelin)
</t>
    </r>
    <r>
      <rPr>
        <rFont val="Arial"/>
        <b/>
        <color theme="1"/>
      </rPr>
      <t>Est - 2.30hrs</t>
    </r>
  </si>
  <si>
    <t>Completed - daily
Booked - 1.66 hrs</t>
  </si>
  <si>
    <r>
      <rPr>
        <rFont val="Arial"/>
        <b/>
        <color theme="1"/>
      </rPr>
      <t xml:space="preserve">Inglewood </t>
    </r>
    <r>
      <rPr>
        <rFont val="Arial"/>
        <color theme="1"/>
      </rPr>
      <t xml:space="preserve">- Need to categorize the transactions of Feb (US bank) once the marked stmnt is provided
</t>
    </r>
    <r>
      <rPr>
        <rFont val="Arial"/>
        <b/>
        <color theme="1"/>
      </rPr>
      <t xml:space="preserve">Skyline </t>
    </r>
    <r>
      <rPr>
        <rFont val="Arial"/>
        <color theme="1"/>
      </rPr>
      <t xml:space="preserve">and </t>
    </r>
    <r>
      <rPr>
        <rFont val="Arial"/>
        <b/>
        <color theme="1"/>
      </rPr>
      <t>S3</t>
    </r>
    <r>
      <rPr>
        <rFont val="Arial"/>
        <color theme="1"/>
      </rPr>
      <t xml:space="preserve">- Req. snashot &amp; deposit slip
</t>
    </r>
    <r>
      <rPr>
        <rFont val="Arial"/>
        <b/>
        <color theme="1"/>
      </rPr>
      <t xml:space="preserve">EWI </t>
    </r>
    <r>
      <rPr>
        <rFont val="Arial"/>
        <color theme="1"/>
      </rPr>
      <t xml:space="preserve">- Posted query reg. bank transact
</t>
    </r>
    <r>
      <rPr>
        <rFont val="Arial"/>
        <b/>
        <color theme="1"/>
      </rPr>
      <t>Complete Acupuncture</t>
    </r>
    <r>
      <rPr>
        <rFont val="Arial"/>
        <color theme="1"/>
      </rPr>
      <t xml:space="preserve"> and </t>
    </r>
    <r>
      <rPr>
        <rFont val="Arial"/>
        <b/>
        <color theme="1"/>
      </rPr>
      <t>NEwlife</t>
    </r>
    <r>
      <rPr>
        <rFont val="Arial"/>
        <color theme="1"/>
      </rPr>
      <t xml:space="preserve"> - waiting for pyrll access/reports.</t>
    </r>
  </si>
  <si>
    <r>
      <rPr>
        <rFont val="Arial"/>
        <b/>
        <color rgb="FF0000FF"/>
      </rPr>
      <t>Total Monthly Files - 8</t>
    </r>
    <r>
      <rPr>
        <rFont val="Arial"/>
        <color theme="1"/>
      </rPr>
      <t xml:space="preserve">
Posted query - 6
In progress - 0
Yet to start -  0
Review -  0  
Completed - 2
</t>
    </r>
    <r>
      <rPr>
        <rFont val="Arial"/>
        <b/>
        <color rgb="FF0000FF"/>
      </rPr>
      <t xml:space="preserve">Daily Task - 10 (Evangelin)
</t>
    </r>
    <r>
      <rPr>
        <rFont val="Arial"/>
        <b/>
        <color theme="1"/>
      </rPr>
      <t>Est - 2hrs</t>
    </r>
  </si>
  <si>
    <t>Completed - daily
Booked - 1.37 hrs</t>
  </si>
  <si>
    <r>
      <rPr>
        <rFont val="Arial"/>
        <b/>
        <color theme="1"/>
      </rPr>
      <t xml:space="preserve">Inglewood </t>
    </r>
    <r>
      <rPr>
        <rFont val="Arial"/>
        <color theme="1"/>
      </rPr>
      <t xml:space="preserve">- Need to categorize the transactions of Feb (US bank) once the marked stmnt is provided
</t>
    </r>
    <r>
      <rPr>
        <rFont val="Arial"/>
        <b/>
        <color theme="1"/>
      </rPr>
      <t xml:space="preserve">Skyline </t>
    </r>
    <r>
      <rPr>
        <rFont val="Arial"/>
        <color theme="1"/>
      </rPr>
      <t xml:space="preserve">and </t>
    </r>
    <r>
      <rPr>
        <rFont val="Arial"/>
        <b/>
        <color theme="1"/>
      </rPr>
      <t>S3</t>
    </r>
    <r>
      <rPr>
        <rFont val="Arial"/>
        <color theme="1"/>
      </rPr>
      <t xml:space="preserve">- Req. snashot &amp; deposit slip
</t>
    </r>
    <r>
      <rPr>
        <rFont val="Arial"/>
        <b/>
        <color theme="1"/>
      </rPr>
      <t xml:space="preserve">EWI </t>
    </r>
    <r>
      <rPr>
        <rFont val="Arial"/>
        <color theme="1"/>
      </rPr>
      <t xml:space="preserve">- Posted query reg. bank transact
</t>
    </r>
    <r>
      <rPr>
        <rFont val="Arial"/>
        <b/>
        <color theme="1"/>
      </rPr>
      <t>Complete Acupuncture</t>
    </r>
    <r>
      <rPr>
        <rFont val="Arial"/>
        <color theme="1"/>
      </rPr>
      <t xml:space="preserve"> and </t>
    </r>
    <r>
      <rPr>
        <rFont val="Arial"/>
        <b/>
        <color theme="1"/>
      </rPr>
      <t>NEwlife</t>
    </r>
    <r>
      <rPr>
        <rFont val="Arial"/>
        <color theme="1"/>
      </rPr>
      <t xml:space="preserve"> - waiting for pyrll access/reports.</t>
    </r>
  </si>
  <si>
    <r>
      <rPr>
        <rFont val="Arial"/>
        <b/>
        <color rgb="FF0000FF"/>
      </rPr>
      <t>Total Monthly Files - 8</t>
    </r>
    <r>
      <rPr>
        <rFont val="Arial"/>
        <color theme="1"/>
      </rPr>
      <t xml:space="preserve">
Posted query - 6
In progress - 0
Yet to start -  0
Review -  0  
Completed - 2
</t>
    </r>
    <r>
      <rPr>
        <rFont val="Arial"/>
        <b/>
        <color rgb="FF0000FF"/>
      </rPr>
      <t xml:space="preserve">Daily Task - 10 (swetha)
</t>
    </r>
    <r>
      <rPr>
        <rFont val="Arial"/>
        <b/>
        <color theme="1"/>
      </rPr>
      <t>Est - 2hrs</t>
    </r>
  </si>
  <si>
    <t>In Process - Booked -1.01</t>
  </si>
  <si>
    <r>
      <rPr>
        <rFont val="Arial"/>
        <b/>
        <color theme="1"/>
      </rPr>
      <t xml:space="preserve">Inglewood </t>
    </r>
    <r>
      <rPr>
        <rFont val="Arial"/>
        <color theme="1"/>
      </rPr>
      <t xml:space="preserve">- Need to categorize the transactions of Feb (US bank) once the marked stmnt is provided
</t>
    </r>
    <r>
      <rPr>
        <rFont val="Arial"/>
        <b/>
        <color theme="1"/>
      </rPr>
      <t xml:space="preserve">Skyline </t>
    </r>
    <r>
      <rPr>
        <rFont val="Arial"/>
        <color theme="1"/>
      </rPr>
      <t xml:space="preserve">and </t>
    </r>
    <r>
      <rPr>
        <rFont val="Arial"/>
        <b/>
        <color theme="1"/>
      </rPr>
      <t>S3</t>
    </r>
    <r>
      <rPr>
        <rFont val="Arial"/>
        <color theme="1"/>
      </rPr>
      <t xml:space="preserve">- Req. snashot &amp; deposit slip
</t>
    </r>
    <r>
      <rPr>
        <rFont val="Arial"/>
        <b/>
        <color theme="1"/>
      </rPr>
      <t xml:space="preserve">EWI </t>
    </r>
    <r>
      <rPr>
        <rFont val="Arial"/>
        <color theme="1"/>
      </rPr>
      <t xml:space="preserve">- Posted query reg. bank transact
</t>
    </r>
    <r>
      <rPr>
        <rFont val="Arial"/>
        <b/>
        <color theme="1"/>
      </rPr>
      <t>Complete Acupuncture</t>
    </r>
    <r>
      <rPr>
        <rFont val="Arial"/>
        <color theme="1"/>
      </rPr>
      <t xml:space="preserve"> and </t>
    </r>
    <r>
      <rPr>
        <rFont val="Arial"/>
        <b/>
        <color theme="1"/>
      </rPr>
      <t>NEwlife</t>
    </r>
    <r>
      <rPr>
        <rFont val="Arial"/>
        <color theme="1"/>
      </rPr>
      <t xml:space="preserve"> - waiting for pyrll access/reports.</t>
    </r>
  </si>
  <si>
    <r>
      <rPr>
        <rFont val="Arial"/>
        <b/>
        <color rgb="FF0000FF"/>
      </rPr>
      <t>Total Monthly Files - 8</t>
    </r>
    <r>
      <rPr>
        <rFont val="Arial"/>
        <color theme="1"/>
      </rPr>
      <t xml:space="preserve">
Posted query - 3
In progress - 1
Yet to start -  0
Review -  2 
Completed - 2
</t>
    </r>
    <r>
      <rPr>
        <rFont val="Arial"/>
        <b/>
        <color rgb="FF0000FF"/>
      </rPr>
      <t xml:space="preserve">Daily Task - 10 (Evangelin)
</t>
    </r>
    <r>
      <rPr>
        <rFont val="Arial"/>
        <b/>
        <color theme="1"/>
      </rPr>
      <t>Est - 6hrs</t>
    </r>
  </si>
  <si>
    <t>Daily and review - completed, Booked -5.45</t>
  </si>
  <si>
    <r>
      <rPr>
        <rFont val="Arial"/>
        <b/>
        <color theme="1"/>
      </rPr>
      <t xml:space="preserve">Inglewood </t>
    </r>
    <r>
      <rPr>
        <rFont val="Arial"/>
        <color theme="1"/>
      </rPr>
      <t xml:space="preserve">- Need to categorize the transactions of Feb (US bank) once the marked stmnt is provided
</t>
    </r>
    <r>
      <rPr>
        <rFont val="Arial"/>
        <b/>
        <color theme="1"/>
      </rPr>
      <t>NEwlife</t>
    </r>
    <r>
      <rPr>
        <rFont val="Arial"/>
        <color theme="1"/>
      </rPr>
      <t xml:space="preserve"> - waiting for pyrll access/reports.</t>
    </r>
  </si>
  <si>
    <r>
      <rPr>
        <rFont val="Arial"/>
        <b/>
        <color rgb="FF0000FF"/>
      </rPr>
      <t>Total Monthly Files - 8</t>
    </r>
    <r>
      <rPr>
        <rFont val="Arial"/>
        <color theme="1"/>
      </rPr>
      <t xml:space="preserve">
Posted query - 2
In progress - 0
Yet to start -  0
Review -  2 
Completed - 4
</t>
    </r>
    <r>
      <rPr>
        <rFont val="Arial"/>
        <b/>
        <color rgb="FF0000FF"/>
      </rPr>
      <t xml:space="preserve">Daily Task - 10 (Evangelin)
</t>
    </r>
    <r>
      <rPr>
        <rFont val="Arial"/>
        <b/>
        <color theme="1"/>
      </rPr>
      <t>Est - 6hrs</t>
    </r>
  </si>
  <si>
    <t>Booked -5.59hrs
Review and daily completed</t>
  </si>
  <si>
    <r>
      <rPr>
        <rFont val="Arial"/>
        <b/>
        <color theme="1"/>
      </rPr>
      <t xml:space="preserve">Inglewood </t>
    </r>
    <r>
      <rPr>
        <rFont val="Arial"/>
        <color theme="1"/>
      </rPr>
      <t xml:space="preserve">- Need to categorize the transactions of Feb (US bank) once the marked stmnt is provided
</t>
    </r>
    <r>
      <rPr>
        <rFont val="Arial"/>
        <b/>
        <color theme="1"/>
      </rPr>
      <t>NEwlife</t>
    </r>
    <r>
      <rPr>
        <rFont val="Arial"/>
        <color theme="1"/>
      </rPr>
      <t xml:space="preserve"> - waiting for pyrll access/reports.</t>
    </r>
  </si>
  <si>
    <r>
      <rPr>
        <rFont val="Arial"/>
        <b/>
        <color rgb="FF0000FF"/>
      </rPr>
      <t>Total Monthly Files - 8</t>
    </r>
    <r>
      <rPr>
        <rFont val="Arial"/>
        <color theme="1"/>
      </rPr>
      <t xml:space="preserve">
Posted query - 1
In progress - 1
Yet to start -  0
Review -  0 
Completed - 6
</t>
    </r>
    <r>
      <rPr>
        <rFont val="Arial"/>
        <b/>
        <color rgb="FF0000FF"/>
      </rPr>
      <t xml:space="preserve">Daily Task - 10 (Evangelin)
</t>
    </r>
    <r>
      <rPr>
        <rFont val="Arial"/>
        <b/>
        <color theme="1"/>
      </rPr>
      <t>Est - 5hrs</t>
    </r>
  </si>
  <si>
    <t>Booked -4.24hrs</t>
  </si>
  <si>
    <r>
      <rPr>
        <rFont val="Arial"/>
        <b/>
        <color theme="1"/>
      </rPr>
      <t xml:space="preserve">Inglewood </t>
    </r>
    <r>
      <rPr>
        <rFont val="Arial"/>
        <color theme="1"/>
      </rPr>
      <t xml:space="preserve">- Need to categorize the transactions of Feb (US bank) once the marked stmnt is provided
</t>
    </r>
  </si>
  <si>
    <r>
      <rPr>
        <rFont val="Arial"/>
        <b/>
        <color rgb="FF0000FF"/>
      </rPr>
      <t>Total Monthly Files - 8</t>
    </r>
    <r>
      <rPr>
        <rFont val="Arial"/>
        <color theme="1"/>
      </rPr>
      <t xml:space="preserve">
Posted query - 0
In progress - 1
Yet to start -  7
Review -  0 
Completed - 0
</t>
    </r>
    <r>
      <rPr>
        <rFont val="Arial"/>
        <b/>
        <color rgb="FF0000FF"/>
      </rPr>
      <t xml:space="preserve">Daily Task - 10 (Evangelin)
</t>
    </r>
    <r>
      <rPr>
        <rFont val="Arial"/>
        <b/>
        <color theme="1"/>
      </rPr>
      <t>Est - 2hrs</t>
    </r>
  </si>
  <si>
    <t>Daily completed, Booked -1.97 hrs</t>
  </si>
  <si>
    <r>
      <rPr>
        <rFont val="Arial"/>
        <b/>
        <color theme="1"/>
      </rPr>
      <t xml:space="preserve">Inglewood </t>
    </r>
    <r>
      <rPr>
        <rFont val="Arial"/>
        <color theme="1"/>
      </rPr>
      <t xml:space="preserve">- Need to categorize the transactions of Feb (US bank) once the marked stmnt is provided.
Newlife  _posted query reg. ADP
</t>
    </r>
  </si>
  <si>
    <r>
      <rPr>
        <rFont val="Arial"/>
        <b/>
        <color rgb="FF0000FF"/>
      </rPr>
      <t>Total Monthly Files - 8</t>
    </r>
    <r>
      <rPr>
        <rFont val="Arial"/>
        <color theme="1"/>
      </rPr>
      <t xml:space="preserve">
Posted query - 1
In progress - 0
Yet to start -  7
Review -  0 
Completed - 0
</t>
    </r>
    <r>
      <rPr>
        <rFont val="Arial"/>
        <b/>
        <color rgb="FF0000FF"/>
      </rPr>
      <t xml:space="preserve">Daily Task - 10 (Evangelin)
</t>
    </r>
    <r>
      <rPr>
        <rFont val="Arial"/>
        <b/>
        <color theme="1"/>
      </rPr>
      <t>Est - 1.30hrs</t>
    </r>
  </si>
  <si>
    <t>In process, Booked - 0.50 mins</t>
  </si>
  <si>
    <r>
      <rPr>
        <rFont val="Arial"/>
        <b/>
        <color theme="1"/>
      </rPr>
      <t xml:space="preserve">Inglewood </t>
    </r>
    <r>
      <rPr>
        <rFont val="Arial"/>
        <color theme="1"/>
      </rPr>
      <t xml:space="preserve">- Need to categorize the transactions of Feb (US bank) once the marked stmnt is provided.
Newlife  _posted query reg. ADP
</t>
    </r>
  </si>
  <si>
    <r>
      <rPr>
        <rFont val="Arial"/>
        <b/>
        <color rgb="FF0000FF"/>
      </rPr>
      <t>Total Monthly Files - 8</t>
    </r>
    <r>
      <rPr>
        <rFont val="Arial"/>
        <color theme="1"/>
      </rPr>
      <t xml:space="preserve">
Posted query - 1
In progress - 0
Yet to start -  7
Review -  0 
Completed - 0
</t>
    </r>
    <r>
      <rPr>
        <rFont val="Arial"/>
        <b/>
        <color rgb="FF0000FF"/>
      </rPr>
      <t xml:space="preserve">Daily Task - 10 (Evangelin)
</t>
    </r>
    <r>
      <rPr>
        <rFont val="Arial"/>
        <b/>
        <color theme="1"/>
      </rPr>
      <t>Est - 1.30hrs</t>
    </r>
  </si>
  <si>
    <t>Daily completed, Booked -0.80</t>
  </si>
  <si>
    <r>
      <rPr>
        <rFont val="Arial"/>
        <b/>
        <color theme="1"/>
      </rPr>
      <t xml:space="preserve">Inglewood </t>
    </r>
    <r>
      <rPr>
        <rFont val="Arial"/>
        <color theme="1"/>
      </rPr>
      <t xml:space="preserve">- Need to categorize the transactions of Feb (US bank) once the marked stmnt is provided.
Newlife  _posted query reg. ADP
</t>
    </r>
  </si>
  <si>
    <r>
      <rPr>
        <rFont val="Arial"/>
        <b/>
        <color rgb="FF0000FF"/>
      </rPr>
      <t>Total Monthly Files - 8</t>
    </r>
    <r>
      <rPr>
        <rFont val="Arial"/>
        <color theme="1"/>
      </rPr>
      <t xml:space="preserve">
Posted query - 1
In progress - 1
Yet to start -  6
Review -  0 
Completed - 0
</t>
    </r>
    <r>
      <rPr>
        <rFont val="Arial"/>
        <b/>
        <color rgb="FF0000FF"/>
      </rPr>
      <t xml:space="preserve">Daily Task - 10 (Evangelin)
</t>
    </r>
    <r>
      <rPr>
        <rFont val="Arial"/>
        <b/>
        <color theme="1"/>
      </rPr>
      <t>Est - 1.30hrs</t>
    </r>
  </si>
  <si>
    <t>Booked -1.86hrs daily completed</t>
  </si>
  <si>
    <r>
      <rPr>
        <rFont val="Arial"/>
        <b/>
        <color theme="1"/>
      </rPr>
      <t xml:space="preserve">Inglewood </t>
    </r>
    <r>
      <rPr>
        <rFont val="Arial"/>
        <color theme="1"/>
      </rPr>
      <t xml:space="preserve">- Need to categorize the transactions of Feb (US bank) once the marked stmnt is provided.
Newlife  _posted query reg. ADP
</t>
    </r>
  </si>
  <si>
    <r>
      <rPr>
        <rFont val="Arial"/>
        <b/>
        <color rgb="FF0000FF"/>
      </rPr>
      <t>Total Monthly Files - 8</t>
    </r>
    <r>
      <rPr>
        <rFont val="Arial"/>
        <color theme="1"/>
      </rPr>
      <t xml:space="preserve">
Posted query - 1
In progress - 2
Yet to start -  5
Review -  1(1 Feb )
Completed - 0
</t>
    </r>
    <r>
      <rPr>
        <rFont val="Arial"/>
        <b/>
        <color rgb="FF0000FF"/>
      </rPr>
      <t xml:space="preserve">Daily Task - 10 (Evangelin)
</t>
    </r>
    <r>
      <rPr>
        <rFont val="Arial"/>
        <b/>
        <color theme="1"/>
      </rPr>
      <t>Est - 5hrs</t>
    </r>
  </si>
  <si>
    <t xml:space="preserve">Booked - 5.76hrs daily completed, 1 review completed. Posted query </t>
  </si>
  <si>
    <r>
      <rPr>
        <rFont val="Arial"/>
        <b/>
        <color theme="1"/>
      </rPr>
      <t xml:space="preserve">Inglewood </t>
    </r>
    <r>
      <rPr>
        <rFont val="Arial"/>
        <color theme="1"/>
      </rPr>
      <t xml:space="preserve">- Need to categorize the transactions of Feb (US bank) once the marked stmnt is provided.
</t>
    </r>
    <r>
      <rPr>
        <rFont val="Arial"/>
        <b/>
        <color theme="1"/>
      </rPr>
      <t xml:space="preserve">Newlife - </t>
    </r>
    <r>
      <rPr>
        <rFont val="Arial"/>
        <color theme="1"/>
      </rPr>
      <t xml:space="preserve">posted query reg. ADP
</t>
    </r>
  </si>
  <si>
    <r>
      <rPr>
        <rFont val="Arial"/>
        <b/>
        <color rgb="FF0000FF"/>
      </rPr>
      <t>Total Monthly Files - 8</t>
    </r>
    <r>
      <rPr>
        <rFont val="Arial"/>
        <color theme="1"/>
      </rPr>
      <t xml:space="preserve">
Posted query - 2 (Feb &amp; March)
In progress - 6
Yet to start -  0
Review -  0
Completed - 1
</t>
    </r>
    <r>
      <rPr>
        <rFont val="Arial"/>
        <b/>
        <color rgb="FF0000FF"/>
      </rPr>
      <t xml:space="preserve">Daily Task - 12 (Evangelin)
</t>
    </r>
    <r>
      <rPr>
        <rFont val="Arial"/>
        <b/>
        <color theme="1"/>
      </rPr>
      <t>Est - 4hrs</t>
    </r>
  </si>
  <si>
    <t>daily completed, Booked - 6.07 Hrs</t>
  </si>
  <si>
    <r>
      <rPr>
        <rFont val="Arial"/>
        <b/>
        <color theme="1"/>
      </rPr>
      <t xml:space="preserve">Inglewood </t>
    </r>
    <r>
      <rPr>
        <rFont val="Arial"/>
        <color theme="1"/>
      </rPr>
      <t xml:space="preserve">- Need to categorize the transactions of Feb (US bank) once the marked stmnt is provided.
</t>
    </r>
    <r>
      <rPr>
        <rFont val="Arial"/>
        <b/>
        <color theme="1"/>
      </rPr>
      <t xml:space="preserve">Newlife - </t>
    </r>
    <r>
      <rPr>
        <rFont val="Arial"/>
        <color theme="1"/>
      </rPr>
      <t xml:space="preserve">posted query reg. ADP
</t>
    </r>
    <r>
      <rPr>
        <rFont val="Arial"/>
        <b/>
        <color theme="1"/>
      </rPr>
      <t>Sun path</t>
    </r>
    <r>
      <rPr>
        <rFont val="Arial"/>
        <color theme="1"/>
      </rPr>
      <t xml:space="preserve"> - Posted query to create invoice in client portal
</t>
    </r>
    <r>
      <rPr>
        <rFont val="Arial"/>
        <b/>
        <color theme="1"/>
      </rPr>
      <t>Sky</t>
    </r>
    <r>
      <rPr>
        <rFont val="Arial"/>
        <color theme="1"/>
      </rPr>
      <t xml:space="preserve"> - Req. snapshot depo
</t>
    </r>
    <r>
      <rPr>
        <rFont val="Arial"/>
        <b/>
        <color theme="1"/>
      </rPr>
      <t>Complete</t>
    </r>
    <r>
      <rPr>
        <rFont val="Arial"/>
        <color theme="1"/>
      </rPr>
      <t xml:space="preserve"> - Smnt needed</t>
    </r>
  </si>
  <si>
    <r>
      <rPr>
        <rFont val="Arial"/>
        <b/>
        <color rgb="FF0000FF"/>
      </rPr>
      <t>Total Monthly Files - 8</t>
    </r>
    <r>
      <rPr>
        <rFont val="Arial"/>
        <color theme="1"/>
      </rPr>
      <t xml:space="preserve">
Posted query - 5 
In progress - 2
Yet to start -  0
Review -  0
Completed - 2
</t>
    </r>
    <r>
      <rPr>
        <rFont val="Arial"/>
        <b/>
        <color rgb="FF0000FF"/>
      </rPr>
      <t xml:space="preserve">Daily Task - 8 (Evangelin)
</t>
    </r>
    <r>
      <rPr>
        <rFont val="Arial"/>
        <b/>
        <color theme="1"/>
      </rPr>
      <t>Est - 5hrs</t>
    </r>
  </si>
  <si>
    <t>Daily completed. Booked -5.46 hrs</t>
  </si>
  <si>
    <r>
      <rPr>
        <rFont val="Arial"/>
        <b/>
        <color theme="1"/>
      </rPr>
      <t xml:space="preserve">Inglewood </t>
    </r>
    <r>
      <rPr>
        <rFont val="Arial"/>
        <color theme="1"/>
      </rPr>
      <t xml:space="preserve">- Need to categorize the transactions of Feb (US bank) once the marked stmnt is provided.
</t>
    </r>
    <r>
      <rPr>
        <rFont val="Arial"/>
        <b/>
        <color theme="1"/>
      </rPr>
      <t xml:space="preserve">Newlife - </t>
    </r>
    <r>
      <rPr>
        <rFont val="Arial"/>
        <color theme="1"/>
      </rPr>
      <t xml:space="preserve">posted query reg. ADP
</t>
    </r>
    <r>
      <rPr>
        <rFont val="Arial"/>
        <b/>
        <color theme="1"/>
      </rPr>
      <t>Sky</t>
    </r>
    <r>
      <rPr>
        <rFont val="Arial"/>
        <color theme="1"/>
      </rPr>
      <t xml:space="preserve"> - Req. snapshot depo
</t>
    </r>
    <r>
      <rPr>
        <rFont val="Arial"/>
        <b/>
        <color theme="1"/>
      </rPr>
      <t>Complete</t>
    </r>
    <r>
      <rPr>
        <rFont val="Arial"/>
        <color theme="1"/>
      </rPr>
      <t xml:space="preserve"> - Smnt needed</t>
    </r>
  </si>
  <si>
    <t>I need to have all income in this week by Thursday. This is for all clients.</t>
  </si>
  <si>
    <r>
      <rPr>
        <rFont val="Arial"/>
        <b/>
        <color rgb="FF0000FF"/>
      </rPr>
      <t>Total Monthly Files - 8</t>
    </r>
    <r>
      <rPr>
        <rFont val="Arial"/>
        <color theme="1"/>
      </rPr>
      <t xml:space="preserve">
Posted query - 3 
In progress - 2
Yet to start -  0
Review -  0
Completed - 3
</t>
    </r>
    <r>
      <rPr>
        <rFont val="Arial"/>
        <b/>
        <color rgb="FF0000FF"/>
      </rPr>
      <t xml:space="preserve">Daily Task - 10 (Evangelin)
</t>
    </r>
    <r>
      <rPr>
        <rFont val="Arial"/>
        <b/>
        <color theme="1"/>
      </rPr>
      <t>Est - 4hrs</t>
    </r>
  </si>
  <si>
    <t>daily completed, Booked -3hrs</t>
  </si>
  <si>
    <r>
      <rPr>
        <rFont val="Arial"/>
        <b/>
        <color theme="1"/>
      </rPr>
      <t xml:space="preserve">Inglewood </t>
    </r>
    <r>
      <rPr>
        <rFont val="Arial"/>
        <color theme="1"/>
      </rPr>
      <t xml:space="preserve">- Need to categorize the transactions of Feb (US bank) once the marked stmnt is provided.
</t>
    </r>
    <r>
      <rPr>
        <rFont val="Arial"/>
        <b/>
        <color theme="1"/>
      </rPr>
      <t xml:space="preserve">Newlife - </t>
    </r>
    <r>
      <rPr>
        <rFont val="Arial"/>
        <color theme="1"/>
      </rPr>
      <t xml:space="preserve">posted query reg. ADP
</t>
    </r>
    <r>
      <rPr>
        <rFont val="Arial"/>
        <b/>
        <color theme="1"/>
      </rPr>
      <t>Sky</t>
    </r>
    <r>
      <rPr>
        <rFont val="Arial"/>
        <color theme="1"/>
      </rPr>
      <t xml:space="preserve"> - Posted query reg. deposits
</t>
    </r>
    <r>
      <rPr>
        <rFont val="Arial"/>
        <b/>
        <color theme="1"/>
      </rPr>
      <t>Complete</t>
    </r>
    <r>
      <rPr>
        <rFont val="Arial"/>
        <color theme="1"/>
      </rPr>
      <t xml:space="preserve"> - Smnt needed</t>
    </r>
  </si>
  <si>
    <r>
      <rPr>
        <rFont val="Arial"/>
        <b/>
        <color rgb="FF0000FF"/>
      </rPr>
      <t>Total Monthly Files - 8</t>
    </r>
    <r>
      <rPr>
        <rFont val="Arial"/>
        <color theme="1"/>
      </rPr>
      <t xml:space="preserve">
Posted query - 3 
In progress - 2
Yet to start -  0
Review -  0
Completed - 3
</t>
    </r>
    <r>
      <rPr>
        <rFont val="Arial"/>
        <b/>
        <color rgb="FF0000FF"/>
      </rPr>
      <t xml:space="preserve">Daily Task - 10 (Evangelin)
</t>
    </r>
    <r>
      <rPr>
        <rFont val="Arial"/>
        <b/>
        <color theme="1"/>
      </rPr>
      <t>Est - 3.30hrs</t>
    </r>
  </si>
  <si>
    <t>Daily completed, Booked -2.08 hrs</t>
  </si>
  <si>
    <r>
      <rPr>
        <rFont val="Arial"/>
        <b/>
        <color rgb="FF0000FF"/>
      </rPr>
      <t>Total Monthly Files - 8</t>
    </r>
    <r>
      <rPr>
        <rFont val="Arial"/>
        <color theme="1"/>
      </rPr>
      <t xml:space="preserve">
Posted query - 4 
In progress - 0
Yet to start -  0
Review -  1 (Evangelin)
Completed - 3
</t>
    </r>
    <r>
      <rPr>
        <rFont val="Arial"/>
        <b/>
        <color rgb="FF0000FF"/>
      </rPr>
      <t xml:space="preserve">Daily Task - 0
</t>
    </r>
    <r>
      <rPr>
        <rFont val="Arial"/>
        <b/>
        <color theme="1"/>
      </rPr>
      <t>Est - 1.30hrs</t>
    </r>
  </si>
  <si>
    <t>Review completed, Booked -1.06</t>
  </si>
  <si>
    <r>
      <rPr>
        <rFont val="Arial"/>
        <b/>
        <color theme="1"/>
      </rPr>
      <t xml:space="preserve">Inglewood </t>
    </r>
    <r>
      <rPr>
        <rFont val="Arial"/>
        <color theme="1"/>
      </rPr>
      <t xml:space="preserve">- Need to categorize the transactions of Feb (US bank) once the marked stmnt is provided.
</t>
    </r>
    <r>
      <rPr>
        <rFont val="Arial"/>
        <b/>
        <color theme="1"/>
      </rPr>
      <t xml:space="preserve">Newlife - </t>
    </r>
    <r>
      <rPr>
        <rFont val="Arial"/>
        <color theme="1"/>
      </rPr>
      <t xml:space="preserve">posted query reg. ADP
</t>
    </r>
    <r>
      <rPr>
        <rFont val="Arial"/>
        <b/>
        <color theme="1"/>
      </rPr>
      <t>Sky</t>
    </r>
    <r>
      <rPr>
        <rFont val="Arial"/>
        <color theme="1"/>
      </rPr>
      <t xml:space="preserve"> - Posted query reg. deposits
</t>
    </r>
    <r>
      <rPr>
        <rFont val="Arial"/>
        <b/>
        <color theme="1"/>
      </rPr>
      <t>Complete</t>
    </r>
    <r>
      <rPr>
        <rFont val="Arial"/>
        <color theme="1"/>
      </rPr>
      <t xml:space="preserve"> - Smnt needed</t>
    </r>
  </si>
  <si>
    <r>
      <rPr>
        <rFont val="Arial"/>
        <b/>
        <color rgb="FF0000FF"/>
      </rPr>
      <t>Total Monthly Files - 8</t>
    </r>
    <r>
      <rPr>
        <rFont val="Arial"/>
        <color theme="1"/>
      </rPr>
      <t xml:space="preserve">
Posted query - 4 
In progress - 0
Yet to start -  0
Review -  0
Completed - 3
</t>
    </r>
    <r>
      <rPr>
        <rFont val="Arial"/>
        <b/>
        <color rgb="FF0000FF"/>
      </rPr>
      <t xml:space="preserve">Daily Task - 10
</t>
    </r>
    <r>
      <rPr>
        <rFont val="Arial"/>
        <b/>
        <color theme="1"/>
      </rPr>
      <t>Est - 2.30hrs</t>
    </r>
  </si>
  <si>
    <t>Daily completed, Booked -1.79hrs</t>
  </si>
  <si>
    <r>
      <rPr>
        <rFont val="Arial"/>
        <b/>
        <color theme="1"/>
      </rPr>
      <t xml:space="preserve">Inglewood </t>
    </r>
    <r>
      <rPr>
        <rFont val="Arial"/>
        <color theme="1"/>
      </rPr>
      <t xml:space="preserve">- Need to categorize the transactions of Feb (US bank) once the marked stmnt is provided.
</t>
    </r>
    <r>
      <rPr>
        <rFont val="Arial"/>
        <b/>
        <color theme="1"/>
      </rPr>
      <t xml:space="preserve">Newlife - </t>
    </r>
    <r>
      <rPr>
        <rFont val="Arial"/>
        <color theme="1"/>
      </rPr>
      <t xml:space="preserve">posted query reg. ADP
</t>
    </r>
    <r>
      <rPr>
        <rFont val="Arial"/>
        <b/>
        <color theme="1"/>
      </rPr>
      <t>Sky</t>
    </r>
    <r>
      <rPr>
        <rFont val="Arial"/>
        <color theme="1"/>
      </rPr>
      <t xml:space="preserve"> - Posted query reg. deposits
</t>
    </r>
    <r>
      <rPr>
        <rFont val="Arial"/>
        <b/>
        <color theme="1"/>
      </rPr>
      <t>Complete</t>
    </r>
    <r>
      <rPr>
        <rFont val="Arial"/>
        <color theme="1"/>
      </rPr>
      <t xml:space="preserve"> - Smnt needed</t>
    </r>
  </si>
  <si>
    <r>
      <rPr>
        <rFont val="Arial"/>
        <b/>
        <color rgb="FF0000FF"/>
      </rPr>
      <t>Total Monthly Files - 8</t>
    </r>
    <r>
      <rPr>
        <rFont val="Arial"/>
        <color theme="1"/>
      </rPr>
      <t xml:space="preserve">
Posted query - 4 
In progress - 0
Yet to start -  0
Review -  0
Completed - 3
</t>
    </r>
    <r>
      <rPr>
        <rFont val="Arial"/>
        <b/>
        <color rgb="FF0000FF"/>
      </rPr>
      <t xml:space="preserve">Daily Task - 10
</t>
    </r>
    <r>
      <rPr>
        <rFont val="Arial"/>
        <b/>
        <color theme="1"/>
      </rPr>
      <t>Est - 4hrs</t>
    </r>
  </si>
  <si>
    <t>daily completed, Booked -2.94hrs</t>
  </si>
  <si>
    <r>
      <rPr>
        <rFont val="Arial"/>
        <b/>
        <color theme="1"/>
      </rPr>
      <t xml:space="preserve">Inglewood </t>
    </r>
    <r>
      <rPr>
        <rFont val="Arial"/>
        <color theme="1"/>
      </rPr>
      <t xml:space="preserve">- Need to categorize the transactions of Feb (US bank) once the marked stmnt is provided.
</t>
    </r>
    <r>
      <rPr>
        <rFont val="Arial"/>
        <b/>
        <color theme="1"/>
      </rPr>
      <t xml:space="preserve">Newlife - </t>
    </r>
    <r>
      <rPr>
        <rFont val="Arial"/>
        <color theme="1"/>
      </rPr>
      <t xml:space="preserve">posted query reg. ADP
</t>
    </r>
    <r>
      <rPr>
        <rFont val="Arial"/>
        <b/>
        <color theme="1"/>
      </rPr>
      <t>Sky</t>
    </r>
    <r>
      <rPr>
        <rFont val="Arial"/>
        <color theme="1"/>
      </rPr>
      <t xml:space="preserve"> - Posted query reg. deposits
</t>
    </r>
    <r>
      <rPr>
        <rFont val="Arial"/>
        <b/>
        <color theme="1"/>
      </rPr>
      <t>Complete</t>
    </r>
    <r>
      <rPr>
        <rFont val="Arial"/>
        <color theme="1"/>
      </rPr>
      <t xml:space="preserve"> - Smnt needed</t>
    </r>
  </si>
  <si>
    <r>
      <rPr>
        <rFont val="Arial"/>
        <b/>
        <color rgb="FF0000FF"/>
      </rPr>
      <t>Total Monthly Files - 8</t>
    </r>
    <r>
      <rPr>
        <rFont val="Arial"/>
        <color theme="1"/>
      </rPr>
      <t xml:space="preserve">
Posted query - 4 
In progress - 0
Yet to start -  0
Review -  0
Completed - 3
</t>
    </r>
    <r>
      <rPr>
        <rFont val="Arial"/>
        <b/>
        <color rgb="FF0000FF"/>
      </rPr>
      <t xml:space="preserve">Daily Task - 10 (Evangelin)
</t>
    </r>
    <r>
      <rPr>
        <rFont val="Arial"/>
        <b/>
        <color theme="1"/>
      </rPr>
      <t>Est - 1.30hrs</t>
    </r>
  </si>
  <si>
    <t>daily completed, Booked - 1.09</t>
  </si>
  <si>
    <r>
      <rPr>
        <rFont val="Arial"/>
        <b/>
        <color theme="1"/>
      </rPr>
      <t xml:space="preserve">Inglewood </t>
    </r>
    <r>
      <rPr>
        <rFont val="Arial"/>
        <color theme="1"/>
      </rPr>
      <t xml:space="preserve">- Need to categorize the transactions of Feb (US bank) once the marked stmnt is provided.
</t>
    </r>
    <r>
      <rPr>
        <rFont val="Arial"/>
        <b/>
        <color theme="1"/>
      </rPr>
      <t xml:space="preserve">Newlife - </t>
    </r>
    <r>
      <rPr>
        <rFont val="Arial"/>
        <color theme="1"/>
      </rPr>
      <t xml:space="preserve">posted query reg. ADP
</t>
    </r>
    <r>
      <rPr>
        <rFont val="Arial"/>
        <b/>
        <color theme="1"/>
      </rPr>
      <t>Sky</t>
    </r>
    <r>
      <rPr>
        <rFont val="Arial"/>
        <color theme="1"/>
      </rPr>
      <t xml:space="preserve"> - Posted query reg. deposits
</t>
    </r>
    <r>
      <rPr>
        <rFont val="Arial"/>
        <b/>
        <color theme="1"/>
      </rPr>
      <t>Complete</t>
    </r>
    <r>
      <rPr>
        <rFont val="Arial"/>
        <color theme="1"/>
      </rPr>
      <t xml:space="preserve"> - Smnt needed</t>
    </r>
  </si>
  <si>
    <r>
      <rPr>
        <rFont val="Arial"/>
        <b/>
        <color rgb="FF0000FF"/>
      </rPr>
      <t>Total Monthly Files - 8</t>
    </r>
    <r>
      <rPr>
        <rFont val="Arial"/>
        <color theme="1"/>
      </rPr>
      <t xml:space="preserve">
Posted query - 4 
In progress - 0
Yet to start -  0
Review -  0
Completed - 3
</t>
    </r>
  </si>
  <si>
    <r>
      <rPr>
        <rFont val="Arial"/>
        <b/>
        <color theme="1"/>
      </rPr>
      <t xml:space="preserve">Inglewood </t>
    </r>
    <r>
      <rPr>
        <rFont val="Arial"/>
        <color theme="1"/>
      </rPr>
      <t xml:space="preserve">- Need to categorize the transactions of Feb (US bank) once the marked stmnt is provided.
</t>
    </r>
    <r>
      <rPr>
        <rFont val="Arial"/>
        <b/>
        <color theme="1"/>
      </rPr>
      <t xml:space="preserve">Newlife - </t>
    </r>
    <r>
      <rPr>
        <rFont val="Arial"/>
        <color theme="1"/>
      </rPr>
      <t xml:space="preserve">posted query reg. ADP
</t>
    </r>
    <r>
      <rPr>
        <rFont val="Arial"/>
        <b/>
        <color theme="1"/>
      </rPr>
      <t>Sky</t>
    </r>
    <r>
      <rPr>
        <rFont val="Arial"/>
        <color theme="1"/>
      </rPr>
      <t xml:space="preserve"> - Posted query reg. deposits
</t>
    </r>
    <r>
      <rPr>
        <rFont val="Arial"/>
        <b/>
        <color theme="1"/>
      </rPr>
      <t>Complete</t>
    </r>
    <r>
      <rPr>
        <rFont val="Arial"/>
        <color theme="1"/>
      </rPr>
      <t xml:space="preserve"> - Smnt needed</t>
    </r>
  </si>
  <si>
    <r>
      <rPr>
        <rFont val="Arial"/>
        <b/>
        <color rgb="FF0000FF"/>
      </rPr>
      <t>Total Monthly Files - 8</t>
    </r>
    <r>
      <rPr>
        <rFont val="Arial"/>
        <color theme="1"/>
      </rPr>
      <t xml:space="preserve">
Posted query - 3 
In progress - 0
Yet to start -  0
Review -  1
Completed - 3
</t>
    </r>
    <r>
      <rPr>
        <rFont val="Arial"/>
        <b/>
        <color rgb="FF0000FF"/>
      </rPr>
      <t>Daily task - 10 (Evangelin)</t>
    </r>
    <r>
      <rPr>
        <rFont val="Arial"/>
        <color theme="1"/>
      </rPr>
      <t xml:space="preserve">
</t>
    </r>
    <r>
      <rPr>
        <rFont val="Arial"/>
        <b/>
        <color theme="1"/>
      </rPr>
      <t>Est - 5hrs</t>
    </r>
  </si>
  <si>
    <t>daily completed, review posted query 
Booked - 4.66</t>
  </si>
  <si>
    <r>
      <rPr>
        <rFont val="Arial"/>
        <b/>
        <color theme="1"/>
      </rPr>
      <t xml:space="preserve">Inglewood </t>
    </r>
    <r>
      <rPr>
        <rFont val="Arial"/>
        <color theme="1"/>
      </rPr>
      <t xml:space="preserve">- Need to categorize the transactions of Feb (US bank) once the marked stmnt is provided.
</t>
    </r>
    <r>
      <rPr>
        <rFont val="Arial"/>
        <b/>
        <color theme="1"/>
      </rPr>
      <t>Sky</t>
    </r>
    <r>
      <rPr>
        <rFont val="Arial"/>
        <color theme="1"/>
      </rPr>
      <t xml:space="preserve"> - Posted query reg. bank feed transaction
</t>
    </r>
    <r>
      <rPr>
        <rFont val="Arial"/>
        <b/>
        <color theme="1"/>
      </rPr>
      <t>Complete</t>
    </r>
    <r>
      <rPr>
        <rFont val="Arial"/>
        <color theme="1"/>
      </rPr>
      <t xml:space="preserve"> - Smnt needed</t>
    </r>
  </si>
  <si>
    <r>
      <rPr>
        <rFont val="Arial"/>
        <b/>
        <color rgb="FF0000FF"/>
      </rPr>
      <t>Total Monthly Files - 8</t>
    </r>
    <r>
      <rPr>
        <rFont val="Arial"/>
        <color theme="1"/>
      </rPr>
      <t xml:space="preserve">
Posted query - 3 
In progress - 0
Yet to start -  0
Review -  0
Completed - 4
</t>
    </r>
    <r>
      <rPr>
        <rFont val="Arial"/>
        <b/>
        <color rgb="FF0000FF"/>
      </rPr>
      <t>Daily task - 10 (Evangelin)</t>
    </r>
    <r>
      <rPr>
        <rFont val="Arial"/>
        <color theme="1"/>
      </rPr>
      <t xml:space="preserve">
</t>
    </r>
    <r>
      <rPr>
        <rFont val="Arial"/>
        <b/>
        <color theme="1"/>
      </rPr>
      <t>Est - 2hrs</t>
    </r>
  </si>
  <si>
    <t>daily completed, Booked -1.54hrs</t>
  </si>
  <si>
    <r>
      <rPr>
        <rFont val="Arial"/>
        <b/>
        <color theme="1"/>
      </rPr>
      <t xml:space="preserve">Inglewood </t>
    </r>
    <r>
      <rPr>
        <rFont val="Arial"/>
        <color theme="1"/>
      </rPr>
      <t xml:space="preserve">- Need to categorize the transactions of Feb (US bank) . Posted query on it.
</t>
    </r>
    <r>
      <rPr>
        <rFont val="Arial"/>
        <b/>
        <color theme="1"/>
      </rPr>
      <t>Sky</t>
    </r>
    <r>
      <rPr>
        <rFont val="Arial"/>
        <color theme="1"/>
      </rPr>
      <t xml:space="preserve"> - Posted query reg. bank feed transaction
</t>
    </r>
    <r>
      <rPr>
        <rFont val="Arial"/>
        <b/>
        <color theme="1"/>
      </rPr>
      <t>Complete</t>
    </r>
    <r>
      <rPr>
        <rFont val="Arial"/>
        <color theme="1"/>
      </rPr>
      <t xml:space="preserve"> - Smnt needed</t>
    </r>
  </si>
  <si>
    <r>
      <rPr>
        <rFont val="Arial"/>
        <b/>
        <color rgb="FF0000FF"/>
      </rPr>
      <t>Total Monthly Files - 8</t>
    </r>
    <r>
      <rPr>
        <rFont val="Arial"/>
        <color theme="1"/>
      </rPr>
      <t xml:space="preserve">
Posted query - 3 
In progress - 0
Yet to start -  0
Review -  0
Completed - 4
</t>
    </r>
    <r>
      <rPr>
        <rFont val="Arial"/>
        <b/>
        <color rgb="FF0000FF"/>
      </rPr>
      <t>Daily task - 10 (Evangelin)</t>
    </r>
    <r>
      <rPr>
        <rFont val="Arial"/>
        <color theme="1"/>
      </rPr>
      <t xml:space="preserve">
</t>
    </r>
    <r>
      <rPr>
        <rFont val="Arial"/>
        <b/>
        <color theme="1"/>
      </rPr>
      <t>Est - 2hrs</t>
    </r>
  </si>
  <si>
    <t>daily completed, Booked -2 hrs</t>
  </si>
  <si>
    <r>
      <rPr>
        <rFont val="Arial"/>
        <b/>
        <color theme="1"/>
      </rPr>
      <t xml:space="preserve">Inglewood </t>
    </r>
    <r>
      <rPr>
        <rFont val="Arial"/>
        <color theme="1"/>
      </rPr>
      <t xml:space="preserve">- Need to categorize the transactions of Feb (US bank) . Posted query on it.
</t>
    </r>
    <r>
      <rPr>
        <rFont val="Arial"/>
        <b/>
        <color theme="1"/>
      </rPr>
      <t>Sky</t>
    </r>
    <r>
      <rPr>
        <rFont val="Arial"/>
        <color theme="1"/>
      </rPr>
      <t xml:space="preserve"> - Posted query reg. bank feed transaction
</t>
    </r>
    <r>
      <rPr>
        <rFont val="Arial"/>
        <b/>
        <color theme="1"/>
      </rPr>
      <t>Complete</t>
    </r>
    <r>
      <rPr>
        <rFont val="Arial"/>
        <color theme="1"/>
      </rPr>
      <t xml:space="preserve"> - Smnt needed</t>
    </r>
  </si>
  <si>
    <r>
      <rPr>
        <rFont val="Arial"/>
        <b/>
        <color rgb="FF0000FF"/>
      </rPr>
      <t>Total Monthly Files - 8</t>
    </r>
    <r>
      <rPr>
        <rFont val="Arial"/>
        <color theme="1"/>
      </rPr>
      <t xml:space="preserve">
Posted query - 3 
In progress - 0
Yet to start -  0
Review -  0
Completed - 4
</t>
    </r>
    <r>
      <rPr>
        <rFont val="Arial"/>
        <b/>
        <color rgb="FF0000FF"/>
      </rPr>
      <t>Daily task - 10 (Evangelin)</t>
    </r>
    <r>
      <rPr>
        <rFont val="Arial"/>
        <color theme="1"/>
      </rPr>
      <t xml:space="preserve">
</t>
    </r>
    <r>
      <rPr>
        <rFont val="Arial"/>
        <b/>
        <color theme="1"/>
      </rPr>
      <t>Est - 1hr</t>
    </r>
  </si>
  <si>
    <t>daily completed, Booked -0.65hrs</t>
  </si>
  <si>
    <r>
      <rPr>
        <rFont val="Arial"/>
        <b/>
        <color theme="1"/>
      </rPr>
      <t xml:space="preserve">Inglewood </t>
    </r>
    <r>
      <rPr>
        <rFont val="Arial"/>
        <color theme="1"/>
      </rPr>
      <t xml:space="preserve">- Need to categorize the transactions of Feb (US bank) . Posted query on it.
</t>
    </r>
    <r>
      <rPr>
        <rFont val="Arial"/>
        <b/>
        <color theme="1"/>
      </rPr>
      <t>Sky</t>
    </r>
    <r>
      <rPr>
        <rFont val="Arial"/>
        <color theme="1"/>
      </rPr>
      <t xml:space="preserve"> - Posted query reg. bank feed transaction
</t>
    </r>
    <r>
      <rPr>
        <rFont val="Arial"/>
        <b/>
        <color theme="1"/>
      </rPr>
      <t>Complete</t>
    </r>
    <r>
      <rPr>
        <rFont val="Arial"/>
        <color theme="1"/>
      </rPr>
      <t xml:space="preserve"> - Smnt needed</t>
    </r>
  </si>
  <si>
    <r>
      <rPr>
        <rFont val="Arial"/>
        <b/>
        <color rgb="FF0000FF"/>
      </rPr>
      <t>Total Monthly Files - 8</t>
    </r>
    <r>
      <rPr>
        <rFont val="Arial"/>
        <color theme="1"/>
      </rPr>
      <t xml:space="preserve">
Posted query - 3 
In progress - 0
Yet to start -  0
Review -  0
Completed - 4
</t>
    </r>
    <r>
      <rPr>
        <rFont val="Arial"/>
        <b/>
        <color rgb="FF0000FF"/>
      </rPr>
      <t>Daily task - 10 (Evangelin)</t>
    </r>
    <r>
      <rPr>
        <rFont val="Arial"/>
        <color theme="1"/>
      </rPr>
      <t xml:space="preserve">
</t>
    </r>
    <r>
      <rPr>
        <rFont val="Arial"/>
        <b/>
        <color theme="1"/>
      </rPr>
      <t>Est - 1hr</t>
    </r>
  </si>
  <si>
    <t>daily completed, Booked -1.01</t>
  </si>
  <si>
    <r>
      <rPr>
        <rFont val="Arial"/>
        <b/>
        <color theme="1"/>
      </rPr>
      <t xml:space="preserve">Inglewood </t>
    </r>
    <r>
      <rPr>
        <rFont val="Arial"/>
        <color theme="1"/>
      </rPr>
      <t xml:space="preserve">- Need to categorize the transactions of Feb (US bank) . Posted query on it.
</t>
    </r>
    <r>
      <rPr>
        <rFont val="Arial"/>
        <b/>
        <color theme="1"/>
      </rPr>
      <t>Sky</t>
    </r>
    <r>
      <rPr>
        <rFont val="Arial"/>
        <color theme="1"/>
      </rPr>
      <t xml:space="preserve"> - Posted query reg. bank feed transaction
</t>
    </r>
    <r>
      <rPr>
        <rFont val="Arial"/>
        <b/>
        <color theme="1"/>
      </rPr>
      <t>Complete</t>
    </r>
    <r>
      <rPr>
        <rFont val="Arial"/>
        <color theme="1"/>
      </rPr>
      <t xml:space="preserve"> - Smnt needed</t>
    </r>
  </si>
  <si>
    <r>
      <rPr>
        <rFont val="Arial"/>
        <b/>
        <color rgb="FF0000FF"/>
      </rPr>
      <t>Total Monthly Files - 8</t>
    </r>
    <r>
      <rPr>
        <rFont val="Arial"/>
        <color theme="1"/>
      </rPr>
      <t xml:space="preserve">
Posted query - 2 
In progress - 1
Yet to start -  0
Review -  1
Completed - 4
</t>
    </r>
    <r>
      <rPr>
        <rFont val="Arial"/>
        <b/>
        <color rgb="FF0000FF"/>
      </rPr>
      <t>Daily task - 10 (Evangelin)</t>
    </r>
    <r>
      <rPr>
        <rFont val="Arial"/>
        <color theme="1"/>
      </rPr>
      <t xml:space="preserve">
</t>
    </r>
    <r>
      <rPr>
        <rFont val="Arial"/>
        <b/>
        <color theme="1"/>
      </rPr>
      <t>Est - 4hrs</t>
    </r>
  </si>
  <si>
    <t>Daily, review completed, Booked -4.60</t>
  </si>
  <si>
    <r>
      <rPr>
        <rFont val="Arial"/>
        <b/>
        <color theme="1"/>
      </rPr>
      <t xml:space="preserve">Inglewood </t>
    </r>
    <r>
      <rPr>
        <rFont val="Arial"/>
        <color theme="1"/>
      </rPr>
      <t xml:space="preserve">- Need to categorize the transactions of Feb (US bank) . Posted query on it.
</t>
    </r>
  </si>
  <si>
    <r>
      <rPr>
        <rFont val="Arial"/>
        <b/>
        <color rgb="FF0000FF"/>
      </rPr>
      <t>Total Monthly Files - 8</t>
    </r>
    <r>
      <rPr>
        <rFont val="Arial"/>
        <color theme="1"/>
      </rPr>
      <t xml:space="preserve">
Posted query - 1 
In progress - 0
Yet to start -  0
Review -  0
Completed - 7
</t>
    </r>
    <r>
      <rPr>
        <rFont val="Arial"/>
        <b/>
        <color rgb="FF0000FF"/>
      </rPr>
      <t>Daily task - 10 (Evangelin)</t>
    </r>
    <r>
      <rPr>
        <rFont val="Arial"/>
        <color theme="1"/>
      </rPr>
      <t xml:space="preserve">
</t>
    </r>
    <r>
      <rPr>
        <rFont val="Arial"/>
        <b/>
        <color theme="1"/>
      </rPr>
      <t>Est - 1hr</t>
    </r>
  </si>
  <si>
    <t>daily completed, Booked - 0.87 mins</t>
  </si>
  <si>
    <r>
      <rPr>
        <rFont val="Arial"/>
        <b/>
        <color theme="1"/>
      </rPr>
      <t xml:space="preserve">Inglewood </t>
    </r>
    <r>
      <rPr>
        <rFont val="Arial"/>
        <color theme="1"/>
      </rPr>
      <t xml:space="preserve">- Need to categorize the transactions of Feb (US bank) . Posted query on it.
</t>
    </r>
  </si>
  <si>
    <r>
      <rPr>
        <rFont val="Arial"/>
        <b/>
        <color rgb="FF0000FF"/>
      </rPr>
      <t>Total Monthly Files - 8</t>
    </r>
    <r>
      <rPr>
        <rFont val="Arial"/>
        <color theme="1"/>
      </rPr>
      <t xml:space="preserve">
Posted query - 0 
In progress - 0
Yet to start -  0
Review -  1
Completed - 7
</t>
    </r>
    <r>
      <rPr>
        <rFont val="Arial"/>
        <b/>
        <color rgb="FF0000FF"/>
      </rPr>
      <t>Daily task - 10 (Evangelin)</t>
    </r>
    <r>
      <rPr>
        <rFont val="Arial"/>
        <color theme="1"/>
      </rPr>
      <t xml:space="preserve">
</t>
    </r>
    <r>
      <rPr>
        <rFont val="Arial"/>
        <b/>
        <color theme="1"/>
      </rPr>
      <t>Est - 2hrs</t>
    </r>
  </si>
  <si>
    <t>daily completed, Booked - 2.11</t>
  </si>
  <si>
    <r>
      <rPr>
        <rFont val="Arial"/>
        <b/>
        <color theme="1"/>
      </rPr>
      <t xml:space="preserve">Inglewood </t>
    </r>
    <r>
      <rPr>
        <rFont val="Arial"/>
        <color theme="1"/>
      </rPr>
      <t xml:space="preserve">- Need to categorize the transactions of Feb (US bank) . Posted query on it.
</t>
    </r>
  </si>
  <si>
    <r>
      <rPr>
        <rFont val="Arial"/>
        <b/>
        <color rgb="FF0000FF"/>
      </rPr>
      <t>Total Monthly Files - 8</t>
    </r>
    <r>
      <rPr>
        <rFont val="Arial"/>
        <color theme="1"/>
      </rPr>
      <t xml:space="preserve">
Posted query - 0 
In progress - 0
Yet to start -  8
Review -  0
Completed - 0
</t>
    </r>
    <r>
      <rPr>
        <rFont val="Arial"/>
        <b/>
        <color rgb="FF0000FF"/>
      </rPr>
      <t>Daily task - 10 (Evangelin)</t>
    </r>
    <r>
      <rPr>
        <rFont val="Arial"/>
        <color theme="1"/>
      </rPr>
      <t xml:space="preserve">
</t>
    </r>
    <r>
      <rPr>
        <rFont val="Arial"/>
        <b/>
        <color theme="1"/>
      </rPr>
      <t>Est - 4hrs</t>
    </r>
  </si>
  <si>
    <t>daily completed, Booked - 4.28</t>
  </si>
  <si>
    <r>
      <rPr>
        <rFont val="Arial"/>
        <b/>
        <color theme="1"/>
      </rPr>
      <t xml:space="preserve">Inglewood </t>
    </r>
    <r>
      <rPr>
        <rFont val="Arial"/>
        <color theme="1"/>
      </rPr>
      <t xml:space="preserve">- Need to categorize the transactions of Feb (US bank) . Posted query on it.
</t>
    </r>
  </si>
  <si>
    <r>
      <rPr>
        <rFont val="Arial"/>
        <b/>
        <color rgb="FF0000FF"/>
      </rPr>
      <t>Total Monthly Files - 8</t>
    </r>
    <r>
      <rPr>
        <rFont val="Arial"/>
        <color theme="1"/>
      </rPr>
      <t xml:space="preserve">
Posted query - 0 
In progress - 0
Yet to start -  8
Review -  0
Completed - 0
</t>
    </r>
    <r>
      <rPr>
        <rFont val="Arial"/>
        <b/>
        <color rgb="FF0000FF"/>
      </rPr>
      <t>Daily task - 10 (Evangelin)</t>
    </r>
    <r>
      <rPr>
        <rFont val="Arial"/>
        <color theme="1"/>
      </rPr>
      <t xml:space="preserve">
</t>
    </r>
    <r>
      <rPr>
        <rFont val="Arial"/>
        <b/>
        <color theme="1"/>
      </rPr>
      <t>Est - 4hrs</t>
    </r>
  </si>
  <si>
    <t>Booked -4.1 hrs Completed daily</t>
  </si>
  <si>
    <r>
      <rPr>
        <rFont val="Arial"/>
        <b/>
        <color theme="1"/>
      </rPr>
      <t xml:space="preserve">Inglewood </t>
    </r>
    <r>
      <rPr>
        <rFont val="Arial"/>
        <color theme="1"/>
      </rPr>
      <t xml:space="preserve">- Need to categorize the transactions of Feb and March (US bank) . Posted query on it.
</t>
    </r>
  </si>
  <si>
    <r>
      <rPr>
        <rFont val="Arial"/>
        <b/>
        <color rgb="FF0000FF"/>
      </rPr>
      <t>Total Monthly Files - 8</t>
    </r>
    <r>
      <rPr>
        <rFont val="Arial"/>
        <color theme="1"/>
      </rPr>
      <t xml:space="preserve">
Posted query - 0 
In progress - 1
Yet to start -  7
Review -  0
Completed - 0
</t>
    </r>
    <r>
      <rPr>
        <rFont val="Arial"/>
        <b/>
        <color rgb="FF0000FF"/>
      </rPr>
      <t>Daily task - 10 (Evangelin)</t>
    </r>
    <r>
      <rPr>
        <rFont val="Arial"/>
        <color theme="1"/>
      </rPr>
      <t xml:space="preserve">
</t>
    </r>
    <r>
      <rPr>
        <rFont val="Arial"/>
        <b/>
        <color theme="1"/>
      </rPr>
      <t>Est - 5hrs</t>
    </r>
  </si>
  <si>
    <t xml:space="preserve">Booked -5.02hrs completed daily </t>
  </si>
  <si>
    <r>
      <rPr>
        <rFont val="Arial"/>
        <b/>
        <color rgb="FF0000FF"/>
      </rPr>
      <t>Total Monthly Files - 8</t>
    </r>
    <r>
      <rPr>
        <rFont val="Arial"/>
        <color theme="1"/>
      </rPr>
      <t xml:space="preserve">
Posted query - 0 
In progress - 0
Yet to start -  7
Review -  0
Completed - 1
</t>
    </r>
    <r>
      <rPr>
        <rFont val="Arial"/>
        <b/>
        <color rgb="FF0000FF"/>
      </rPr>
      <t>Daily task - 10 (Evangelin)</t>
    </r>
    <r>
      <rPr>
        <rFont val="Arial"/>
        <color theme="1"/>
      </rPr>
      <t xml:space="preserve">
</t>
    </r>
    <r>
      <rPr>
        <rFont val="Arial"/>
        <b/>
        <color theme="1"/>
      </rPr>
      <t>Est - 5hrs</t>
    </r>
  </si>
  <si>
    <t>Booked -5hrs completed daily</t>
  </si>
  <si>
    <t>Catch-Up Req.</t>
  </si>
  <si>
    <t xml:space="preserve">Co-axis issue </t>
  </si>
  <si>
    <r>
      <rPr>
        <rFont val="Arial"/>
        <b/>
        <color rgb="FF0000FF"/>
      </rPr>
      <t>Total Monthly Files - 8</t>
    </r>
    <r>
      <rPr>
        <rFont val="Arial"/>
        <color theme="1"/>
      </rPr>
      <t xml:space="preserve">
Posted query - 0 
In progress - 7
Yet to start -  0
Review -  0
Completed - 1
</t>
    </r>
    <r>
      <rPr>
        <rFont val="Arial"/>
        <b/>
        <color rgb="FF0000FF"/>
      </rPr>
      <t>Daily task - 10 (Evangelin)</t>
    </r>
    <r>
      <rPr>
        <rFont val="Arial"/>
        <color theme="1"/>
      </rPr>
      <t xml:space="preserve">
</t>
    </r>
    <r>
      <rPr>
        <rFont val="Arial"/>
        <b/>
        <color theme="1"/>
      </rPr>
      <t>Est - 5hrs</t>
    </r>
  </si>
  <si>
    <t>Booked -4.50 hrs Inprogress</t>
  </si>
  <si>
    <r>
      <rPr>
        <rFont val="Arial"/>
        <b/>
        <color rgb="FF0000FF"/>
      </rPr>
      <t>Total Monthly Files - 8</t>
    </r>
    <r>
      <rPr>
        <rFont val="Arial"/>
        <color theme="1"/>
      </rPr>
      <t xml:space="preserve">
Posted query - 1 
In progress - 5
Yet to start -  0
Review -  1
Completed - 1
</t>
    </r>
    <r>
      <rPr>
        <rFont val="Arial"/>
        <b/>
        <color rgb="FF0000FF"/>
      </rPr>
      <t>Daily task - 10 (Evangelin)</t>
    </r>
    <r>
      <rPr>
        <rFont val="Arial"/>
        <color theme="1"/>
      </rPr>
      <t xml:space="preserve">
</t>
    </r>
    <r>
      <rPr>
        <rFont val="Arial"/>
        <b/>
        <color theme="1"/>
      </rPr>
      <t>Est - 3hrs</t>
    </r>
  </si>
  <si>
    <t>Booked -2.96 hrs Inprogress</t>
  </si>
  <si>
    <t xml:space="preserve">Sky - Requested depo slip </t>
  </si>
  <si>
    <r>
      <rPr>
        <rFont val="Arial"/>
        <b/>
        <color rgb="FF0000FF"/>
      </rPr>
      <t>Total Monthly Files - 8</t>
    </r>
    <r>
      <rPr>
        <rFont val="Arial"/>
        <color theme="1"/>
      </rPr>
      <t xml:space="preserve">
Posted query - 1 
In progress - 6
Yet to start -  0
Review -  0
Completed - 1
</t>
    </r>
    <r>
      <rPr>
        <rFont val="Arial"/>
        <b/>
        <color rgb="FF0000FF"/>
      </rPr>
      <t>Daily task - 10 (Evangelin)</t>
    </r>
    <r>
      <rPr>
        <rFont val="Arial"/>
        <color theme="1"/>
      </rPr>
      <t xml:space="preserve">
</t>
    </r>
    <r>
      <rPr>
        <rFont val="Arial"/>
        <b/>
        <color theme="1"/>
      </rPr>
      <t>Est - 5hrs</t>
    </r>
  </si>
  <si>
    <t xml:space="preserve">Booked - 5.26 hrs. Completed daily monthly query </t>
  </si>
  <si>
    <r>
      <rPr>
        <rFont val="Arial"/>
        <b/>
        <color rgb="FF0000FF"/>
      </rPr>
      <t>Total Monthly Files - 8</t>
    </r>
    <r>
      <rPr>
        <rFont val="Arial"/>
        <color theme="1"/>
      </rPr>
      <t xml:space="preserve">
Posted query - 6
In progress - 0
Yet to start -  0
Review -  0
Completed - 2
</t>
    </r>
    <r>
      <rPr>
        <rFont val="Arial"/>
        <b/>
        <color rgb="FF0000FF"/>
      </rPr>
      <t>Daily task - 10 (Evangelin)</t>
    </r>
    <r>
      <rPr>
        <rFont val="Arial"/>
        <color theme="1"/>
      </rPr>
      <t xml:space="preserve">
</t>
    </r>
    <r>
      <rPr>
        <rFont val="Arial"/>
        <b/>
        <color theme="1"/>
      </rPr>
      <t>Est - 4hrs</t>
    </r>
  </si>
  <si>
    <t>daily completed , Booked -3.14 hrs</t>
  </si>
  <si>
    <t xml:space="preserve">EWI - Posted query reg a transactin client portal
New life - Posted a query reg. a transaction
Sky - Req. depo. slip
S3 - Posted query reg. a transact 
Sun - Waiting for  svg stmtns
IPT - Need US bank stmnt to categorize transact. </t>
  </si>
  <si>
    <r>
      <rPr>
        <rFont val="Arial"/>
        <b/>
        <color rgb="FF0000FF"/>
      </rPr>
      <t>Total Monthly Files - 8</t>
    </r>
    <r>
      <rPr>
        <rFont val="Arial"/>
        <color theme="1"/>
      </rPr>
      <t xml:space="preserve">
Posted query - 5
In progress - 1 (evangelin)
Yet to start -  0
Review -  0
Completed - 2
</t>
    </r>
    <r>
      <rPr>
        <rFont val="Arial"/>
        <b/>
        <color rgb="FF0000FF"/>
      </rPr>
      <t>Daily task - 0</t>
    </r>
    <r>
      <rPr>
        <rFont val="Arial"/>
        <color theme="1"/>
      </rPr>
      <t xml:space="preserve">
</t>
    </r>
    <r>
      <rPr>
        <rFont val="Arial"/>
        <b/>
        <color theme="1"/>
      </rPr>
      <t>Est - 4hrs</t>
    </r>
  </si>
  <si>
    <t>1 monthly completed, 5query Booked - 4.40</t>
  </si>
  <si>
    <r>
      <rPr>
        <rFont val="Arial"/>
        <b/>
        <color theme="1"/>
      </rPr>
      <t>EWI -</t>
    </r>
    <r>
      <rPr>
        <rFont val="Arial"/>
        <b val="0"/>
        <color theme="1"/>
      </rPr>
      <t xml:space="preserve"> Posted query reg a transactin client portal</t>
    </r>
    <r>
      <rPr>
        <rFont val="Arial"/>
        <b/>
        <color theme="1"/>
      </rPr>
      <t xml:space="preserve">
New life - </t>
    </r>
    <r>
      <rPr>
        <rFont val="Arial"/>
        <b val="0"/>
        <color theme="1"/>
      </rPr>
      <t>Posted a query reg. a transaction</t>
    </r>
    <r>
      <rPr>
        <rFont val="Arial"/>
        <b/>
        <color theme="1"/>
      </rPr>
      <t xml:space="preserve">
S3 - </t>
    </r>
    <r>
      <rPr>
        <rFont val="Arial"/>
        <b val="0"/>
        <color theme="1"/>
      </rPr>
      <t xml:space="preserve">Posted query reg. a transact </t>
    </r>
    <r>
      <rPr>
        <rFont val="Arial"/>
        <b/>
        <color theme="1"/>
      </rPr>
      <t xml:space="preserve">
Sun - </t>
    </r>
    <r>
      <rPr>
        <rFont val="Arial"/>
        <b val="0"/>
        <color theme="1"/>
      </rPr>
      <t>Waiting for  svg stmtns</t>
    </r>
    <r>
      <rPr>
        <rFont val="Arial"/>
        <b/>
        <color theme="1"/>
      </rPr>
      <t xml:space="preserve">
IPT - </t>
    </r>
    <r>
      <rPr>
        <rFont val="Arial"/>
        <b val="0"/>
        <color theme="1"/>
      </rPr>
      <t xml:space="preserve">Need US bank stmnt to categorize transact. </t>
    </r>
  </si>
  <si>
    <r>
      <rPr>
        <rFont val="Arial"/>
        <b/>
        <color rgb="FF0000FF"/>
      </rPr>
      <t>Total Monthly Files - 8</t>
    </r>
    <r>
      <rPr>
        <rFont val="Arial"/>
        <color theme="1"/>
      </rPr>
      <t xml:space="preserve">
Posted query - 5
In progress - 0
Yet to start -  0
Review -  0
Completed - 3
</t>
    </r>
    <r>
      <rPr>
        <rFont val="Arial"/>
        <b/>
        <color rgb="FF0000FF"/>
      </rPr>
      <t>Cleanup - 1 (Query)</t>
    </r>
    <r>
      <rPr>
        <rFont val="Arial"/>
        <color theme="1"/>
      </rPr>
      <t xml:space="preserve">
</t>
    </r>
    <r>
      <rPr>
        <rFont val="Arial"/>
        <b/>
        <color rgb="FF0000FF"/>
      </rPr>
      <t>Daily task - 10 (Evangelin)</t>
    </r>
    <r>
      <rPr>
        <rFont val="Arial"/>
        <color theme="1"/>
      </rPr>
      <t xml:space="preserve">
</t>
    </r>
    <r>
      <rPr>
        <rFont val="Arial"/>
        <b/>
        <color theme="1"/>
      </rPr>
      <t>Est - 2hrs</t>
    </r>
  </si>
  <si>
    <t>completed daily, Booked - 1.72</t>
  </si>
  <si>
    <r>
      <rPr>
        <rFont val="Arial"/>
        <color theme="1"/>
      </rPr>
      <t xml:space="preserve">Cleanup (Molecule Design) - Requested QBO access
</t>
    </r>
    <r>
      <rPr>
        <rFont val="Arial"/>
        <b/>
        <color theme="1"/>
      </rPr>
      <t xml:space="preserve">EWI </t>
    </r>
    <r>
      <rPr>
        <rFont val="Arial"/>
        <color theme="1"/>
      </rPr>
      <t xml:space="preserve">- Posted query reg a transactin client portal
</t>
    </r>
    <r>
      <rPr>
        <rFont val="Arial"/>
        <b/>
        <color theme="1"/>
      </rPr>
      <t xml:space="preserve">New life </t>
    </r>
    <r>
      <rPr>
        <rFont val="Arial"/>
        <color theme="1"/>
      </rPr>
      <t xml:space="preserve">- Posted a query reg. a transaction
</t>
    </r>
    <r>
      <rPr>
        <rFont val="Arial"/>
        <b/>
        <color theme="1"/>
      </rPr>
      <t>S3 -</t>
    </r>
    <r>
      <rPr>
        <rFont val="Arial"/>
        <color theme="1"/>
      </rPr>
      <t xml:space="preserve"> Posted query reg. a transact 
</t>
    </r>
    <r>
      <rPr>
        <rFont val="Arial"/>
        <b/>
        <color theme="1"/>
      </rPr>
      <t>Sun</t>
    </r>
    <r>
      <rPr>
        <rFont val="Arial"/>
        <color theme="1"/>
      </rPr>
      <t xml:space="preserve"> - Waiting for  svg stmtns
</t>
    </r>
    <r>
      <rPr>
        <rFont val="Arial"/>
        <b/>
        <color theme="1"/>
      </rPr>
      <t>IPT</t>
    </r>
    <r>
      <rPr>
        <rFont val="Arial"/>
        <color theme="1"/>
      </rPr>
      <t xml:space="preserve"> - Need US bank stmnt to categorize transact.</t>
    </r>
  </si>
  <si>
    <t xml:space="preserve">Please catch-up and clean-up this account for 2024 only. It needs to be started on Monday. Thanks!  - Requetsed QBO access
Swetha is on PTO. Hence Hema updated the status </t>
  </si>
  <si>
    <r>
      <rPr>
        <rFont val="Arial"/>
        <b/>
        <color rgb="FF0000FF"/>
      </rPr>
      <t>Total Monthly Files - 8</t>
    </r>
    <r>
      <rPr>
        <rFont val="Arial"/>
        <color theme="1"/>
      </rPr>
      <t xml:space="preserve">
Posted query - 5
In progress - 0
Yet to start -  0
Review -  0
Completed - 3
</t>
    </r>
    <r>
      <rPr>
        <rFont val="Arial"/>
        <b/>
        <color rgb="FF0000FF"/>
      </rPr>
      <t>Cleanup - 1 (Query)</t>
    </r>
    <r>
      <rPr>
        <rFont val="Arial"/>
        <color theme="1"/>
      </rPr>
      <t xml:space="preserve">
</t>
    </r>
    <r>
      <rPr>
        <rFont val="Arial"/>
        <b/>
        <color rgb="FF0000FF"/>
      </rPr>
      <t>Daily task - 10 (Evangelin)</t>
    </r>
    <r>
      <rPr>
        <rFont val="Arial"/>
        <color theme="1"/>
      </rPr>
      <t xml:space="preserve">
</t>
    </r>
    <r>
      <rPr>
        <rFont val="Arial"/>
        <b/>
        <color theme="1"/>
      </rPr>
      <t>Est - 2.30hrs</t>
    </r>
  </si>
  <si>
    <t>daily completed , Booked -2.43hrs</t>
  </si>
  <si>
    <r>
      <rPr>
        <rFont val="Arial"/>
        <color theme="1"/>
      </rPr>
      <t xml:space="preserve">Cleanup (Molecule Design) - Requested QBO access
</t>
    </r>
    <r>
      <rPr>
        <rFont val="Arial"/>
        <b/>
        <color theme="1"/>
      </rPr>
      <t xml:space="preserve">EWI </t>
    </r>
    <r>
      <rPr>
        <rFont val="Arial"/>
        <color theme="1"/>
      </rPr>
      <t xml:space="preserve">- Posted query reg a transactin client portal
</t>
    </r>
    <r>
      <rPr>
        <rFont val="Arial"/>
        <b/>
        <color theme="1"/>
      </rPr>
      <t xml:space="preserve">New life </t>
    </r>
    <r>
      <rPr>
        <rFont val="Arial"/>
        <color theme="1"/>
      </rPr>
      <t xml:space="preserve">- Posted a query reg. a transaction
</t>
    </r>
    <r>
      <rPr>
        <rFont val="Arial"/>
        <b/>
        <color theme="1"/>
      </rPr>
      <t>S3 -</t>
    </r>
    <r>
      <rPr>
        <rFont val="Arial"/>
        <color theme="1"/>
      </rPr>
      <t xml:space="preserve"> Posted query reg. a transact 
</t>
    </r>
    <r>
      <rPr>
        <rFont val="Arial"/>
        <b/>
        <color theme="1"/>
      </rPr>
      <t>Sun</t>
    </r>
    <r>
      <rPr>
        <rFont val="Arial"/>
        <color theme="1"/>
      </rPr>
      <t xml:space="preserve"> - Waiting for  svg stmtns
</t>
    </r>
    <r>
      <rPr>
        <rFont val="Arial"/>
        <b/>
        <color theme="1"/>
      </rPr>
      <t>IPT</t>
    </r>
    <r>
      <rPr>
        <rFont val="Arial"/>
        <color theme="1"/>
      </rPr>
      <t xml:space="preserve"> - Need US bank stmnt to categorize transact.</t>
    </r>
  </si>
  <si>
    <r>
      <rPr>
        <rFont val="Arial"/>
        <b/>
        <color rgb="FF0000FF"/>
      </rPr>
      <t>Total Monthly Files - 8</t>
    </r>
    <r>
      <rPr>
        <rFont val="Arial"/>
        <color theme="1"/>
      </rPr>
      <t xml:space="preserve">
Posted query - 4
In progress - 1
Yet to start -  0
Review -  0
Completed - 3
</t>
    </r>
    <r>
      <rPr>
        <rFont val="Arial"/>
        <b/>
        <color rgb="FF0000FF"/>
      </rPr>
      <t>Cleanup - 1 (Query)</t>
    </r>
    <r>
      <rPr>
        <rFont val="Arial"/>
        <color theme="1"/>
      </rPr>
      <t xml:space="preserve">
</t>
    </r>
    <r>
      <rPr>
        <rFont val="Arial"/>
        <b/>
        <color rgb="FF0000FF"/>
      </rPr>
      <t>Daily task - 10 (Evangelin)</t>
    </r>
    <r>
      <rPr>
        <rFont val="Arial"/>
        <color theme="1"/>
      </rPr>
      <t xml:space="preserve">
</t>
    </r>
    <r>
      <rPr>
        <rFont val="Arial"/>
        <b/>
        <color theme="1"/>
      </rPr>
      <t>Est - 4hrs</t>
    </r>
  </si>
  <si>
    <t>daily completed , review - 1 Booked -4.16</t>
  </si>
  <si>
    <r>
      <rPr>
        <rFont val="Arial"/>
        <color theme="1"/>
      </rPr>
      <t xml:space="preserve">Cleanup (Molecule Design) - Requested QBO access
</t>
    </r>
    <r>
      <rPr>
        <rFont val="Arial"/>
        <b/>
        <color theme="1"/>
      </rPr>
      <t xml:space="preserve">EWI </t>
    </r>
    <r>
      <rPr>
        <rFont val="Arial"/>
        <color theme="1"/>
      </rPr>
      <t xml:space="preserve">- Posted query reg a transactin client portal
</t>
    </r>
    <r>
      <rPr>
        <rFont val="Arial"/>
        <b/>
        <color theme="1"/>
      </rPr>
      <t xml:space="preserve">New life </t>
    </r>
    <r>
      <rPr>
        <rFont val="Arial"/>
        <color theme="1"/>
      </rPr>
      <t xml:space="preserve">- Posted a query reg. a transaction
</t>
    </r>
    <r>
      <rPr>
        <rFont val="Arial"/>
        <b/>
        <color theme="1"/>
      </rPr>
      <t>S3 -</t>
    </r>
    <r>
      <rPr>
        <rFont val="Arial"/>
        <color theme="1"/>
      </rPr>
      <t xml:space="preserve"> Posted query reg. a transact 
</t>
    </r>
    <r>
      <rPr>
        <rFont val="Arial"/>
        <b/>
        <color theme="1"/>
      </rPr>
      <t>Sun</t>
    </r>
    <r>
      <rPr>
        <rFont val="Arial"/>
        <color theme="1"/>
      </rPr>
      <t xml:space="preserve"> - Waiting for  svg stmtns
</t>
    </r>
  </si>
  <si>
    <r>
      <rPr>
        <rFont val="Arial"/>
        <b/>
        <color rgb="FF0000FF"/>
      </rPr>
      <t>Total Monthly Files - 8</t>
    </r>
    <r>
      <rPr>
        <rFont val="Arial"/>
        <color theme="1"/>
      </rPr>
      <t xml:space="preserve">
Posted query - 4
In progress - 0
Yet to start -  0
Review -  0
Completed - 4
</t>
    </r>
    <r>
      <rPr>
        <rFont val="Arial"/>
        <b/>
        <color rgb="FF0000FF"/>
      </rPr>
      <t>Cleanup - 1 (Query)</t>
    </r>
    <r>
      <rPr>
        <rFont val="Arial"/>
        <color theme="1"/>
      </rPr>
      <t xml:space="preserve">
</t>
    </r>
    <r>
      <rPr>
        <rFont val="Arial"/>
        <b/>
        <color rgb="FF0000FF"/>
      </rPr>
      <t>Daily task - 10 (Evangelin)</t>
    </r>
    <r>
      <rPr>
        <rFont val="Arial"/>
        <color theme="1"/>
      </rPr>
      <t xml:space="preserve">
</t>
    </r>
    <r>
      <rPr>
        <rFont val="Arial"/>
        <b/>
        <color theme="1"/>
      </rPr>
      <t>Est - 1hr</t>
    </r>
  </si>
  <si>
    <t>daily completed, Booked -0.70</t>
  </si>
  <si>
    <r>
      <rPr>
        <rFont val="Arial"/>
        <color theme="1"/>
      </rPr>
      <t xml:space="preserve">Cleanup (Molecule Design) - Requested QBO access
</t>
    </r>
    <r>
      <rPr>
        <rFont val="Arial"/>
        <b/>
        <color theme="1"/>
      </rPr>
      <t xml:space="preserve">EWI </t>
    </r>
    <r>
      <rPr>
        <rFont val="Arial"/>
        <color theme="1"/>
      </rPr>
      <t xml:space="preserve">- Posted query reg a transactin client portal
</t>
    </r>
    <r>
      <rPr>
        <rFont val="Arial"/>
        <b/>
        <color theme="1"/>
      </rPr>
      <t xml:space="preserve">New life </t>
    </r>
    <r>
      <rPr>
        <rFont val="Arial"/>
        <color theme="1"/>
      </rPr>
      <t xml:space="preserve">- Posted a query reg. a transaction
</t>
    </r>
    <r>
      <rPr>
        <rFont val="Arial"/>
        <b/>
        <color theme="1"/>
      </rPr>
      <t>S3 -</t>
    </r>
    <r>
      <rPr>
        <rFont val="Arial"/>
        <color theme="1"/>
      </rPr>
      <t xml:space="preserve"> Posted query reg. a transact 
</t>
    </r>
    <r>
      <rPr>
        <rFont val="Arial"/>
        <b/>
        <color theme="1"/>
      </rPr>
      <t>Sun</t>
    </r>
    <r>
      <rPr>
        <rFont val="Arial"/>
        <color theme="1"/>
      </rPr>
      <t xml:space="preserve"> - Waiting for  svg stmtns
</t>
    </r>
  </si>
  <si>
    <r>
      <rPr>
        <rFont val="Arial"/>
        <b/>
        <color rgb="FF0000FF"/>
      </rPr>
      <t>Total Monthly Files - 8</t>
    </r>
    <r>
      <rPr>
        <rFont val="Arial"/>
        <color theme="1"/>
      </rPr>
      <t xml:space="preserve">
Posted query - 4
In progress - 1
Yet to start -  0
Review -  0
Completed - 4
</t>
    </r>
    <r>
      <rPr>
        <rFont val="Arial"/>
        <b/>
        <color rgb="FF0000FF"/>
      </rPr>
      <t>Cleanup - 1 (Query)</t>
    </r>
    <r>
      <rPr>
        <rFont val="Arial"/>
        <color theme="1"/>
      </rPr>
      <t xml:space="preserve">
</t>
    </r>
    <r>
      <rPr>
        <rFont val="Arial"/>
        <b/>
        <color rgb="FF0000FF"/>
      </rPr>
      <t>Daily task - 10 (Evangelin)</t>
    </r>
    <r>
      <rPr>
        <rFont val="Arial"/>
        <color theme="1"/>
      </rPr>
      <t xml:space="preserve">
</t>
    </r>
    <r>
      <rPr>
        <rFont val="Arial"/>
        <b/>
        <color theme="1"/>
      </rPr>
      <t>Est - 3hrs</t>
    </r>
  </si>
  <si>
    <t>daily completed, monthly - 1 completed, Booked - 3.11</t>
  </si>
  <si>
    <r>
      <rPr>
        <rFont val="Arial"/>
        <color theme="1"/>
      </rPr>
      <t xml:space="preserve">Cleanup (Molecule Design) - Requested QBO access
</t>
    </r>
    <r>
      <rPr>
        <rFont val="Arial"/>
        <b/>
        <color theme="1"/>
      </rPr>
      <t xml:space="preserve">EWI </t>
    </r>
    <r>
      <rPr>
        <rFont val="Arial"/>
        <color theme="1"/>
      </rPr>
      <t xml:space="preserve">- Posted query reg a transactin client portal
</t>
    </r>
    <r>
      <rPr>
        <rFont val="Arial"/>
        <b/>
        <color theme="1"/>
      </rPr>
      <t>S3 -</t>
    </r>
    <r>
      <rPr>
        <rFont val="Arial"/>
        <color theme="1"/>
      </rPr>
      <t xml:space="preserve"> Posted query reg. a transact 
</t>
    </r>
    <r>
      <rPr>
        <rFont val="Arial"/>
        <b/>
        <color theme="1"/>
      </rPr>
      <t>Sun</t>
    </r>
    <r>
      <rPr>
        <rFont val="Arial"/>
        <color theme="1"/>
      </rPr>
      <t xml:space="preserve"> - Waiting for  svg stmtns
</t>
    </r>
  </si>
  <si>
    <r>
      <rPr>
        <rFont val="Arial"/>
        <b/>
        <color rgb="FF0000FF"/>
      </rPr>
      <t>Total Monthly Files - 8</t>
    </r>
    <r>
      <rPr>
        <rFont val="Arial"/>
        <color theme="1"/>
      </rPr>
      <t xml:space="preserve">
Posted query - 3
In progress - 0
Yet to start -  0
Review -  0
Completed - 5
</t>
    </r>
    <r>
      <rPr>
        <rFont val="Arial"/>
        <b/>
        <color rgb="FF0000FF"/>
      </rPr>
      <t xml:space="preserve">Cleanup - 1 </t>
    </r>
    <r>
      <rPr>
        <rFont val="Arial"/>
        <color theme="1"/>
      </rPr>
      <t xml:space="preserve">
</t>
    </r>
    <r>
      <rPr>
        <rFont val="Arial"/>
        <b/>
        <color rgb="FF0000FF"/>
      </rPr>
      <t>Daily task - 10 (Evangelin)</t>
    </r>
    <r>
      <rPr>
        <rFont val="Arial"/>
        <color theme="1"/>
      </rPr>
      <t xml:space="preserve">
</t>
    </r>
    <r>
      <rPr>
        <rFont val="Arial"/>
        <b/>
        <color theme="1"/>
      </rPr>
      <t>Est - 4hrs</t>
    </r>
  </si>
  <si>
    <t>Daily completed, Cleanup inprogress, Booked -5.31</t>
  </si>
  <si>
    <r>
      <rPr>
        <rFont val="Arial"/>
        <b/>
        <color theme="1"/>
      </rPr>
      <t xml:space="preserve">EWI </t>
    </r>
    <r>
      <rPr>
        <rFont val="Arial"/>
        <color theme="1"/>
      </rPr>
      <t xml:space="preserve">- Posted query reg a transactin client portal
</t>
    </r>
    <r>
      <rPr>
        <rFont val="Arial"/>
        <b/>
        <color theme="1"/>
      </rPr>
      <t>Sun</t>
    </r>
    <r>
      <rPr>
        <rFont val="Arial"/>
        <color theme="1"/>
      </rPr>
      <t xml:space="preserve"> - Waiting for  svg stmtns
</t>
    </r>
  </si>
  <si>
    <r>
      <rPr>
        <rFont val="Arial"/>
        <b/>
        <color rgb="FF0000FF"/>
      </rPr>
      <t>Total Monthly Files - 8</t>
    </r>
    <r>
      <rPr>
        <rFont val="Arial"/>
        <color theme="1"/>
      </rPr>
      <t xml:space="preserve">
Posted query - 2
In progress - 0
Yet to start -  0
Review -  1
Completed - 5
</t>
    </r>
    <r>
      <rPr>
        <rFont val="Arial"/>
        <b/>
        <color rgb="FF0000FF"/>
      </rPr>
      <t xml:space="preserve">Cleanup - 1 </t>
    </r>
    <r>
      <rPr>
        <rFont val="Arial"/>
        <color theme="1"/>
      </rPr>
      <t xml:space="preserve">
</t>
    </r>
    <r>
      <rPr>
        <rFont val="Arial"/>
        <b/>
        <color rgb="FF0000FF"/>
      </rPr>
      <t>Daily task - 10 (Evangelin)</t>
    </r>
    <r>
      <rPr>
        <rFont val="Arial"/>
        <color theme="1"/>
      </rPr>
      <t xml:space="preserve">
</t>
    </r>
    <r>
      <rPr>
        <rFont val="Arial"/>
        <b/>
        <color theme="1"/>
      </rPr>
      <t>Est - 4hrs</t>
    </r>
  </si>
  <si>
    <t>Booked -4.45hrsdaily and review completed</t>
  </si>
  <si>
    <r>
      <rPr>
        <rFont val="Arial"/>
        <b/>
        <color theme="1"/>
      </rPr>
      <t xml:space="preserve">EWI </t>
    </r>
    <r>
      <rPr>
        <rFont val="Arial"/>
        <color theme="1"/>
      </rPr>
      <t xml:space="preserve">- Posted query reg a transactin client portal
</t>
    </r>
    <r>
      <rPr>
        <rFont val="Arial"/>
        <b/>
        <color theme="1"/>
      </rPr>
      <t>Sun</t>
    </r>
    <r>
      <rPr>
        <rFont val="Arial"/>
        <color theme="1"/>
      </rPr>
      <t xml:space="preserve"> - Waiting for  svg stmtns
</t>
    </r>
    <r>
      <rPr>
        <rFont val="Arial"/>
        <b/>
        <color theme="1"/>
      </rPr>
      <t>Cleanup - Molecule</t>
    </r>
    <r>
      <rPr>
        <rFont val="Arial"/>
        <color theme="1"/>
      </rPr>
      <t xml:space="preserve"> - Posted query reg CC stmnts</t>
    </r>
  </si>
  <si>
    <r>
      <rPr>
        <rFont val="Arial"/>
        <b/>
        <color rgb="FF0000FF"/>
      </rPr>
      <t>Total Monthly Files - 8</t>
    </r>
    <r>
      <rPr>
        <rFont val="Arial"/>
        <color theme="1"/>
      </rPr>
      <t xml:space="preserve">
Posted query - 2
In progress - 0
Yet to start -  0
Review -  0
Completed - 6
</t>
    </r>
    <r>
      <rPr>
        <rFont val="Arial"/>
        <b/>
        <color rgb="FF0000FF"/>
      </rPr>
      <t>Cleanup - 1 (query)</t>
    </r>
    <r>
      <rPr>
        <rFont val="Arial"/>
        <color theme="1"/>
      </rPr>
      <t xml:space="preserve">
</t>
    </r>
    <r>
      <rPr>
        <rFont val="Arial"/>
        <b/>
        <color rgb="FF0000FF"/>
      </rPr>
      <t>Daily task - 10 (Evangelin)</t>
    </r>
    <r>
      <rPr>
        <rFont val="Arial"/>
        <color theme="1"/>
      </rPr>
      <t xml:space="preserve">
</t>
    </r>
    <r>
      <rPr>
        <rFont val="Arial"/>
        <b/>
        <color theme="1"/>
      </rPr>
      <t>Est - 1.30hrs</t>
    </r>
  </si>
  <si>
    <t>Booked -1.06 hrs daily completed</t>
  </si>
  <si>
    <r>
      <rPr>
        <rFont val="Arial"/>
        <b/>
        <color theme="1"/>
      </rPr>
      <t xml:space="preserve">EWI </t>
    </r>
    <r>
      <rPr>
        <rFont val="Arial"/>
        <color theme="1"/>
      </rPr>
      <t xml:space="preserve">- Posted query reg a transactin client portal
</t>
    </r>
    <r>
      <rPr>
        <rFont val="Arial"/>
        <b/>
        <color theme="1"/>
      </rPr>
      <t>Sun</t>
    </r>
    <r>
      <rPr>
        <rFont val="Arial"/>
        <color theme="1"/>
      </rPr>
      <t xml:space="preserve"> - Waiting for  svg stmtns
</t>
    </r>
    <r>
      <rPr>
        <rFont val="Arial"/>
        <b/>
        <color theme="1"/>
      </rPr>
      <t>Cleanup - Molecule</t>
    </r>
    <r>
      <rPr>
        <rFont val="Arial"/>
        <color theme="1"/>
      </rPr>
      <t xml:space="preserve"> - Posted query reg CC stmnts</t>
    </r>
  </si>
  <si>
    <r>
      <rPr>
        <rFont val="Arial"/>
        <b/>
        <color rgb="FF0000FF"/>
      </rPr>
      <t>Total Monthly Files - 8</t>
    </r>
    <r>
      <rPr>
        <rFont val="Arial"/>
        <color theme="1"/>
      </rPr>
      <t xml:space="preserve">
Posted query - 1
In progress - 1
Yet to start -  0
Review -  0
Completed - 6
</t>
    </r>
    <r>
      <rPr>
        <rFont val="Arial"/>
        <b/>
        <color rgb="FF0000FF"/>
      </rPr>
      <t>Cleanup - 1 (query)</t>
    </r>
    <r>
      <rPr>
        <rFont val="Arial"/>
        <color theme="1"/>
      </rPr>
      <t xml:space="preserve">
</t>
    </r>
    <r>
      <rPr>
        <rFont val="Arial"/>
        <b/>
        <color rgb="FF0000FF"/>
      </rPr>
      <t>Daily task - 10 (Evangelin)</t>
    </r>
    <r>
      <rPr>
        <rFont val="Arial"/>
        <color theme="1"/>
      </rPr>
      <t xml:space="preserve">
</t>
    </r>
    <r>
      <rPr>
        <rFont val="Arial"/>
        <b/>
        <color theme="1"/>
      </rPr>
      <t>Est - 3hrs</t>
    </r>
  </si>
  <si>
    <t>Booked -2.16 hrs daily completed</t>
  </si>
  <si>
    <r>
      <rPr>
        <rFont val="Arial"/>
        <b/>
        <color theme="1"/>
      </rPr>
      <t xml:space="preserve">EWI </t>
    </r>
    <r>
      <rPr>
        <rFont val="Arial"/>
        <color theme="1"/>
      </rPr>
      <t xml:space="preserve">- Posted query reg a transactin client portal
</t>
    </r>
    <r>
      <rPr>
        <rFont val="Arial"/>
        <b/>
        <color theme="1"/>
      </rPr>
      <t>Cleanup - Molecule</t>
    </r>
    <r>
      <rPr>
        <rFont val="Arial"/>
        <color theme="1"/>
      </rPr>
      <t xml:space="preserve"> - Posted query reg CC stmnts</t>
    </r>
  </si>
  <si>
    <r>
      <rPr>
        <rFont val="Arial"/>
        <b/>
        <color rgb="FF0000FF"/>
      </rPr>
      <t>Total Monthly Files - 8</t>
    </r>
    <r>
      <rPr>
        <rFont val="Arial"/>
        <color theme="1"/>
      </rPr>
      <t xml:space="preserve">
Posted query - 0
In progress -0
Yet to start -  8
Review -  0
Completed - 0
</t>
    </r>
    <r>
      <rPr>
        <rFont val="Arial"/>
        <b/>
        <color rgb="FF0000FF"/>
      </rPr>
      <t>Cleanup - 1 (query)</t>
    </r>
    <r>
      <rPr>
        <rFont val="Arial"/>
        <color theme="1"/>
      </rPr>
      <t xml:space="preserve">
</t>
    </r>
    <r>
      <rPr>
        <rFont val="Arial"/>
        <b/>
        <color rgb="FF0000FF"/>
      </rPr>
      <t>Daily task - 10 (Evangelin)</t>
    </r>
    <r>
      <rPr>
        <rFont val="Arial"/>
        <color theme="1"/>
      </rPr>
      <t xml:space="preserve">
</t>
    </r>
    <r>
      <rPr>
        <rFont val="Arial"/>
        <b/>
        <color theme="1"/>
      </rPr>
      <t>Est - 5hrs</t>
    </r>
  </si>
  <si>
    <t>Booked - 5.13 hrs completed daily</t>
  </si>
  <si>
    <r>
      <rPr>
        <rFont val="Arial"/>
        <b/>
        <color theme="1"/>
      </rPr>
      <t xml:space="preserve">EWI </t>
    </r>
    <r>
      <rPr>
        <rFont val="Arial"/>
        <color theme="1"/>
      </rPr>
      <t xml:space="preserve">- Posted query reg a transactin client portal (April)
</t>
    </r>
    <r>
      <rPr>
        <rFont val="Arial"/>
        <b/>
        <color theme="1"/>
      </rPr>
      <t>Cleanup - Molecule</t>
    </r>
    <r>
      <rPr>
        <rFont val="Arial"/>
        <color theme="1"/>
      </rPr>
      <t xml:space="preserve"> - Posted query reg CC stmnts</t>
    </r>
  </si>
  <si>
    <r>
      <rPr>
        <rFont val="Arial"/>
        <b/>
        <color rgb="FF0000FF"/>
      </rPr>
      <t>Total Monthly Files - 8</t>
    </r>
    <r>
      <rPr>
        <rFont val="Arial"/>
        <color theme="1"/>
      </rPr>
      <t xml:space="preserve">
Posted query - 0
In progress - 8 
Yet to start -  0
Review -  0
Completed - 0
</t>
    </r>
    <r>
      <rPr>
        <rFont val="Arial"/>
        <b/>
        <color rgb="FF0000FF"/>
      </rPr>
      <t>Cleanup - 1 (query)</t>
    </r>
    <r>
      <rPr>
        <rFont val="Arial"/>
        <color theme="1"/>
      </rPr>
      <t xml:space="preserve">
</t>
    </r>
    <r>
      <rPr>
        <rFont val="Arial"/>
        <b/>
        <color rgb="FF0000FF"/>
      </rPr>
      <t>Daily task - 10 (Evangelin)</t>
    </r>
    <r>
      <rPr>
        <rFont val="Arial"/>
        <color theme="1"/>
      </rPr>
      <t xml:space="preserve">
</t>
    </r>
    <r>
      <rPr>
        <rFont val="Arial"/>
        <b/>
        <color theme="1"/>
      </rPr>
      <t>Est - 6hrs</t>
    </r>
  </si>
  <si>
    <t>Completed 9 daily, 1 inprogress, monthy - 1 completed, 7 inrogress, Booked -7hrs</t>
  </si>
  <si>
    <r>
      <rPr>
        <rFont val="Arial"/>
        <b/>
        <color theme="1"/>
      </rPr>
      <t xml:space="preserve">EWI </t>
    </r>
    <r>
      <rPr>
        <rFont val="Arial"/>
        <color theme="1"/>
      </rPr>
      <t xml:space="preserve">- Posted query reg a transactin client portal (April)
</t>
    </r>
    <r>
      <rPr>
        <rFont val="Arial"/>
        <b/>
        <color theme="1"/>
      </rPr>
      <t>Cleanup - Molecule</t>
    </r>
    <r>
      <rPr>
        <rFont val="Arial"/>
        <color theme="1"/>
      </rPr>
      <t xml:space="preserve"> - Posted query reg CC stmnts</t>
    </r>
  </si>
  <si>
    <r>
      <rPr>
        <rFont val="Arial"/>
        <b/>
        <color rgb="FF0000FF"/>
      </rPr>
      <t>Total Monthly Files - 8</t>
    </r>
    <r>
      <rPr>
        <rFont val="Arial"/>
        <color theme="1"/>
      </rPr>
      <t xml:space="preserve">
Posted query - 0
In progress - 5 
Yet to start -  0
Review -  3
Completed - 0
</t>
    </r>
    <r>
      <rPr>
        <rFont val="Arial"/>
        <b/>
        <color rgb="FF0000FF"/>
      </rPr>
      <t>Cleanup - 1 (query)</t>
    </r>
    <r>
      <rPr>
        <rFont val="Arial"/>
        <color theme="1"/>
      </rPr>
      <t xml:space="preserve">
</t>
    </r>
    <r>
      <rPr>
        <rFont val="Arial"/>
        <b/>
        <color rgb="FF0000FF"/>
      </rPr>
      <t>Daily task - 10 (Evangelin)</t>
    </r>
    <r>
      <rPr>
        <rFont val="Arial"/>
        <color theme="1"/>
      </rPr>
      <t xml:space="preserve">
</t>
    </r>
    <r>
      <rPr>
        <rFont val="Arial"/>
        <b/>
        <color theme="1"/>
      </rPr>
      <t>Est - 6hrs</t>
    </r>
  </si>
  <si>
    <t>Booked - 4.39, completed daily and 1 review ,  2 review inprogress</t>
  </si>
  <si>
    <r>
      <rPr>
        <rFont val="Arial"/>
        <b/>
        <color rgb="FF0000FF"/>
      </rPr>
      <t>Total Monthly Files - 8</t>
    </r>
    <r>
      <rPr>
        <rFont val="Arial"/>
        <color theme="1"/>
      </rPr>
      <t xml:space="preserve">
Posted query - 0
In progress - 5 
Yet to start -  0
Review -  2
Completed - 1
</t>
    </r>
    <r>
      <rPr>
        <rFont val="Arial"/>
        <b/>
        <color rgb="FF0000FF"/>
      </rPr>
      <t>Cleanup - 1 (query)</t>
    </r>
    <r>
      <rPr>
        <rFont val="Arial"/>
        <color theme="1"/>
      </rPr>
      <t xml:space="preserve">
</t>
    </r>
    <r>
      <rPr>
        <rFont val="Arial"/>
        <b/>
        <color rgb="FF0000FF"/>
      </rPr>
      <t>Daily task - 10 (Evangelin)</t>
    </r>
    <r>
      <rPr>
        <rFont val="Arial"/>
        <color theme="1"/>
      </rPr>
      <t xml:space="preserve">
</t>
    </r>
    <r>
      <rPr>
        <rFont val="Arial"/>
        <b/>
        <color theme="1"/>
      </rPr>
      <t>Est - 4hrs</t>
    </r>
  </si>
  <si>
    <t>Booked - 4.01 , posted queries, completd daily</t>
  </si>
  <si>
    <t xml:space="preserve"> </t>
  </si>
  <si>
    <r>
      <rPr>
        <rFont val="Arial"/>
        <b/>
        <color rgb="FF0000FF"/>
      </rPr>
      <t>Total Monthly Files - 8</t>
    </r>
    <r>
      <rPr>
        <rFont val="Arial"/>
        <color theme="1"/>
      </rPr>
      <t xml:space="preserve">
Posted query - 4
In progress - 0 
Yet to start -  0
Review -  0
Completed - 4
</t>
    </r>
    <r>
      <rPr>
        <rFont val="Arial"/>
        <b/>
        <color rgb="FF0000FF"/>
      </rPr>
      <t>Cleanup - 1 (query)</t>
    </r>
    <r>
      <rPr>
        <rFont val="Arial"/>
        <color theme="1"/>
      </rPr>
      <t xml:space="preserve">
</t>
    </r>
    <r>
      <rPr>
        <rFont val="Arial"/>
        <b/>
        <color rgb="FF0000FF"/>
      </rPr>
      <t>Daily task - 0</t>
    </r>
    <r>
      <rPr>
        <rFont val="Arial"/>
        <color theme="1"/>
      </rPr>
      <t xml:space="preserve">
</t>
    </r>
  </si>
  <si>
    <t xml:space="preserve">No work </t>
  </si>
  <si>
    <r>
      <rPr>
        <rFont val="Arial"/>
        <b/>
        <color rgb="FF0000FF"/>
      </rPr>
      <t>Total Monthly Files - 8</t>
    </r>
    <r>
      <rPr>
        <rFont val="Arial"/>
        <color theme="1"/>
      </rPr>
      <t xml:space="preserve">
Posted query - 4
In progress - 0 
Yet to start -  0
Review -  0
Completed - 4
</t>
    </r>
    <r>
      <rPr>
        <rFont val="Arial"/>
        <b/>
        <color rgb="FF0000FF"/>
      </rPr>
      <t>Cleanup - 1 (query)</t>
    </r>
    <r>
      <rPr>
        <rFont val="Arial"/>
        <color theme="1"/>
      </rPr>
      <t xml:space="preserve">
</t>
    </r>
    <r>
      <rPr>
        <rFont val="Arial"/>
        <b/>
        <color rgb="FF0000FF"/>
      </rPr>
      <t>Daily task - 10 (Evangelin)</t>
    </r>
    <r>
      <rPr>
        <rFont val="Arial"/>
        <color theme="1"/>
      </rPr>
      <t xml:space="preserve">
Est - 2hrs</t>
    </r>
  </si>
  <si>
    <t>Booked -2.01 hrs, daily completed</t>
  </si>
  <si>
    <r>
      <rPr>
        <rFont val="Arial"/>
        <b/>
        <color rgb="FF0000FF"/>
      </rPr>
      <t>Total Monthly Files - 8</t>
    </r>
    <r>
      <rPr>
        <rFont val="Arial"/>
        <color theme="1"/>
      </rPr>
      <t xml:space="preserve">
Posted query - 4
In progress - 0 
Yet to start -  0
Review -  0
Completed - 4
</t>
    </r>
    <r>
      <rPr>
        <rFont val="Arial"/>
        <b/>
        <color rgb="FF0000FF"/>
      </rPr>
      <t>Cleanup - 1 (query)</t>
    </r>
    <r>
      <rPr>
        <rFont val="Arial"/>
        <color theme="1"/>
      </rPr>
      <t xml:space="preserve">
</t>
    </r>
    <r>
      <rPr>
        <rFont val="Arial"/>
        <b/>
        <color rgb="FF0000FF"/>
      </rPr>
      <t>Daily task - 10 (Evangelin)</t>
    </r>
    <r>
      <rPr>
        <rFont val="Arial"/>
        <color theme="1"/>
      </rPr>
      <t xml:space="preserve">
Est - 1hr</t>
    </r>
  </si>
  <si>
    <t>Booked -0.93hrscompleted daily</t>
  </si>
  <si>
    <r>
      <rPr>
        <rFont val="Arial"/>
        <b/>
        <color rgb="FF0000FF"/>
      </rPr>
      <t>Total Monthly Files - 8</t>
    </r>
    <r>
      <rPr>
        <rFont val="Arial"/>
        <color theme="1"/>
      </rPr>
      <t xml:space="preserve">
Posted query - 3
In progress - 1 
Yet to start -  0
Review -  0
Completed - 4
</t>
    </r>
    <r>
      <rPr>
        <rFont val="Arial"/>
        <b/>
        <color rgb="FF0000FF"/>
      </rPr>
      <t>Cleanup - 1 (query)</t>
    </r>
    <r>
      <rPr>
        <rFont val="Arial"/>
        <color theme="1"/>
      </rPr>
      <t xml:space="preserve">
</t>
    </r>
    <r>
      <rPr>
        <rFont val="Arial"/>
        <b/>
        <color rgb="FF0000FF"/>
      </rPr>
      <t>Daily task - 10 (Evangelin)</t>
    </r>
    <r>
      <rPr>
        <rFont val="Arial"/>
        <color theme="1"/>
      </rPr>
      <t xml:space="preserve">
Est - 2hrs</t>
    </r>
  </si>
  <si>
    <t>Completed 1 monthly, posted query
Booked - 2.83 hrs</t>
  </si>
  <si>
    <r>
      <rPr>
        <rFont val="Arial"/>
        <b/>
        <color rgb="FF0000FF"/>
      </rPr>
      <t>Total Monthly Files - 8</t>
    </r>
    <r>
      <rPr>
        <rFont val="Arial"/>
        <color theme="1"/>
      </rPr>
      <t xml:space="preserve">
Posted query - 2
In progress - 0 
Yet to start -  0
Review -  1
Completed - 5
</t>
    </r>
    <r>
      <rPr>
        <rFont val="Arial"/>
        <b/>
        <color rgb="FF0000FF"/>
      </rPr>
      <t>Cleanup - 1 (query)</t>
    </r>
    <r>
      <rPr>
        <rFont val="Arial"/>
        <color theme="1"/>
      </rPr>
      <t xml:space="preserve">
</t>
    </r>
    <r>
      <rPr>
        <rFont val="Arial"/>
        <b/>
        <color rgb="FF0000FF"/>
      </rPr>
      <t>Daily task - 10 (Evangelin)</t>
    </r>
    <r>
      <rPr>
        <rFont val="Arial"/>
        <color theme="1"/>
      </rPr>
      <t xml:space="preserve">
Est - 2.30hrs</t>
    </r>
  </si>
  <si>
    <t xml:space="preserve">Booked -2.27hrs. completed daaily </t>
  </si>
  <si>
    <r>
      <rPr>
        <rFont val="Arial"/>
        <b/>
        <color rgb="FF0000FF"/>
      </rPr>
      <t>Total Monthly Files - 8</t>
    </r>
    <r>
      <rPr>
        <rFont val="Arial"/>
        <color theme="1"/>
      </rPr>
      <t xml:space="preserve">
Posted query - 2
In progress - 0 
Yet to start -  0
Review -  1
Completed - 5
</t>
    </r>
    <r>
      <rPr>
        <rFont val="Arial"/>
        <b/>
        <color rgb="FF0000FF"/>
      </rPr>
      <t>Cleanup - 1 (query)</t>
    </r>
    <r>
      <rPr>
        <rFont val="Arial"/>
        <color theme="1"/>
      </rPr>
      <t xml:space="preserve">
</t>
    </r>
    <r>
      <rPr>
        <rFont val="Arial"/>
        <b/>
        <color rgb="FF0000FF"/>
      </rPr>
      <t>Daily task - 10 (Evangelin)</t>
    </r>
    <r>
      <rPr>
        <rFont val="Arial"/>
        <color theme="1"/>
      </rPr>
      <t xml:space="preserve">
Est - 2hrs</t>
    </r>
  </si>
  <si>
    <t>Booked -2.08. Completed daily</t>
  </si>
  <si>
    <r>
      <rPr>
        <rFont val="Arial"/>
        <b/>
        <color rgb="FF0000FF"/>
      </rPr>
      <t>Total Monthly Files - 8</t>
    </r>
    <r>
      <rPr>
        <rFont val="Arial"/>
        <color theme="1"/>
      </rPr>
      <t xml:space="preserve">
Posted query - 2
In progress - 0 
Yet to start -  0
Review -  0
Completed - 6
</t>
    </r>
    <r>
      <rPr>
        <rFont val="Arial"/>
        <b/>
        <color rgb="FF0000FF"/>
      </rPr>
      <t>Cleanup - 1 (query)</t>
    </r>
    <r>
      <rPr>
        <rFont val="Arial"/>
        <color theme="1"/>
      </rPr>
      <t xml:space="preserve">
</t>
    </r>
    <r>
      <rPr>
        <rFont val="Arial"/>
        <b/>
        <color rgb="FF0000FF"/>
      </rPr>
      <t>Daily task - 10 (Evangelin)</t>
    </r>
    <r>
      <rPr>
        <rFont val="Arial"/>
        <color theme="1"/>
      </rPr>
      <t xml:space="preserve">
Est - 3hrs</t>
    </r>
  </si>
  <si>
    <t>daily completed, Booked -2.4</t>
  </si>
  <si>
    <r>
      <rPr>
        <rFont val="Arial"/>
        <b/>
        <color rgb="FF0000FF"/>
      </rPr>
      <t>Total Monthly Files - 8</t>
    </r>
    <r>
      <rPr>
        <rFont val="Arial"/>
        <color theme="1"/>
      </rPr>
      <t xml:space="preserve">
Posted query - 2
In progress - 0 
Yet to start -  0
Review -  0
Completed - 6
</t>
    </r>
    <r>
      <rPr>
        <rFont val="Arial"/>
        <b/>
        <color rgb="FF0000FF"/>
      </rPr>
      <t>Cleanup - 1 (query)</t>
    </r>
    <r>
      <rPr>
        <rFont val="Arial"/>
        <color theme="1"/>
      </rPr>
      <t xml:space="preserve">
</t>
    </r>
    <r>
      <rPr>
        <rFont val="Arial"/>
        <b/>
        <color rgb="FF0000FF"/>
      </rPr>
      <t>Daily task - 10 (Swetha)</t>
    </r>
    <r>
      <rPr>
        <rFont val="Arial"/>
        <color theme="1"/>
      </rPr>
      <t xml:space="preserve">
Est - 1hr</t>
    </r>
  </si>
  <si>
    <t>In process, Booked -0.16</t>
  </si>
  <si>
    <r>
      <rPr>
        <rFont val="Arial"/>
        <b/>
        <color rgb="FF0000FF"/>
      </rPr>
      <t>Total Monthly Files - 8</t>
    </r>
    <r>
      <rPr>
        <rFont val="Arial"/>
        <color theme="1"/>
      </rPr>
      <t xml:space="preserve">
Posted query - 2
In progress - 0 
Yet to start -  0
Review -  0
Completed - 6
</t>
    </r>
    <r>
      <rPr>
        <rFont val="Arial"/>
        <b/>
        <color rgb="FF0000FF"/>
      </rPr>
      <t>Cleanup - 1 (query)</t>
    </r>
    <r>
      <rPr>
        <rFont val="Arial"/>
        <color theme="1"/>
      </rPr>
      <t xml:space="preserve">
</t>
    </r>
    <r>
      <rPr>
        <rFont val="Arial"/>
        <b/>
        <color rgb="FF0000FF"/>
      </rPr>
      <t>Daily task - 10 (Evangelin)</t>
    </r>
    <r>
      <rPr>
        <rFont val="Arial"/>
        <color theme="1"/>
      </rPr>
      <t xml:space="preserve">
</t>
    </r>
    <r>
      <rPr>
        <rFont val="Arial"/>
        <b/>
        <color theme="1"/>
      </rPr>
      <t>Est - 2.3hrs</t>
    </r>
  </si>
  <si>
    <t>Booked -2.52. completed daily</t>
  </si>
  <si>
    <r>
      <rPr>
        <rFont val="Arial"/>
        <b/>
        <color rgb="FF0000FF"/>
      </rPr>
      <t>Total Monthly Files - 8</t>
    </r>
    <r>
      <rPr>
        <rFont val="Arial"/>
        <color theme="1"/>
      </rPr>
      <t xml:space="preserve">
Posted query - 2
In progress - 0 
Yet to start -  0
Review -  0
Completed - 6
</t>
    </r>
    <r>
      <rPr>
        <rFont val="Arial"/>
        <b/>
        <color rgb="FF0000FF"/>
      </rPr>
      <t>Cleanup - 1 (query)</t>
    </r>
    <r>
      <rPr>
        <rFont val="Arial"/>
        <color theme="1"/>
      </rPr>
      <t xml:space="preserve">
</t>
    </r>
    <r>
      <rPr>
        <rFont val="Arial"/>
        <b/>
        <color rgb="FF0000FF"/>
      </rPr>
      <t>Daily task - 10 (Evangelin)</t>
    </r>
    <r>
      <rPr>
        <rFont val="Arial"/>
        <color theme="1"/>
      </rPr>
      <t xml:space="preserve">
</t>
    </r>
    <r>
      <rPr>
        <rFont val="Arial"/>
        <b/>
        <color theme="1"/>
      </rPr>
      <t>Est - 1.30hrs</t>
    </r>
  </si>
  <si>
    <t>Booked -2hrs daily completed</t>
  </si>
  <si>
    <r>
      <rPr>
        <rFont val="Arial"/>
        <b/>
        <color rgb="FF0000FF"/>
      </rPr>
      <t>Total Monthly Files - 8</t>
    </r>
    <r>
      <rPr>
        <rFont val="Arial"/>
        <color theme="1"/>
      </rPr>
      <t xml:space="preserve">
Posted query - 2
In progress - 0 
Yet to start -  0
Review -  0
Completed - 6
</t>
    </r>
    <r>
      <rPr>
        <rFont val="Arial"/>
        <b/>
        <color rgb="FF0000FF"/>
      </rPr>
      <t>Cleanup - 1 (query)</t>
    </r>
    <r>
      <rPr>
        <rFont val="Arial"/>
        <color theme="1"/>
      </rPr>
      <t xml:space="preserve">
</t>
    </r>
    <r>
      <rPr>
        <rFont val="Arial"/>
        <b/>
        <color rgb="FF0000FF"/>
      </rPr>
      <t>Daily task - 10 (Evangelin)</t>
    </r>
    <r>
      <rPr>
        <rFont val="Arial"/>
        <color theme="1"/>
      </rPr>
      <t xml:space="preserve">
</t>
    </r>
    <r>
      <rPr>
        <rFont val="Arial"/>
        <b/>
        <color theme="1"/>
      </rPr>
      <t>Est - 3.30hrs</t>
    </r>
  </si>
  <si>
    <t>daily comepleted - Booked - 3.02</t>
  </si>
  <si>
    <r>
      <rPr>
        <rFont val="Arial"/>
        <b/>
        <color rgb="FF0000FF"/>
      </rPr>
      <t>Total Monthly Files - 8</t>
    </r>
    <r>
      <rPr>
        <rFont val="Arial"/>
        <color theme="1"/>
      </rPr>
      <t xml:space="preserve">
Posted query - 1
In progress - 0 
Yet to start -  0
Review -  1
Completed - 6
</t>
    </r>
    <r>
      <rPr>
        <rFont val="Arial"/>
        <b/>
        <color rgb="FF0000FF"/>
      </rPr>
      <t>Cleanup - 1 (query)</t>
    </r>
    <r>
      <rPr>
        <rFont val="Arial"/>
        <color theme="1"/>
      </rPr>
      <t xml:space="preserve">
</t>
    </r>
    <r>
      <rPr>
        <rFont val="Arial"/>
        <b/>
        <color rgb="FF0000FF"/>
      </rPr>
      <t>Daily task - 10 (Evangelin)</t>
    </r>
    <r>
      <rPr>
        <rFont val="Arial"/>
        <color theme="1"/>
      </rPr>
      <t xml:space="preserve">
</t>
    </r>
    <r>
      <rPr>
        <rFont val="Arial"/>
        <b/>
        <color theme="1"/>
      </rPr>
      <t>Est - 2.30hrs</t>
    </r>
  </si>
  <si>
    <t>daily, review - completed , Booked -2.99</t>
  </si>
  <si>
    <r>
      <rPr>
        <rFont val="Arial"/>
        <b/>
        <color rgb="FF0000FF"/>
      </rPr>
      <t>Total Monthly Files - 8</t>
    </r>
    <r>
      <rPr>
        <rFont val="Arial"/>
        <color theme="1"/>
      </rPr>
      <t xml:space="preserve">
Posted query - 1
In progress - 0 
Yet to start -  0
Review -  0
Completed - 7
</t>
    </r>
    <r>
      <rPr>
        <rFont val="Arial"/>
        <b/>
        <color rgb="FF0000FF"/>
      </rPr>
      <t>Cleanup - 1 (query)</t>
    </r>
    <r>
      <rPr>
        <rFont val="Arial"/>
        <color theme="1"/>
      </rPr>
      <t xml:space="preserve">
</t>
    </r>
    <r>
      <rPr>
        <rFont val="Arial"/>
        <b/>
        <color rgb="FF0000FF"/>
      </rPr>
      <t>Daily task - 10 (Evangelin)</t>
    </r>
    <r>
      <rPr>
        <rFont val="Arial"/>
        <color theme="1"/>
      </rPr>
      <t xml:space="preserve">
</t>
    </r>
    <r>
      <rPr>
        <rFont val="Arial"/>
        <b/>
        <color theme="1"/>
      </rPr>
      <t>Est - 3.30hrs</t>
    </r>
  </si>
  <si>
    <t>daily completed, Booked - 2.06</t>
  </si>
  <si>
    <r>
      <rPr>
        <rFont val="Arial"/>
        <b/>
        <color rgb="FF0000FF"/>
      </rPr>
      <t>Total Monthly Files - 8</t>
    </r>
    <r>
      <rPr>
        <rFont val="Arial"/>
        <color theme="1"/>
      </rPr>
      <t xml:space="preserve">
Posted query - 1
In progress - 0 
Yet to start -  0
Review -  0
Completed - 7
</t>
    </r>
    <r>
      <rPr>
        <rFont val="Arial"/>
        <b/>
        <color rgb="FF0000FF"/>
      </rPr>
      <t>Cleanup - 1 (query)</t>
    </r>
    <r>
      <rPr>
        <rFont val="Arial"/>
        <color theme="1"/>
      </rPr>
      <t xml:space="preserve">
</t>
    </r>
    <r>
      <rPr>
        <rFont val="Arial"/>
        <b/>
        <color rgb="FF0000FF"/>
      </rPr>
      <t>Daily task - 10 (Evangelin)</t>
    </r>
    <r>
      <rPr>
        <rFont val="Arial"/>
        <color theme="1"/>
      </rPr>
      <t xml:space="preserve">
</t>
    </r>
    <r>
      <rPr>
        <rFont val="Arial"/>
        <b/>
        <color theme="1"/>
      </rPr>
      <t>Est - 1hr</t>
    </r>
  </si>
  <si>
    <t>daily completed, Booked - 0.73</t>
  </si>
  <si>
    <r>
      <rPr>
        <rFont val="Arial"/>
        <b/>
        <color rgb="FF0000FF"/>
      </rPr>
      <t>Total Monthly Files - 8</t>
    </r>
    <r>
      <rPr>
        <rFont val="Arial"/>
        <color theme="1"/>
      </rPr>
      <t xml:space="preserve">
Posted query - 1
In progress - 0 
Yet to start -  0
Review -  0
Completed - 7
</t>
    </r>
    <r>
      <rPr>
        <rFont val="Arial"/>
        <b/>
        <color rgb="FF0000FF"/>
      </rPr>
      <t>Cleanup - 1 (query)</t>
    </r>
    <r>
      <rPr>
        <rFont val="Arial"/>
        <color theme="1"/>
      </rPr>
      <t xml:space="preserve">
</t>
    </r>
    <r>
      <rPr>
        <rFont val="Arial"/>
        <b/>
        <color rgb="FF0000FF"/>
      </rPr>
      <t>Daily task - 10 (Evangelin)</t>
    </r>
    <r>
      <rPr>
        <rFont val="Arial"/>
        <color theme="1"/>
      </rPr>
      <t xml:space="preserve">
</t>
    </r>
    <r>
      <rPr>
        <rFont val="Arial"/>
        <b/>
        <color theme="1"/>
      </rPr>
      <t>Est - 1hr</t>
    </r>
  </si>
  <si>
    <t>daily completed, Booked -0.65</t>
  </si>
  <si>
    <r>
      <rPr>
        <rFont val="Arial"/>
        <b/>
        <color rgb="FF0000FF"/>
      </rPr>
      <t>Total Monthly Files - 8</t>
    </r>
    <r>
      <rPr>
        <rFont val="Arial"/>
        <color theme="1"/>
      </rPr>
      <t xml:space="preserve">
Posted query - 1
In progress - 0 
Yet to start -  0
Review -  0
Completed - 7
</t>
    </r>
    <r>
      <rPr>
        <rFont val="Arial"/>
        <b/>
        <color rgb="FF0000FF"/>
      </rPr>
      <t>Cleanup - 1 (query)</t>
    </r>
    <r>
      <rPr>
        <rFont val="Arial"/>
        <color theme="1"/>
      </rPr>
      <t xml:space="preserve">
</t>
    </r>
    <r>
      <rPr>
        <rFont val="Arial"/>
        <b/>
        <color rgb="FF0000FF"/>
      </rPr>
      <t>Daily task - 12 (Evangelin)</t>
    </r>
    <r>
      <rPr>
        <rFont val="Arial"/>
        <color theme="1"/>
      </rPr>
      <t xml:space="preserve">
</t>
    </r>
    <r>
      <rPr>
        <rFont val="Arial"/>
        <b/>
        <color theme="1"/>
      </rPr>
      <t>Est - 1hr</t>
    </r>
  </si>
  <si>
    <t>daily completed - 1.31hrs</t>
  </si>
  <si>
    <r>
      <rPr>
        <rFont val="Arial"/>
        <b/>
        <color rgb="FF0000FF"/>
      </rPr>
      <t>Total Monthly Files - 8</t>
    </r>
    <r>
      <rPr>
        <rFont val="Arial"/>
        <color theme="1"/>
      </rPr>
      <t xml:space="preserve">
Posted query - 1
In progress - 0 
Yet to start -  0
Review -  0
Completed - 7
</t>
    </r>
    <r>
      <rPr>
        <rFont val="Arial"/>
        <b/>
        <color rgb="FF0000FF"/>
      </rPr>
      <t>Cleanup - 1 (Inprogress)</t>
    </r>
    <r>
      <rPr>
        <rFont val="Arial"/>
        <color theme="1"/>
      </rPr>
      <t xml:space="preserve">
</t>
    </r>
    <r>
      <rPr>
        <rFont val="Arial"/>
        <b/>
        <color rgb="FF0000FF"/>
      </rPr>
      <t>Daily task - 18 (Evangelin)</t>
    </r>
    <r>
      <rPr>
        <rFont val="Arial"/>
        <color theme="1"/>
      </rPr>
      <t xml:space="preserve">
</t>
    </r>
    <r>
      <rPr>
        <rFont val="Arial"/>
        <b/>
        <color theme="1"/>
      </rPr>
      <t>Est - 6hrs</t>
    </r>
  </si>
  <si>
    <t>daily completed , Booked -5.76, cleanup inprgress</t>
  </si>
  <si>
    <r>
      <rPr>
        <rFont val="Arial"/>
        <b/>
        <color rgb="FF0000FF"/>
      </rPr>
      <t>Total Monthly Files - 8</t>
    </r>
    <r>
      <rPr>
        <rFont val="Arial"/>
        <color theme="1"/>
      </rPr>
      <t xml:space="preserve">
Posted query - 0
In progress - 0 
Yet to start -  8
Review -  0
Completed - 0
</t>
    </r>
    <r>
      <rPr>
        <rFont val="Arial"/>
        <b/>
        <color rgb="FF0000FF"/>
      </rPr>
      <t>Cleanup - 1 (Inprogress)</t>
    </r>
    <r>
      <rPr>
        <rFont val="Arial"/>
        <color theme="1"/>
      </rPr>
      <t xml:space="preserve">
</t>
    </r>
    <r>
      <rPr>
        <rFont val="Arial"/>
        <b/>
        <color rgb="FF0000FF"/>
      </rPr>
      <t>Daily task - 15 (Evangelin)</t>
    </r>
    <r>
      <rPr>
        <rFont val="Arial"/>
        <color theme="1"/>
      </rPr>
      <t xml:space="preserve">
</t>
    </r>
    <r>
      <rPr>
        <rFont val="Arial"/>
        <b/>
        <color theme="1"/>
      </rPr>
      <t>Est - 6hrs</t>
    </r>
  </si>
  <si>
    <t>daily completed. cleanup inprogress, Booked -6.06</t>
  </si>
  <si>
    <r>
      <rPr>
        <rFont val="Arial"/>
        <b/>
        <color rgb="FF0000FF"/>
      </rPr>
      <t>Total Monthly Files - 8</t>
    </r>
    <r>
      <rPr>
        <rFont val="Arial"/>
        <color theme="1"/>
      </rPr>
      <t xml:space="preserve">
Posted query - 0
In progress - 0 
Yet to start -  8
Review -  0
Completed - 0
</t>
    </r>
    <r>
      <rPr>
        <rFont val="Arial"/>
        <b/>
        <color rgb="FF0000FF"/>
      </rPr>
      <t>Cleanup - 1 (Inprogress)</t>
    </r>
    <r>
      <rPr>
        <rFont val="Arial"/>
        <color theme="1"/>
      </rPr>
      <t xml:space="preserve">
</t>
    </r>
    <r>
      <rPr>
        <rFont val="Arial"/>
        <b/>
        <color rgb="FF0000FF"/>
      </rPr>
      <t>Daily task - 15 (Evangelin)</t>
    </r>
    <r>
      <rPr>
        <rFont val="Arial"/>
        <color theme="1"/>
      </rPr>
      <t xml:space="preserve">
</t>
    </r>
    <r>
      <rPr>
        <rFont val="Arial"/>
        <b/>
        <color theme="1"/>
      </rPr>
      <t>Est - 4hrs</t>
    </r>
  </si>
  <si>
    <t>Booked -3.19. Daily completed, clean up in process</t>
  </si>
  <si>
    <r>
      <rPr>
        <rFont val="Arial"/>
        <b/>
        <color rgb="FF0000FF"/>
      </rPr>
      <t>Total Monthly Files - 8</t>
    </r>
    <r>
      <rPr>
        <rFont val="Arial"/>
        <color theme="1"/>
      </rPr>
      <t xml:space="preserve">
Posted query - 0
In progress - 3 
Yet to start -  5
Review -  0
Completed - 0
</t>
    </r>
    <r>
      <rPr>
        <rFont val="Arial"/>
        <b/>
        <color rgb="FF0000FF"/>
      </rPr>
      <t>Cleanup - 1 (Inprogress)</t>
    </r>
    <r>
      <rPr>
        <rFont val="Arial"/>
        <color theme="1"/>
      </rPr>
      <t xml:space="preserve">
</t>
    </r>
    <r>
      <rPr>
        <rFont val="Arial"/>
        <b/>
        <color rgb="FF0000FF"/>
      </rPr>
      <t>Daily task - 11 (Evangelin)</t>
    </r>
    <r>
      <rPr>
        <rFont val="Arial"/>
        <color theme="1"/>
      </rPr>
      <t xml:space="preserve">
</t>
    </r>
    <r>
      <rPr>
        <rFont val="Arial"/>
        <b/>
        <color theme="1"/>
      </rPr>
      <t>Est - 5.30hrs</t>
    </r>
  </si>
  <si>
    <t>1 monthly , daily completed, Booked -5.02hrs</t>
  </si>
  <si>
    <r>
      <rPr>
        <rFont val="Arial"/>
        <b/>
        <color rgb="FF0000FF"/>
      </rPr>
      <t>Total Monthly Files - 8</t>
    </r>
    <r>
      <rPr>
        <rFont val="Arial"/>
        <color theme="1"/>
      </rPr>
      <t xml:space="preserve">
Posted query - 2
In progress - 1 
Yet to start - 3
Review -  1
Completed - 1
</t>
    </r>
    <r>
      <rPr>
        <rFont val="Arial"/>
        <b/>
        <color rgb="FF0000FF"/>
      </rPr>
      <t>Cleanup - 1 (Inprogress)</t>
    </r>
    <r>
      <rPr>
        <rFont val="Arial"/>
        <color theme="1"/>
      </rPr>
      <t xml:space="preserve">
</t>
    </r>
    <r>
      <rPr>
        <rFont val="Arial"/>
        <b/>
        <color rgb="FF0000FF"/>
      </rPr>
      <t>Daily task - 14 (Evangelin)</t>
    </r>
    <r>
      <rPr>
        <rFont val="Arial"/>
        <color theme="1"/>
      </rPr>
      <t xml:space="preserve">
</t>
    </r>
    <r>
      <rPr>
        <rFont val="Arial"/>
        <b/>
        <color theme="1"/>
      </rPr>
      <t>Est - 5hrs</t>
    </r>
  </si>
  <si>
    <t>daily &amp; review compleetd - 5.29</t>
  </si>
  <si>
    <r>
      <rPr>
        <rFont val="Arial"/>
        <b/>
        <color rgb="FF0000FF"/>
      </rPr>
      <t>Total Monthly Files - 8</t>
    </r>
    <r>
      <rPr>
        <rFont val="Arial"/>
        <color theme="1"/>
      </rPr>
      <t xml:space="preserve">
Posted query - 2
In progress - 1 
Yet to start - 3
Review -  0
Completed - 2
</t>
    </r>
    <r>
      <rPr>
        <rFont val="Arial"/>
        <b/>
        <color rgb="FF0000FF"/>
      </rPr>
      <t>Cleanup - 1 (Completed)</t>
    </r>
    <r>
      <rPr>
        <rFont val="Arial"/>
        <color theme="1"/>
      </rPr>
      <t xml:space="preserve">
</t>
    </r>
    <r>
      <rPr>
        <rFont val="Arial"/>
        <b/>
        <color rgb="FF0000FF"/>
      </rPr>
      <t>Daily task - 19(Evangelin)</t>
    </r>
    <r>
      <rPr>
        <rFont val="Arial"/>
        <color theme="1"/>
      </rPr>
      <t xml:space="preserve">
</t>
    </r>
    <r>
      <rPr>
        <rFont val="Arial"/>
        <b/>
        <color theme="1"/>
      </rPr>
      <t>Est - 3hrs</t>
    </r>
  </si>
  <si>
    <t>Daily completed, Booked -3.48</t>
  </si>
  <si>
    <r>
      <rPr>
        <rFont val="Arial"/>
        <b/>
        <color rgb="FF0000FF"/>
      </rPr>
      <t>Total Monthly Files - 8</t>
    </r>
    <r>
      <rPr>
        <rFont val="Arial"/>
        <color theme="1"/>
      </rPr>
      <t xml:space="preserve">
Posted query - 3
In progress - 0 
Yet to start - 3
Review -  0
Completed - 2
</t>
    </r>
    <r>
      <rPr>
        <rFont val="Arial"/>
        <b/>
        <color rgb="FF0000FF"/>
      </rPr>
      <t>Daily task - 23(Evangelin)</t>
    </r>
    <r>
      <rPr>
        <rFont val="Arial"/>
        <color theme="1"/>
      </rPr>
      <t xml:space="preserve">
</t>
    </r>
    <r>
      <rPr>
        <rFont val="Arial"/>
        <b/>
        <color theme="1"/>
      </rPr>
      <t>Est - 1hr</t>
    </r>
  </si>
  <si>
    <t>daily completed, Booked -0.54</t>
  </si>
  <si>
    <r>
      <rPr>
        <rFont val="Arial"/>
        <b/>
        <color rgb="FF0000FF"/>
      </rPr>
      <t>Total Monthly Files - 8</t>
    </r>
    <r>
      <rPr>
        <rFont val="Arial"/>
        <color theme="1"/>
      </rPr>
      <t xml:space="preserve">
Posted query - 6
In progress - 0 
Yet to start - 0
Review -  0
Completed - 2
</t>
    </r>
    <r>
      <rPr>
        <rFont val="Arial"/>
        <b/>
        <color rgb="FF0000FF"/>
      </rPr>
      <t>Daily task - 12(Evangelin)</t>
    </r>
    <r>
      <rPr>
        <rFont val="Arial"/>
        <color theme="1"/>
      </rPr>
      <t xml:space="preserve">
</t>
    </r>
    <r>
      <rPr>
        <rFont val="Arial"/>
        <b/>
        <color theme="1"/>
      </rPr>
      <t>Est - 1hr</t>
    </r>
  </si>
  <si>
    <t>completed daily, Booked -1.03</t>
  </si>
  <si>
    <r>
      <rPr>
        <rFont val="Arial"/>
        <b/>
        <color rgb="FF0000FF"/>
      </rPr>
      <t>Total Monthly Files - 8</t>
    </r>
    <r>
      <rPr>
        <rFont val="Arial"/>
        <color theme="1"/>
      </rPr>
      <t xml:space="preserve">
Posted query - 6
In progress - 0 
Yet to start - 0
Review -  0
Completed - 2
</t>
    </r>
    <r>
      <rPr>
        <rFont val="Arial"/>
        <b/>
        <color rgb="FF0000FF"/>
      </rPr>
      <t>Daily task - 16(Evangelin)</t>
    </r>
    <r>
      <rPr>
        <rFont val="Arial"/>
        <color theme="1"/>
      </rPr>
      <t xml:space="preserve">
</t>
    </r>
    <r>
      <rPr>
        <rFont val="Arial"/>
        <b/>
        <color theme="1"/>
      </rPr>
      <t>Est - 1hr</t>
    </r>
  </si>
  <si>
    <t>Booked -3.14 hrs. daily completed</t>
  </si>
  <si>
    <r>
      <rPr>
        <rFont val="Arial"/>
        <b/>
        <color rgb="FF0000FF"/>
      </rPr>
      <t>Total Monthly Files - 8</t>
    </r>
    <r>
      <rPr>
        <rFont val="Arial"/>
        <color theme="1"/>
      </rPr>
      <t xml:space="preserve">
Posted query - 4
In progress - 2 
Yet to start - 0
Review -  0
Completed - 2
</t>
    </r>
    <r>
      <rPr>
        <rFont val="Arial"/>
        <b/>
        <color rgb="FF0000FF"/>
      </rPr>
      <t>Daily task - 8(Evangelin)</t>
    </r>
    <r>
      <rPr>
        <rFont val="Arial"/>
        <color theme="1"/>
      </rPr>
      <t xml:space="preserve">
</t>
    </r>
    <r>
      <rPr>
        <rFont val="Arial"/>
        <b/>
        <color theme="1"/>
      </rPr>
      <t>Est - 5hrs</t>
    </r>
  </si>
  <si>
    <t>Completed -  1 monthly and daily. Booked - 3.35 hrs</t>
  </si>
  <si>
    <r>
      <rPr>
        <rFont val="Arial"/>
        <b/>
        <color rgb="FF0000FF"/>
      </rPr>
      <t>Total Monthly Files - 8</t>
    </r>
    <r>
      <rPr>
        <rFont val="Arial"/>
        <color theme="1"/>
      </rPr>
      <t xml:space="preserve">
Posted query - 4
In progress - 1 
Yet to start - 0
Review -  0
Completed - 3
</t>
    </r>
    <r>
      <rPr>
        <rFont val="Arial"/>
        <b/>
        <color rgb="FF0000FF"/>
      </rPr>
      <t>Daily task - 16(Evangelin)</t>
    </r>
    <r>
      <rPr>
        <rFont val="Arial"/>
        <color theme="1"/>
      </rPr>
      <t xml:space="preserve">
</t>
    </r>
    <r>
      <rPr>
        <rFont val="Arial"/>
        <b/>
        <color theme="1"/>
      </rPr>
      <t>Est - 2hrs</t>
    </r>
  </si>
  <si>
    <t>daily , 1 file completed, Booked -2.14</t>
  </si>
  <si>
    <r>
      <rPr>
        <rFont val="Arial"/>
        <b/>
        <color rgb="FF0000FF"/>
      </rPr>
      <t>Total Monthly Files - 8</t>
    </r>
    <r>
      <rPr>
        <rFont val="Arial"/>
        <color theme="1"/>
      </rPr>
      <t xml:space="preserve">
Posted query - 4
In progress - 1 
Yet to start - 0
Review -  0
Completed - 3
</t>
    </r>
    <r>
      <rPr>
        <rFont val="Arial"/>
        <b/>
        <color rgb="FF0000FF"/>
      </rPr>
      <t>Daily task - 13(swetha)</t>
    </r>
    <r>
      <rPr>
        <rFont val="Arial"/>
        <color theme="1"/>
      </rPr>
      <t xml:space="preserve">
</t>
    </r>
    <r>
      <rPr>
        <rFont val="Arial"/>
        <b/>
        <color theme="1"/>
      </rPr>
      <t>Est - 1hr</t>
    </r>
  </si>
  <si>
    <t>Daily in process, Booked -0.72</t>
  </si>
  <si>
    <r>
      <rPr>
        <rFont val="Arial"/>
        <b/>
        <color rgb="FF0000FF"/>
      </rPr>
      <t>Total Monthly Files - 8</t>
    </r>
    <r>
      <rPr>
        <rFont val="Arial"/>
        <color theme="1"/>
      </rPr>
      <t xml:space="preserve">
Posted query - 4
In progress - 1 
Yet to start - 0
Review -  0
Completed - 3
</t>
    </r>
    <r>
      <rPr>
        <rFont val="Arial"/>
        <b/>
        <color rgb="FF0000FF"/>
      </rPr>
      <t>Daily task - 11(Evangelin)</t>
    </r>
    <r>
      <rPr>
        <rFont val="Arial"/>
        <color theme="1"/>
      </rPr>
      <t xml:space="preserve">
</t>
    </r>
    <r>
      <rPr>
        <rFont val="Arial"/>
        <b/>
        <color theme="1"/>
      </rPr>
      <t>Est - 2hrs</t>
    </r>
  </si>
  <si>
    <t>Booked -1.88 hrs daily completed</t>
  </si>
  <si>
    <r>
      <rPr>
        <rFont val="Arial"/>
        <b/>
        <color rgb="FF0000FF"/>
      </rPr>
      <t>Total Monthly Files - 8</t>
    </r>
    <r>
      <rPr>
        <rFont val="Arial"/>
        <color theme="1"/>
      </rPr>
      <t xml:space="preserve">
Posted query - 4
In progress - 0 
Yet to start - 0
Review -  0
Completed - 4
</t>
    </r>
    <r>
      <rPr>
        <rFont val="Arial"/>
        <b/>
        <color rgb="FF0000FF"/>
      </rPr>
      <t>Cleanup - 1 (2025) Olga</t>
    </r>
    <r>
      <rPr>
        <rFont val="Arial"/>
        <color theme="1"/>
      </rPr>
      <t xml:space="preserve">
</t>
    </r>
    <r>
      <rPr>
        <rFont val="Arial"/>
        <b/>
        <color rgb="FF0000FF"/>
      </rPr>
      <t>Daily task - 11(Evangelin)</t>
    </r>
    <r>
      <rPr>
        <rFont val="Arial"/>
        <color theme="1"/>
      </rPr>
      <t xml:space="preserve">
</t>
    </r>
    <r>
      <rPr>
        <rFont val="Arial"/>
        <b/>
        <color theme="1"/>
      </rPr>
      <t>Est - 4.30hrs</t>
    </r>
  </si>
  <si>
    <t>Booked -4.57 cleanup completed, daily completed</t>
  </si>
  <si>
    <r>
      <rPr>
        <rFont val="Arial"/>
        <b/>
        <color rgb="FF0000FF"/>
      </rPr>
      <t>Total Monthly Files - 8</t>
    </r>
    <r>
      <rPr>
        <rFont val="Arial"/>
        <color theme="1"/>
      </rPr>
      <t xml:space="preserve">
Posted query - 4
In progress - 0 
Yet to start - 0
Review -  0
Completed - 4
</t>
    </r>
    <r>
      <rPr>
        <rFont val="Arial"/>
        <b/>
        <color rgb="FF0000FF"/>
      </rPr>
      <t>Cleanup - 1 (2025) Olga</t>
    </r>
    <r>
      <rPr>
        <rFont val="Arial"/>
        <color theme="1"/>
      </rPr>
      <t xml:space="preserve">
</t>
    </r>
    <r>
      <rPr>
        <rFont val="Arial"/>
        <b/>
        <color rgb="FF0000FF"/>
      </rPr>
      <t>Daily task - 15(Evangelin)</t>
    </r>
    <r>
      <rPr>
        <rFont val="Arial"/>
        <color theme="1"/>
      </rPr>
      <t xml:space="preserve">
</t>
    </r>
    <r>
      <rPr>
        <rFont val="Arial"/>
        <b/>
        <color theme="1"/>
      </rPr>
      <t>Est - 3.30hrs</t>
    </r>
  </si>
  <si>
    <t>daily completed, cleanup completed, Booked -2.79</t>
  </si>
  <si>
    <r>
      <rPr>
        <rFont val="Arial"/>
        <b/>
        <color rgb="FF0000FF"/>
      </rPr>
      <t>Total Monthly Files - 8</t>
    </r>
    <r>
      <rPr>
        <rFont val="Arial"/>
        <color theme="1"/>
      </rPr>
      <t xml:space="preserve">
Posted query - 3
In progress - 1 
Yet to start - 0
Review -  0
Completed - 4
</t>
    </r>
    <r>
      <rPr>
        <rFont val="Arial"/>
        <b/>
        <color rgb="FF0000FF"/>
      </rPr>
      <t>Daily task - 17(Evangelin)</t>
    </r>
    <r>
      <rPr>
        <rFont val="Arial"/>
        <color theme="1"/>
      </rPr>
      <t xml:space="preserve">
</t>
    </r>
    <r>
      <rPr>
        <rFont val="Arial"/>
        <b/>
        <color theme="1"/>
      </rPr>
      <t>Est - 3hrs</t>
    </r>
  </si>
  <si>
    <t xml:space="preserve">Booked - 3.79, daily completed, </t>
  </si>
  <si>
    <r>
      <rPr>
        <rFont val="Arial"/>
        <b/>
        <color rgb="FF0000FF"/>
      </rPr>
      <t>Total Monthly Files - 8</t>
    </r>
    <r>
      <rPr>
        <rFont val="Arial"/>
        <color theme="1"/>
      </rPr>
      <t xml:space="preserve">
Posted query - 3
In progress - 0 
Yet to start - 0
Review -  0
Completed - 5
</t>
    </r>
    <r>
      <rPr>
        <rFont val="Arial"/>
        <b/>
        <color rgb="FF0000FF"/>
      </rPr>
      <t>Daily task - 11(Evangelin)</t>
    </r>
    <r>
      <rPr>
        <rFont val="Arial"/>
        <color theme="1"/>
      </rPr>
      <t xml:space="preserve">
</t>
    </r>
    <r>
      <rPr>
        <rFont val="Arial"/>
        <b/>
        <color theme="1"/>
      </rPr>
      <t>Est - 3.30hrs</t>
    </r>
  </si>
  <si>
    <t>Booked -3.13, daily completed</t>
  </si>
  <si>
    <r>
      <rPr>
        <rFont val="Arial"/>
        <b/>
        <color rgb="FF0000FF"/>
      </rPr>
      <t>Total Monthly Files - 8</t>
    </r>
    <r>
      <rPr>
        <rFont val="Arial"/>
        <color theme="1"/>
      </rPr>
      <t xml:space="preserve">
Posted query - 3
In progress - 0 
Yet to start - 0
Review -  0
Completed - 5
</t>
    </r>
    <r>
      <rPr>
        <rFont val="Arial"/>
        <b/>
        <color rgb="FF0000FF"/>
      </rPr>
      <t>Daily task - 12(Evangelin)</t>
    </r>
    <r>
      <rPr>
        <rFont val="Arial"/>
        <color theme="1"/>
      </rPr>
      <t xml:space="preserve">
</t>
    </r>
    <r>
      <rPr>
        <rFont val="Arial"/>
        <b/>
        <color theme="1"/>
      </rPr>
      <t>Est - 3hrs</t>
    </r>
  </si>
  <si>
    <t>Booked -2.15 daily completed</t>
  </si>
  <si>
    <r>
      <rPr>
        <rFont val="Arial"/>
        <b/>
        <color rgb="FF0000FF"/>
      </rPr>
      <t>Total Monthly Files - 8</t>
    </r>
    <r>
      <rPr>
        <rFont val="Arial"/>
        <color theme="1"/>
      </rPr>
      <t xml:space="preserve">
Posted query - 2
In progress - 1
Yet to start - 0
Review -  0
Completed - 5
</t>
    </r>
    <r>
      <rPr>
        <rFont val="Arial"/>
        <b/>
        <color rgb="FF0000FF"/>
      </rPr>
      <t>Daily task - 12(Evangelin)</t>
    </r>
    <r>
      <rPr>
        <rFont val="Arial"/>
        <color theme="1"/>
      </rPr>
      <t xml:space="preserve">
</t>
    </r>
    <r>
      <rPr>
        <rFont val="Arial"/>
        <b/>
        <color theme="1"/>
      </rPr>
      <t>Est - 5hrs</t>
    </r>
  </si>
  <si>
    <t>Booked -5.74, daily completed</t>
  </si>
  <si>
    <r>
      <rPr>
        <rFont val="Arial"/>
        <b/>
        <color rgb="FF0000FF"/>
      </rPr>
      <t>Total Monthly Files - 8</t>
    </r>
    <r>
      <rPr>
        <rFont val="Arial"/>
        <color theme="1"/>
      </rPr>
      <t xml:space="preserve">
Posted query - 3
In progress - 0
Yet to start - 0
Review -  0
Completed - 5
</t>
    </r>
    <r>
      <rPr>
        <rFont val="Arial"/>
        <b/>
        <color rgb="FF0000FF"/>
      </rPr>
      <t>Daily task - 12(Evangelin)</t>
    </r>
    <r>
      <rPr>
        <rFont val="Arial"/>
        <color theme="1"/>
      </rPr>
      <t xml:space="preserve">
</t>
    </r>
    <r>
      <rPr>
        <rFont val="Arial"/>
        <b/>
        <color theme="1"/>
      </rPr>
      <t>Est - 3.30hrs</t>
    </r>
  </si>
  <si>
    <t>daily completed
Booked - 4.02 hrs</t>
  </si>
  <si>
    <r>
      <rPr>
        <rFont val="Arial"/>
        <b/>
        <color rgb="FF0000FF"/>
      </rPr>
      <t>Total Monthly Files - 8</t>
    </r>
    <r>
      <rPr>
        <rFont val="Arial"/>
        <color theme="1"/>
      </rPr>
      <t xml:space="preserve">
Posted query - 2
In progress - 1
Yet to start - 0
Review -  0
Completed - 5
</t>
    </r>
    <r>
      <rPr>
        <rFont val="Arial"/>
        <b/>
        <color rgb="FF0000FF"/>
      </rPr>
      <t>Daily task - 18(Evangelin)</t>
    </r>
    <r>
      <rPr>
        <rFont val="Arial"/>
        <color theme="1"/>
      </rPr>
      <t xml:space="preserve">
</t>
    </r>
    <r>
      <rPr>
        <rFont val="Arial"/>
        <b/>
        <color theme="1"/>
      </rPr>
      <t>Est -6hrs</t>
    </r>
  </si>
  <si>
    <t>Booked -5.31hrs, daily and monthly completed</t>
  </si>
  <si>
    <r>
      <rPr>
        <rFont val="Arial"/>
        <b/>
        <color rgb="FF0000FF"/>
      </rPr>
      <t>Total Monthly Files - 8</t>
    </r>
    <r>
      <rPr>
        <rFont val="Arial"/>
        <color theme="1"/>
      </rPr>
      <t xml:space="preserve">
Posted query - 1
In progress - 1
Yet to start - 0
Review -  0
Completed - 6
</t>
    </r>
    <r>
      <rPr>
        <rFont val="Arial"/>
        <b/>
        <color rgb="FF0000FF"/>
      </rPr>
      <t>Daily task - 11(Evangelin)</t>
    </r>
    <r>
      <rPr>
        <rFont val="Arial"/>
        <color theme="1"/>
      </rPr>
      <t xml:space="preserve">
</t>
    </r>
    <r>
      <rPr>
        <rFont val="Arial"/>
        <b/>
        <color theme="1"/>
      </rPr>
      <t>Est -5hrs</t>
    </r>
  </si>
  <si>
    <t>daily , monthly completed, Booked -5hrs</t>
  </si>
  <si>
    <r>
      <rPr>
        <rFont val="Arial"/>
        <b/>
        <color rgb="FF0000FF"/>
      </rPr>
      <t>Total Monthly Files - 8</t>
    </r>
    <r>
      <rPr>
        <rFont val="Arial"/>
        <color theme="1"/>
      </rPr>
      <t xml:space="preserve">
Posted query - 1
In progress - 1
Yet to start - 0
Review -  0
Completed - 6
</t>
    </r>
    <r>
      <rPr>
        <rFont val="Arial"/>
        <b/>
        <color rgb="FF0000FF"/>
      </rPr>
      <t>Daily task - 9</t>
    </r>
    <r>
      <rPr>
        <rFont val="Arial"/>
        <color theme="1"/>
      </rPr>
      <t xml:space="preserve">
</t>
    </r>
    <r>
      <rPr>
        <rFont val="Arial"/>
        <b/>
        <color theme="1"/>
      </rPr>
      <t>Est -1hr</t>
    </r>
  </si>
  <si>
    <t>Yet to process</t>
  </si>
  <si>
    <r>
      <rPr>
        <rFont val="Arial"/>
        <b/>
        <color rgb="FF0000FF"/>
      </rPr>
      <t>Total Monthly Files - 8</t>
    </r>
    <r>
      <rPr>
        <rFont val="Arial"/>
        <color theme="1"/>
      </rPr>
      <t xml:space="preserve">
Posted query - 0
In progress - 1
Yet to start - 0
Review -  0
Completed - 7
</t>
    </r>
    <r>
      <rPr>
        <rFont val="Arial"/>
        <b/>
        <color rgb="FF0000FF"/>
      </rPr>
      <t>Daily task - 20</t>
    </r>
    <r>
      <rPr>
        <rFont val="Arial"/>
        <color theme="1"/>
      </rPr>
      <t xml:space="preserve">
</t>
    </r>
    <r>
      <rPr>
        <rFont val="Arial"/>
        <b/>
        <color theme="1"/>
      </rPr>
      <t>Est - 2hrs</t>
    </r>
  </si>
  <si>
    <t xml:space="preserve">Booked -1.95. completed daily, monthly - posted query </t>
  </si>
  <si>
    <r>
      <rPr>
        <rFont val="Arial"/>
        <b/>
        <color rgb="FF0000FF"/>
      </rPr>
      <t>Total Monthly Files - 8</t>
    </r>
    <r>
      <rPr>
        <rFont val="Arial"/>
        <color theme="1"/>
      </rPr>
      <t xml:space="preserve">
Posted query - 0
In progress - 0
Yet to start - 8
Review -  0
Completed - 0
</t>
    </r>
    <r>
      <rPr>
        <rFont val="Arial"/>
        <b/>
        <color rgb="FF0000FF"/>
      </rPr>
      <t>Daily task - 26</t>
    </r>
    <r>
      <rPr>
        <rFont val="Arial"/>
        <color theme="1"/>
      </rPr>
      <t xml:space="preserve">
</t>
    </r>
    <r>
      <rPr>
        <rFont val="Arial"/>
        <b/>
        <color theme="1"/>
      </rPr>
      <t>Est - 3.30hrs</t>
    </r>
  </si>
  <si>
    <t>Booked -3.41. Daily completed</t>
  </si>
  <si>
    <r>
      <rPr>
        <rFont val="Arial"/>
        <b/>
        <color rgb="FF0000FF"/>
      </rPr>
      <t>Total Monthly Files - 8</t>
    </r>
    <r>
      <rPr>
        <rFont val="Arial"/>
        <color theme="1"/>
      </rPr>
      <t xml:space="preserve">
Posted query - 0
In progress - 0
Yet to start - 8
Review -  0
Completed - 0
</t>
    </r>
    <r>
      <rPr>
        <rFont val="Arial"/>
        <b/>
        <color rgb="FF0000FF"/>
      </rPr>
      <t>Daily task - 20 (Evangelin)</t>
    </r>
    <r>
      <rPr>
        <rFont val="Arial"/>
        <color theme="1"/>
      </rPr>
      <t xml:space="preserve">
</t>
    </r>
    <r>
      <rPr>
        <rFont val="Arial"/>
        <b/>
        <color theme="1"/>
      </rPr>
      <t>Est - 3.30hrs</t>
    </r>
  </si>
  <si>
    <t>daily completed, Booked - 2.19</t>
  </si>
  <si>
    <r>
      <rPr>
        <rFont val="Arial"/>
        <b/>
        <color rgb="FF0000FF"/>
      </rPr>
      <t>Total Monthly Files - 8</t>
    </r>
    <r>
      <rPr>
        <rFont val="Arial"/>
        <color theme="1"/>
      </rPr>
      <t xml:space="preserve">
Posted query - 0
In progress - 0
Yet to start - 8
Review -  0
Completed - 0
</t>
    </r>
    <r>
      <rPr>
        <rFont val="Arial"/>
        <b/>
        <color rgb="FF0000FF"/>
      </rPr>
      <t>Daily task - 12 (Evangelin)</t>
    </r>
    <r>
      <rPr>
        <rFont val="Arial"/>
        <color theme="1"/>
      </rPr>
      <t xml:space="preserve">
</t>
    </r>
    <r>
      <rPr>
        <rFont val="Arial"/>
        <b/>
        <color theme="1"/>
      </rPr>
      <t>Est - 4hrs</t>
    </r>
  </si>
  <si>
    <t>Booked -2.85, daily completed</t>
  </si>
  <si>
    <r>
      <rPr>
        <rFont val="Arial"/>
        <b/>
        <color rgb="FF0000FF"/>
      </rPr>
      <t>Total Monthly Files - 8</t>
    </r>
    <r>
      <rPr>
        <rFont val="Arial"/>
        <color theme="1"/>
      </rPr>
      <t xml:space="preserve">
Posted query - 0
In progress - 1
Yet to start - 7
Review -  0
Completed - 0
</t>
    </r>
    <r>
      <rPr>
        <rFont val="Arial"/>
        <b/>
        <color rgb="FF0000FF"/>
      </rPr>
      <t>Daily task - 15 (Evangelin)</t>
    </r>
    <r>
      <rPr>
        <rFont val="Arial"/>
        <color theme="1"/>
      </rPr>
      <t xml:space="preserve">
</t>
    </r>
    <r>
      <rPr>
        <rFont val="Arial"/>
        <b/>
        <color theme="1"/>
      </rPr>
      <t>Est - 2.30hrs</t>
    </r>
  </si>
  <si>
    <t>daily completed, Booked -2.33</t>
  </si>
  <si>
    <r>
      <rPr>
        <rFont val="Arial"/>
        <b/>
        <color rgb="FF0000FF"/>
      </rPr>
      <t>Total Monthly Files - 8</t>
    </r>
    <r>
      <rPr>
        <rFont val="Arial"/>
        <color theme="1"/>
      </rPr>
      <t xml:space="preserve">
Posted query - 5
In progress - 2
Yet to start - 0
Review - 1
Completed - 0
</t>
    </r>
    <r>
      <rPr>
        <rFont val="Arial"/>
        <b/>
        <color rgb="FF0000FF"/>
      </rPr>
      <t>Daily task - 13 (Evangelin)</t>
    </r>
    <r>
      <rPr>
        <rFont val="Arial"/>
        <color theme="1"/>
      </rPr>
      <t xml:space="preserve">
</t>
    </r>
    <r>
      <rPr>
        <rFont val="Arial"/>
        <b/>
        <color theme="1"/>
      </rPr>
      <t>Est - 5hrs</t>
    </r>
  </si>
  <si>
    <t>Booked -4.93 daily completed</t>
  </si>
  <si>
    <r>
      <rPr>
        <rFont val="Arial"/>
        <b/>
        <color rgb="FF0000FF"/>
      </rPr>
      <t>Total Monthly Files - 8</t>
    </r>
    <r>
      <rPr>
        <rFont val="Arial"/>
        <color theme="1"/>
      </rPr>
      <t xml:space="preserve">
Posted query - 5
In progress - 1
Yet to start - 0
Review - 1
Completed - 1
</t>
    </r>
    <r>
      <rPr>
        <rFont val="Arial"/>
        <b/>
        <color rgb="FF0000FF"/>
      </rPr>
      <t>Daily task - 24 (Evangelin)</t>
    </r>
    <r>
      <rPr>
        <rFont val="Arial"/>
        <color theme="1"/>
      </rPr>
      <t xml:space="preserve">
</t>
    </r>
    <r>
      <rPr>
        <rFont val="Arial"/>
        <b/>
        <color theme="1"/>
      </rPr>
      <t>Est - 4hrs</t>
    </r>
  </si>
  <si>
    <t>daily completed . booked - 3.41hrs</t>
  </si>
  <si>
    <r>
      <rPr>
        <rFont val="Arial"/>
        <b/>
        <color rgb="FF0000FF"/>
      </rPr>
      <t>Total Monthly Files - 8</t>
    </r>
    <r>
      <rPr>
        <rFont val="Arial"/>
        <color theme="1"/>
      </rPr>
      <t xml:space="preserve">
Posted query - 5
In progress - 0
Yet to start - 0
Review - 2
Completed - 1
</t>
    </r>
    <r>
      <rPr>
        <rFont val="Arial"/>
        <b/>
        <color rgb="FF0000FF"/>
      </rPr>
      <t>Daily task - 19 (Evangelin)</t>
    </r>
    <r>
      <rPr>
        <rFont val="Arial"/>
        <color theme="1"/>
      </rPr>
      <t xml:space="preserve">
</t>
    </r>
    <r>
      <rPr>
        <rFont val="Arial"/>
        <b/>
        <color theme="1"/>
      </rPr>
      <t>Est - 4hrs</t>
    </r>
  </si>
  <si>
    <t>Booked -3.81. completed dailt, 2 review completed</t>
  </si>
  <si>
    <r>
      <rPr>
        <rFont val="Arial"/>
        <b/>
        <color rgb="FF0000FF"/>
      </rPr>
      <t>Total Monthly Files - 8</t>
    </r>
    <r>
      <rPr>
        <rFont val="Arial"/>
        <color theme="1"/>
      </rPr>
      <t xml:space="preserve">
Posted query - 4
In progress - 1
Yet to start - 0
Review - 0
Completed - 3
</t>
    </r>
    <r>
      <rPr>
        <rFont val="Arial"/>
        <b/>
        <color rgb="FF0000FF"/>
      </rPr>
      <t xml:space="preserve">Daily task - 14 (Evangelin)
</t>
    </r>
    <r>
      <rPr>
        <rFont val="Arial"/>
        <color theme="1"/>
      </rPr>
      <t xml:space="preserve">Cleanup - 2 (Inprogress)
</t>
    </r>
    <r>
      <rPr>
        <rFont val="Arial"/>
        <b/>
        <color theme="1"/>
      </rPr>
      <t>Est - 4hrs</t>
    </r>
  </si>
  <si>
    <t>daily completed, 1 monthly completed. Cleanup inprgoress
Booked - 4.17</t>
  </si>
  <si>
    <r>
      <rPr>
        <rFont val="Arial"/>
        <b/>
        <color rgb="FF0000FF"/>
      </rPr>
      <t>Total Monthly Files - 8</t>
    </r>
    <r>
      <rPr>
        <rFont val="Arial"/>
        <color theme="1"/>
      </rPr>
      <t xml:space="preserve">
Posted query - 4
In progress - 0
Yet to start - 0
Review - 0
Completed - 4
</t>
    </r>
    <r>
      <rPr>
        <rFont val="Arial"/>
        <b/>
        <color rgb="FF0000FF"/>
      </rPr>
      <t xml:space="preserve">Daily task - 12 (Evangelin)
</t>
    </r>
    <r>
      <rPr>
        <rFont val="Arial"/>
        <color theme="1"/>
      </rPr>
      <t xml:space="preserve">Cleanup - 2 (Inprogress)
</t>
    </r>
    <r>
      <rPr>
        <rFont val="Arial"/>
        <b/>
        <color theme="1"/>
      </rPr>
      <t>Est - 6hrs</t>
    </r>
  </si>
  <si>
    <t>daily completed, cleanup - 1 query, Booked -2.72</t>
  </si>
  <si>
    <r>
      <rPr>
        <rFont val="Arial"/>
        <b/>
        <color rgb="FF0000FF"/>
      </rPr>
      <t>Total Monthly Files - 8</t>
    </r>
    <r>
      <rPr>
        <rFont val="Arial"/>
        <color theme="1"/>
      </rPr>
      <t xml:space="preserve">
Posted query - 4
In progress - 0
Yet to start - 0
Review - 0
Completed - 4
</t>
    </r>
    <r>
      <rPr>
        <rFont val="Arial"/>
        <b/>
        <color rgb="FF0000FF"/>
      </rPr>
      <t xml:space="preserve">Daily task - 11 (Evangelin)
</t>
    </r>
    <r>
      <rPr>
        <rFont val="Arial"/>
        <color theme="1"/>
      </rPr>
      <t xml:space="preserve">Cleanup - 1 (Inprogress)
Cleanup - 1 (Query)
</t>
    </r>
    <r>
      <rPr>
        <rFont val="Arial"/>
        <b/>
        <color theme="1"/>
      </rPr>
      <t>Est - 3hrs</t>
    </r>
  </si>
  <si>
    <t>Booked -3.20, daily completed, cleanup - 1 query</t>
  </si>
  <si>
    <r>
      <rPr>
        <rFont val="Arial"/>
        <b/>
        <color rgb="FF0000FF"/>
      </rPr>
      <t>Total Monthly Files - 8</t>
    </r>
    <r>
      <rPr>
        <rFont val="Arial"/>
        <color theme="1"/>
      </rPr>
      <t xml:space="preserve">
Posted query - 4
In progress - 0
Yet to start - 0
Review - 0
Completed - 4
</t>
    </r>
    <r>
      <rPr>
        <rFont val="Arial"/>
        <b/>
        <color rgb="FF0000FF"/>
      </rPr>
      <t xml:space="preserve">Daily task - 20 (Evangelin)
</t>
    </r>
    <r>
      <rPr>
        <rFont val="Arial"/>
        <color theme="1"/>
      </rPr>
      <t xml:space="preserve">Cleanup - 1 (Inprogress)
Cleanup - 1 (Query)
</t>
    </r>
    <r>
      <rPr>
        <rFont val="Arial"/>
        <b/>
        <color theme="1"/>
      </rPr>
      <t>Est - 4hrs</t>
    </r>
  </si>
  <si>
    <t>Booked -2.8hrs daily completed</t>
  </si>
  <si>
    <r>
      <rPr>
        <rFont val="Arial"/>
        <b/>
        <color rgb="FF0000FF"/>
      </rPr>
      <t>Total Monthly Files - 8</t>
    </r>
    <r>
      <rPr>
        <rFont val="Arial"/>
        <color theme="1"/>
      </rPr>
      <t xml:space="preserve">
Posted query - 4
In progress - 0
Yet to start - 0
Review - 0
Completed - 4
</t>
    </r>
    <r>
      <rPr>
        <rFont val="Arial"/>
        <b/>
        <color rgb="FF0000FF"/>
      </rPr>
      <t xml:space="preserve">Daily task - 11 
</t>
    </r>
    <r>
      <rPr>
        <rFont val="Arial"/>
        <color theme="1"/>
      </rPr>
      <t xml:space="preserve">Cleanup - 1 (Inprogress)
Cleanup - 1 (Query)
</t>
    </r>
    <r>
      <rPr>
        <rFont val="Arial"/>
        <b/>
        <color theme="1"/>
      </rPr>
      <t xml:space="preserve">Est - </t>
    </r>
  </si>
  <si>
    <t>Yet to process, Booked -0.32</t>
  </si>
  <si>
    <r>
      <rPr>
        <rFont val="Arial"/>
        <b/>
        <color rgb="FF0000FF"/>
      </rPr>
      <t>Total Monthly Files - 8</t>
    </r>
    <r>
      <rPr>
        <rFont val="Arial"/>
        <color theme="1"/>
      </rPr>
      <t xml:space="preserve">
Posted query - 3
In progress - 0
Yet to start - 0
Review - 0
Completed - 5
</t>
    </r>
    <r>
      <rPr>
        <rFont val="Arial"/>
        <b/>
        <color rgb="FF0000FF"/>
      </rPr>
      <t xml:space="preserve">Daily task - 20 
</t>
    </r>
    <r>
      <rPr>
        <rFont val="Arial"/>
        <color theme="1"/>
      </rPr>
      <t xml:space="preserve">Cleanup - 1 (Inprogress) </t>
    </r>
    <r>
      <rPr>
        <rFont val="Arial"/>
        <b/>
        <color rgb="FF0000FF"/>
      </rPr>
      <t>Priority</t>
    </r>
    <r>
      <rPr>
        <rFont val="Arial"/>
        <color theme="1"/>
      </rPr>
      <t xml:space="preserve"> 
Cleanup - 1 (Not Started)
</t>
    </r>
    <r>
      <rPr>
        <rFont val="Arial"/>
        <b/>
        <color theme="1"/>
      </rPr>
      <t>Est - 3hrs</t>
    </r>
  </si>
  <si>
    <t>daily - done, cleanup - posted query, Booked - 2.48</t>
  </si>
  <si>
    <t>We need to try and get this done this week. Please ask him to connect Expensify to QBO. - Gabriella File</t>
  </si>
  <si>
    <r>
      <rPr>
        <rFont val="Arial"/>
        <b/>
        <color rgb="FF0000FF"/>
      </rPr>
      <t>Total Monthly Files - 8</t>
    </r>
    <r>
      <rPr>
        <rFont val="Arial"/>
        <color theme="1"/>
      </rPr>
      <t xml:space="preserve">
Posted query - 3
In progress - 0
Yet to start - 0
Review - 0
Completed - 5
</t>
    </r>
    <r>
      <rPr>
        <rFont val="Arial"/>
        <b/>
        <color rgb="FF0000FF"/>
      </rPr>
      <t xml:space="preserve">Daily task - 14 </t>
    </r>
    <r>
      <rPr>
        <rFont val="Arial"/>
        <b/>
        <color theme="1"/>
      </rPr>
      <t>(Evangelin)</t>
    </r>
    <r>
      <rPr>
        <rFont val="Arial"/>
        <b/>
        <color rgb="FF0000FF"/>
      </rPr>
      <t xml:space="preserve">
</t>
    </r>
    <r>
      <rPr>
        <rFont val="Arial"/>
        <color theme="1"/>
      </rPr>
      <t xml:space="preserve">Cleanup - 2 (Inprogress) </t>
    </r>
    <r>
      <rPr>
        <rFont val="Arial"/>
        <b/>
        <color rgb="FF0000FF"/>
      </rPr>
      <t>Priority</t>
    </r>
    <r>
      <rPr>
        <rFont val="Arial"/>
        <color theme="1"/>
      </rPr>
      <t xml:space="preserve"> 
</t>
    </r>
    <r>
      <rPr>
        <rFont val="Arial"/>
        <b/>
        <color theme="1"/>
      </rPr>
      <t>Est - 4.30hrs</t>
    </r>
  </si>
  <si>
    <t>daily completed, posted query (cleanup ), Booked -3.29</t>
  </si>
  <si>
    <r>
      <rPr>
        <rFont val="Arial"/>
        <b/>
        <color rgb="FF0000FF"/>
      </rPr>
      <t>Total Monthly Files - 8</t>
    </r>
    <r>
      <rPr>
        <rFont val="Arial"/>
        <color theme="1"/>
      </rPr>
      <t xml:space="preserve">
Posted query - 3
In progress - 0
Yet to start - 0
Review - 0
Completed - 5
</t>
    </r>
    <r>
      <rPr>
        <rFont val="Arial"/>
        <b/>
        <color rgb="FF0000FF"/>
      </rPr>
      <t xml:space="preserve">Daily task - 14 </t>
    </r>
    <r>
      <rPr>
        <rFont val="Arial"/>
        <b/>
        <color theme="1"/>
      </rPr>
      <t>(Evangelin)</t>
    </r>
    <r>
      <rPr>
        <rFont val="Arial"/>
        <b/>
        <color rgb="FF0000FF"/>
      </rPr>
      <t xml:space="preserve">
</t>
    </r>
    <r>
      <rPr>
        <rFont val="Arial"/>
        <color theme="1"/>
      </rPr>
      <t xml:space="preserve">Cleanup - 2 (Inprogress) </t>
    </r>
    <r>
      <rPr>
        <rFont val="Arial"/>
        <b/>
        <color rgb="FF0000FF"/>
      </rPr>
      <t>Priority</t>
    </r>
    <r>
      <rPr>
        <rFont val="Arial"/>
        <color theme="1"/>
      </rPr>
      <t xml:space="preserve"> 
</t>
    </r>
    <r>
      <rPr>
        <rFont val="Arial"/>
        <b/>
        <color theme="1"/>
      </rPr>
      <t>Est - 4hrs</t>
    </r>
  </si>
  <si>
    <t>daily completed - booked 4.01</t>
  </si>
  <si>
    <r>
      <rPr>
        <rFont val="Arial"/>
        <b/>
        <color rgb="FF0000FF"/>
      </rPr>
      <t>Total Monthly Files - 8</t>
    </r>
    <r>
      <rPr>
        <rFont val="Arial"/>
        <color theme="1"/>
      </rPr>
      <t xml:space="preserve">
Posted query - 2
In progress - 1
Yet to start - 0
Review - 0
Completed - 5
</t>
    </r>
    <r>
      <rPr>
        <rFont val="Arial"/>
        <b/>
        <color rgb="FF0000FF"/>
      </rPr>
      <t xml:space="preserve">Daily task - 14 </t>
    </r>
    <r>
      <rPr>
        <rFont val="Arial"/>
        <b/>
        <color theme="1"/>
      </rPr>
      <t>(Evangelin)</t>
    </r>
    <r>
      <rPr>
        <rFont val="Arial"/>
        <b/>
        <color rgb="FF0000FF"/>
      </rPr>
      <t xml:space="preserve">
</t>
    </r>
    <r>
      <rPr>
        <rFont val="Arial"/>
        <color theme="1"/>
      </rPr>
      <t xml:space="preserve">Cleanup - 2 (Inprogress) </t>
    </r>
    <r>
      <rPr>
        <rFont val="Arial"/>
        <b/>
        <color rgb="FF0000FF"/>
      </rPr>
      <t>Priority</t>
    </r>
    <r>
      <rPr>
        <rFont val="Arial"/>
        <color theme="1"/>
      </rPr>
      <t xml:space="preserve"> 
</t>
    </r>
    <r>
      <rPr>
        <rFont val="Arial"/>
        <b/>
        <color theme="1"/>
      </rPr>
      <t>Est - 4.30hrs</t>
    </r>
  </si>
  <si>
    <t>Booked - 5.23, daily completed</t>
  </si>
  <si>
    <r>
      <rPr>
        <rFont val="Arial"/>
        <b/>
        <color rgb="FF0000FF"/>
      </rPr>
      <t>Total Monthly Files - 8</t>
    </r>
    <r>
      <rPr>
        <rFont val="Arial"/>
        <color theme="1"/>
      </rPr>
      <t xml:space="preserve">
Posted query - 3
In progress - 
Yet to start - 0
Review - 0
Completed - 5
</t>
    </r>
    <r>
      <rPr>
        <rFont val="Arial"/>
        <b/>
        <color rgb="FF0000FF"/>
      </rPr>
      <t xml:space="preserve">Daily task - 11 </t>
    </r>
    <r>
      <rPr>
        <rFont val="Arial"/>
        <b/>
        <color theme="1"/>
      </rPr>
      <t>(Evangelin)</t>
    </r>
    <r>
      <rPr>
        <rFont val="Arial"/>
        <b/>
        <color rgb="FF0000FF"/>
      </rPr>
      <t xml:space="preserve">
</t>
    </r>
    <r>
      <rPr>
        <rFont val="Arial"/>
        <color theme="1"/>
      </rPr>
      <t xml:space="preserve">Cleanup - 2 (query) </t>
    </r>
    <r>
      <rPr>
        <rFont val="Arial"/>
        <b/>
        <color rgb="FF0000FF"/>
      </rPr>
      <t>Priority</t>
    </r>
    <r>
      <rPr>
        <rFont val="Arial"/>
        <color theme="1"/>
      </rPr>
      <t xml:space="preserve"> 
</t>
    </r>
    <r>
      <rPr>
        <rFont val="Arial"/>
        <b/>
        <color theme="1"/>
      </rPr>
      <t>Est - 3.30hrs</t>
    </r>
  </si>
  <si>
    <t>Booked -3.06hrs, daily completed</t>
  </si>
  <si>
    <r>
      <rPr>
        <rFont val="Arial"/>
        <b/>
        <color rgb="FF0000FF"/>
      </rPr>
      <t>Total Monthly Files - 8</t>
    </r>
    <r>
      <rPr>
        <rFont val="Arial"/>
        <color theme="1"/>
      </rPr>
      <t xml:space="preserve">
Posted query - 3
In progress - 
Yet to start - 0
Review - 0
Completed - 5
</t>
    </r>
    <r>
      <rPr>
        <rFont val="Arial"/>
        <b/>
        <color rgb="FF0000FF"/>
      </rPr>
      <t xml:space="preserve">Daily task - 15 </t>
    </r>
    <r>
      <rPr>
        <rFont val="Arial"/>
        <b/>
        <color theme="1"/>
      </rPr>
      <t>(Evangelin)</t>
    </r>
    <r>
      <rPr>
        <rFont val="Arial"/>
        <b/>
        <color rgb="FF0000FF"/>
      </rPr>
      <t xml:space="preserve">
</t>
    </r>
    <r>
      <rPr>
        <rFont val="Arial"/>
        <color theme="1"/>
      </rPr>
      <t xml:space="preserve">Cleanup - 2 (query) </t>
    </r>
    <r>
      <rPr>
        <rFont val="Arial"/>
        <b/>
        <color rgb="FF0000FF"/>
      </rPr>
      <t>Priority</t>
    </r>
    <r>
      <rPr>
        <rFont val="Arial"/>
        <color theme="1"/>
      </rPr>
      <t xml:space="preserve"> 
</t>
    </r>
    <r>
      <rPr>
        <rFont val="Arial"/>
        <b/>
        <color theme="1"/>
      </rPr>
      <t>Est - 3hrs</t>
    </r>
  </si>
  <si>
    <t>Booked -2.94, daily compleed</t>
  </si>
  <si>
    <r>
      <rPr>
        <rFont val="Arial"/>
        <b/>
        <color rgb="FF0000FF"/>
      </rPr>
      <t>Total Monthly Files - 8</t>
    </r>
    <r>
      <rPr>
        <rFont val="Arial"/>
        <color theme="1"/>
      </rPr>
      <t xml:space="preserve">
Posted query - 2
In progress - 
Yet to start - 0
Review - 0
Completed - 6
</t>
    </r>
    <r>
      <rPr>
        <rFont val="Arial"/>
        <b/>
        <color rgb="FF0000FF"/>
      </rPr>
      <t xml:space="preserve">Daily task - 11 </t>
    </r>
    <r>
      <rPr>
        <rFont val="Arial"/>
        <b/>
        <color theme="1"/>
      </rPr>
      <t>(Evangelin)</t>
    </r>
    <r>
      <rPr>
        <rFont val="Arial"/>
        <b/>
        <color rgb="FF0000FF"/>
      </rPr>
      <t xml:space="preserve">
</t>
    </r>
    <r>
      <rPr>
        <rFont val="Arial"/>
        <color theme="1"/>
      </rPr>
      <t xml:space="preserve">Cleanup - 2 (query) </t>
    </r>
    <r>
      <rPr>
        <rFont val="Arial"/>
        <b/>
        <color rgb="FF0000FF"/>
      </rPr>
      <t>Priority</t>
    </r>
    <r>
      <rPr>
        <rFont val="Arial"/>
        <color theme="1"/>
      </rPr>
      <t xml:space="preserve"> 
</t>
    </r>
    <r>
      <rPr>
        <rFont val="Arial"/>
        <b/>
        <color theme="1"/>
      </rPr>
      <t>Est - 2hrs</t>
    </r>
  </si>
  <si>
    <t>daily completed, Booked - 2.08</t>
  </si>
  <si>
    <r>
      <rPr>
        <rFont val="Arial"/>
        <b/>
        <color rgb="FF0000FF"/>
      </rPr>
      <t>Total Monthly Files - 8</t>
    </r>
    <r>
      <rPr>
        <rFont val="Arial"/>
        <color theme="1"/>
      </rPr>
      <t xml:space="preserve">
Posted query - 0
In progress - 
Yet to start - 8
Review - 0
Completed - 0
</t>
    </r>
    <r>
      <rPr>
        <rFont val="Arial"/>
        <b/>
        <color rgb="FF0000FF"/>
      </rPr>
      <t xml:space="preserve">Daily task - 21 </t>
    </r>
    <r>
      <rPr>
        <rFont val="Arial"/>
        <b/>
        <color theme="1"/>
      </rPr>
      <t>(Nidisha)</t>
    </r>
    <r>
      <rPr>
        <rFont val="Arial"/>
        <b/>
        <color rgb="FF0000FF"/>
      </rPr>
      <t xml:space="preserve">
</t>
    </r>
    <r>
      <rPr>
        <rFont val="Arial"/>
        <color theme="1"/>
      </rPr>
      <t xml:space="preserve">Cleanup - 2 (query) </t>
    </r>
    <r>
      <rPr>
        <rFont val="Arial"/>
        <b/>
        <color rgb="FF0000FF"/>
      </rPr>
      <t>Priority</t>
    </r>
    <r>
      <rPr>
        <rFont val="Arial"/>
        <color theme="1"/>
      </rPr>
      <t xml:space="preserve"> 
</t>
    </r>
    <r>
      <rPr>
        <rFont val="Arial"/>
        <b/>
        <color theme="1"/>
      </rPr>
      <t>Est - 4hrs</t>
    </r>
  </si>
  <si>
    <t>Booked -2.58, daily completed</t>
  </si>
  <si>
    <r>
      <rPr>
        <rFont val="Arial"/>
        <b/>
        <color rgb="FF0000FF"/>
      </rPr>
      <t>Total Monthly Files - 8</t>
    </r>
    <r>
      <rPr>
        <rFont val="Arial"/>
        <color theme="1"/>
      </rPr>
      <t xml:space="preserve">
Posted query - 0
In progress - 
Yet to start - 8
Review - 0
Completed - 0
</t>
    </r>
    <r>
      <rPr>
        <rFont val="Arial"/>
        <b/>
        <color rgb="FF0000FF"/>
      </rPr>
      <t xml:space="preserve">Daily task - 21 (Evangelin)
</t>
    </r>
    <r>
      <rPr>
        <rFont val="Arial"/>
        <color theme="1"/>
      </rPr>
      <t xml:space="preserve">Cleanup - 2 (Inprogress) </t>
    </r>
    <r>
      <rPr>
        <rFont val="Arial"/>
        <b/>
        <color rgb="FF0000FF"/>
      </rPr>
      <t>Priority</t>
    </r>
    <r>
      <rPr>
        <rFont val="Arial"/>
        <color theme="1"/>
      </rPr>
      <t xml:space="preserve"> 
</t>
    </r>
    <r>
      <rPr>
        <rFont val="Arial"/>
        <b/>
        <color theme="1"/>
      </rPr>
      <t>Est - 3hrs</t>
    </r>
  </si>
  <si>
    <t>daily completed, cleanup query , Booked -2.82hrs</t>
  </si>
  <si>
    <r>
      <rPr>
        <rFont val="Arial"/>
        <b/>
        <color rgb="FF0000FF"/>
      </rPr>
      <t>Total Monthly Files - 8</t>
    </r>
    <r>
      <rPr>
        <rFont val="Arial"/>
        <color theme="1"/>
      </rPr>
      <t xml:space="preserve">
Posted query - 0
In progress - 2
Yet to start - 6
Review - 0
Completed - 0
</t>
    </r>
    <r>
      <rPr>
        <rFont val="Arial"/>
        <b/>
        <color rgb="FF0000FF"/>
      </rPr>
      <t xml:space="preserve">Daily task - 15 (Evangelin)
</t>
    </r>
    <r>
      <rPr>
        <rFont val="Arial"/>
        <color theme="1"/>
      </rPr>
      <t xml:space="preserve">Cleanup - 2 (Inprogress) </t>
    </r>
    <r>
      <rPr>
        <rFont val="Arial"/>
        <b/>
        <color rgb="FF0000FF"/>
      </rPr>
      <t>Priority</t>
    </r>
    <r>
      <rPr>
        <rFont val="Arial"/>
        <color theme="1"/>
      </rPr>
      <t xml:space="preserve"> 
</t>
    </r>
    <r>
      <rPr>
        <rFont val="Arial"/>
        <b/>
        <color theme="1"/>
      </rPr>
      <t>Est - 3hrs</t>
    </r>
  </si>
  <si>
    <t>daily completed, cleanup query , Booked -2.84hrs</t>
  </si>
  <si>
    <r>
      <rPr>
        <rFont val="Arial"/>
        <b/>
        <color rgb="FF0000FF"/>
      </rPr>
      <t>Total Monthly Files - 8</t>
    </r>
    <r>
      <rPr>
        <rFont val="Arial"/>
        <color theme="1"/>
      </rPr>
      <t xml:space="preserve">
Posted query - 0
In progress - 0
Yet to start - 6
Review - 2
Completed - 0
</t>
    </r>
    <r>
      <rPr>
        <rFont val="Arial"/>
        <b/>
        <color rgb="FF0000FF"/>
      </rPr>
      <t xml:space="preserve">Daily task - 11 (Evangelin)
</t>
    </r>
    <r>
      <rPr>
        <rFont val="Arial"/>
        <color theme="1"/>
      </rPr>
      <t xml:space="preserve">Cleanup - 2 (Inprogress) </t>
    </r>
    <r>
      <rPr>
        <rFont val="Arial"/>
        <b/>
        <color rgb="FF0000FF"/>
      </rPr>
      <t>Priority</t>
    </r>
    <r>
      <rPr>
        <rFont val="Arial"/>
        <color theme="1"/>
      </rPr>
      <t xml:space="preserve"> 
</t>
    </r>
    <r>
      <rPr>
        <rFont val="Arial"/>
        <b/>
        <color theme="1"/>
      </rPr>
      <t>Est - 4hrs</t>
    </r>
  </si>
  <si>
    <t>Booked -4.74hrs, daily , review - 1 completed</t>
  </si>
  <si>
    <t>This is the last month we are working on this account; so lets make sure everything is good to go by the 25th. Thanks!</t>
  </si>
  <si>
    <r>
      <rPr>
        <rFont val="Arial"/>
        <b/>
        <color rgb="FF0000FF"/>
      </rPr>
      <t>Total Monthly Files - 8</t>
    </r>
    <r>
      <rPr>
        <rFont val="Arial"/>
        <color theme="1"/>
      </rPr>
      <t xml:space="preserve">
Posted query - 0
In progress - 0
Yet to start - 5
Review - 1
Completed - 2
</t>
    </r>
    <r>
      <rPr>
        <rFont val="Arial"/>
        <b/>
        <color rgb="FF0000FF"/>
      </rPr>
      <t xml:space="preserve">Daily task - 15 (Evangelin)
</t>
    </r>
    <r>
      <rPr>
        <rFont val="Arial"/>
        <color theme="1"/>
      </rPr>
      <t xml:space="preserve">Cleanup - 2 (Inprogress) </t>
    </r>
    <r>
      <rPr>
        <rFont val="Arial"/>
        <b/>
        <color rgb="FF0000FF"/>
      </rPr>
      <t>Priority</t>
    </r>
    <r>
      <rPr>
        <rFont val="Arial"/>
        <color theme="1"/>
      </rPr>
      <t xml:space="preserve"> 
</t>
    </r>
    <r>
      <rPr>
        <rFont val="Arial"/>
        <b/>
        <color theme="1"/>
      </rPr>
      <t>Est - 4hrs</t>
    </r>
  </si>
  <si>
    <t>daily completed, booked - 3.45</t>
  </si>
  <si>
    <r>
      <rPr>
        <rFont val="Arial"/>
        <b/>
        <color rgb="FF0000FF"/>
      </rPr>
      <t>Total Monthly Files - 8</t>
    </r>
    <r>
      <rPr>
        <rFont val="Arial"/>
        <color theme="1"/>
      </rPr>
      <t xml:space="preserve">
Posted query - 0
In progress - 0
Yet to start - 5
Review - 1
Completed - 2
</t>
    </r>
    <r>
      <rPr>
        <rFont val="Arial"/>
        <b/>
        <color rgb="FF0000FF"/>
      </rPr>
      <t xml:space="preserve">Daily task - 33 (Evangelin)
</t>
    </r>
    <r>
      <rPr>
        <rFont val="Arial"/>
        <color theme="1"/>
      </rPr>
      <t xml:space="preserve">Cleanup - 2 (query </t>
    </r>
    <r>
      <rPr>
        <rFont val="Arial"/>
        <b/>
        <color rgb="FF0000FF"/>
      </rPr>
      <t>Priority</t>
    </r>
    <r>
      <rPr>
        <rFont val="Arial"/>
        <color theme="1"/>
      </rPr>
      <t xml:space="preserve"> 
</t>
    </r>
    <r>
      <rPr>
        <rFont val="Arial"/>
        <b/>
        <color theme="1"/>
      </rPr>
      <t>Est - 4hrs</t>
    </r>
  </si>
  <si>
    <t>Booked -3.63 hrsdaily , review completed</t>
  </si>
  <si>
    <r>
      <rPr>
        <rFont val="Arial"/>
        <b/>
        <color rgb="FF0000FF"/>
      </rPr>
      <t>Total Monthly Files - 8</t>
    </r>
    <r>
      <rPr>
        <rFont val="Arial"/>
        <color theme="1"/>
      </rPr>
      <t xml:space="preserve">
Posted query - 4
In progress - 1
Yet to start - 0
Review - 1
Completed - 2
</t>
    </r>
    <r>
      <rPr>
        <rFont val="Arial"/>
        <b/>
        <color rgb="FF0000FF"/>
      </rPr>
      <t xml:space="preserve">Daily task - 10 (Evangelin)
</t>
    </r>
    <r>
      <rPr>
        <rFont val="Arial"/>
        <color theme="1"/>
      </rPr>
      <t>Cleanup - 2 (Inprogress)</t>
    </r>
    <r>
      <rPr>
        <rFont val="Arial"/>
        <b/>
        <color rgb="FF0000FF"/>
      </rPr>
      <t>Priority</t>
    </r>
    <r>
      <rPr>
        <rFont val="Arial"/>
        <color theme="1"/>
      </rPr>
      <t xml:space="preserve"> 
</t>
    </r>
    <r>
      <rPr>
        <rFont val="Arial"/>
        <b/>
        <color theme="1"/>
      </rPr>
      <t>Est - 6.30hrs</t>
    </r>
  </si>
  <si>
    <t>daily completed, Booked -4.98</t>
  </si>
  <si>
    <r>
      <rPr>
        <rFont val="Arial"/>
        <b/>
        <color rgb="FF0000FF"/>
      </rPr>
      <t>Total Monthly Files - 8</t>
    </r>
    <r>
      <rPr>
        <rFont val="Arial"/>
        <color theme="1"/>
      </rPr>
      <t xml:space="preserve">
Posted query - 4
In progress - 1
Yet to start - 0
Review - 0
Completed - 3
</t>
    </r>
    <r>
      <rPr>
        <rFont val="Arial"/>
        <b/>
        <color rgb="FF0000FF"/>
      </rPr>
      <t xml:space="preserve">Daily task - 12 (Evangelin)
</t>
    </r>
    <r>
      <rPr>
        <rFont val="Arial"/>
        <color theme="1"/>
      </rPr>
      <t>Cleanup - 2 (Inprogress)</t>
    </r>
    <r>
      <rPr>
        <rFont val="Arial"/>
        <b/>
        <color rgb="FF0000FF"/>
      </rPr>
      <t>Priority</t>
    </r>
    <r>
      <rPr>
        <rFont val="Arial"/>
        <color theme="1"/>
      </rPr>
      <t xml:space="preserve"> 
</t>
    </r>
    <r>
      <rPr>
        <rFont val="Arial"/>
        <b/>
        <color theme="1"/>
      </rPr>
      <t>Est - 4hrs</t>
    </r>
  </si>
  <si>
    <t>Booked -3.38, daily completed, cleanup in progress</t>
  </si>
  <si>
    <r>
      <rPr>
        <rFont val="Arial"/>
        <b/>
        <color rgb="FF0000FF"/>
      </rPr>
      <t>Total Monthly Files - 8</t>
    </r>
    <r>
      <rPr>
        <rFont val="Arial"/>
        <color theme="1"/>
      </rPr>
      <t xml:space="preserve">
Posted query - 4
In progress - 1
Yet to start - 0
Review - 0
Completed - 3
</t>
    </r>
    <r>
      <rPr>
        <rFont val="Arial"/>
        <b/>
        <color rgb="FF0000FF"/>
      </rPr>
      <t xml:space="preserve">Daily task - 10 (Evangelin)
</t>
    </r>
    <r>
      <rPr>
        <rFont val="Arial"/>
        <color theme="1"/>
      </rPr>
      <t>Cleanup - 2 (Inprogress)</t>
    </r>
    <r>
      <rPr>
        <rFont val="Arial"/>
        <b/>
        <color rgb="FF0000FF"/>
      </rPr>
      <t>Priority</t>
    </r>
    <r>
      <rPr>
        <rFont val="Arial"/>
        <color theme="1"/>
      </rPr>
      <t xml:space="preserve"> 
</t>
    </r>
    <r>
      <rPr>
        <rFont val="Arial"/>
        <b/>
        <color theme="1"/>
      </rPr>
      <t>Est - 5hrs</t>
    </r>
  </si>
  <si>
    <t>Booked - 7.68, daily completed, cleanup query posted</t>
  </si>
  <si>
    <r>
      <rPr>
        <rFont val="Arial"/>
        <b/>
        <color rgb="FF0000FF"/>
      </rPr>
      <t>Total Monthly Files - 8</t>
    </r>
    <r>
      <rPr>
        <rFont val="Arial"/>
        <color theme="1"/>
      </rPr>
      <t xml:space="preserve">
Posted query - 4
In progress - 0
Yet to start - 0
Review - 0
Completed - 4
</t>
    </r>
    <r>
      <rPr>
        <rFont val="Arial"/>
        <b/>
        <color rgb="FF0000FF"/>
      </rPr>
      <t xml:space="preserve">Daily task - 10 (Evangelin)
</t>
    </r>
    <r>
      <rPr>
        <rFont val="Arial"/>
        <color theme="1"/>
      </rPr>
      <t>Cleanup - 3 (Inprogress)</t>
    </r>
    <r>
      <rPr>
        <rFont val="Arial"/>
        <b/>
        <color rgb="FF0000FF"/>
      </rPr>
      <t>Priority</t>
    </r>
    <r>
      <rPr>
        <rFont val="Arial"/>
        <color theme="1"/>
      </rPr>
      <t xml:space="preserve"> 
</t>
    </r>
    <r>
      <rPr>
        <rFont val="Arial"/>
        <b/>
        <color theme="1"/>
      </rPr>
      <t>Est - 6hrs</t>
    </r>
  </si>
  <si>
    <t>Booked -5.40hrs, daily ompleted, posted query on cleanup</t>
  </si>
  <si>
    <r>
      <rPr>
        <rFont val="Arial"/>
        <b/>
        <color rgb="FF0000FF"/>
      </rPr>
      <t>Total Monthly Files - 8</t>
    </r>
    <r>
      <rPr>
        <rFont val="Arial"/>
        <color theme="1"/>
      </rPr>
      <t xml:space="preserve">
Posted query - 4
In progress - 0
Yet to start - 0
Review - 0
Completed - 4
</t>
    </r>
    <r>
      <rPr>
        <rFont val="Arial"/>
        <b/>
        <color rgb="FF0000FF"/>
      </rPr>
      <t xml:space="preserve">Daily task - 14 (Evangelin)
</t>
    </r>
    <r>
      <rPr>
        <rFont val="Arial"/>
        <color theme="1"/>
      </rPr>
      <t>Cleanup - 3 (Inprogress)</t>
    </r>
    <r>
      <rPr>
        <rFont val="Arial"/>
        <b/>
        <color rgb="FF0000FF"/>
      </rPr>
      <t>Priority</t>
    </r>
    <r>
      <rPr>
        <rFont val="Arial"/>
        <color theme="1"/>
      </rPr>
      <t xml:space="preserve"> 
</t>
    </r>
    <r>
      <rPr>
        <rFont val="Arial"/>
        <b/>
        <color theme="1"/>
      </rPr>
      <t>Est - 5hrs</t>
    </r>
  </si>
  <si>
    <t>Booked -5.08hrs. inprogress</t>
  </si>
  <si>
    <r>
      <rPr>
        <rFont val="Arial"/>
        <b/>
        <color rgb="FF0000FF"/>
      </rPr>
      <t>Total Monthly Files - 8</t>
    </r>
    <r>
      <rPr>
        <rFont val="Arial"/>
        <color theme="1"/>
      </rPr>
      <t xml:space="preserve">
Posted query - 4
In progress - 0
Yet to start - 0
Review - 0
Completed - 4
</t>
    </r>
    <r>
      <rPr>
        <rFont val="Arial"/>
        <b/>
        <color rgb="FF0000FF"/>
      </rPr>
      <t xml:space="preserve">Daily task - 13 (Evangelin)
</t>
    </r>
    <r>
      <rPr>
        <rFont val="Arial"/>
        <color theme="1"/>
      </rPr>
      <t>Cleanup - 3 (Inprogress)</t>
    </r>
    <r>
      <rPr>
        <rFont val="Arial"/>
        <b/>
        <color rgb="FF0000FF"/>
      </rPr>
      <t>Priority</t>
    </r>
    <r>
      <rPr>
        <rFont val="Arial"/>
        <color theme="1"/>
      </rPr>
      <t xml:space="preserve"> 
</t>
    </r>
    <r>
      <rPr>
        <rFont val="Arial"/>
        <b/>
        <color theme="1"/>
      </rPr>
      <t>Est - 5 hrs</t>
    </r>
  </si>
  <si>
    <t>daily inprogress, Booked -3.58hrs</t>
  </si>
  <si>
    <r>
      <rPr>
        <rFont val="Arial"/>
        <b/>
        <color rgb="FF0000FF"/>
      </rPr>
      <t>Total Monthly Files - 8</t>
    </r>
    <r>
      <rPr>
        <rFont val="Arial"/>
        <color theme="1"/>
      </rPr>
      <t xml:space="preserve">
Posted query - 4
In progress - 0
Yet to start - 0
Review - 0
Completed - 4
</t>
    </r>
    <r>
      <rPr>
        <rFont val="Arial"/>
        <b/>
        <color rgb="FF0000FF"/>
      </rPr>
      <t xml:space="preserve">Daily task - 13 (Evangelin)
</t>
    </r>
    <r>
      <rPr>
        <rFont val="Arial"/>
        <color theme="1"/>
      </rPr>
      <t>Cleanup - 3 (Inprogress)</t>
    </r>
    <r>
      <rPr>
        <rFont val="Arial"/>
        <b/>
        <color rgb="FF0000FF"/>
      </rPr>
      <t>Priority</t>
    </r>
    <r>
      <rPr>
        <rFont val="Arial"/>
        <color theme="1"/>
      </rPr>
      <t xml:space="preserve"> 
</t>
    </r>
    <r>
      <rPr>
        <rFont val="Arial"/>
        <b/>
        <color theme="1"/>
      </rPr>
      <t>Est - 5hrs</t>
    </r>
  </si>
  <si>
    <t>daily inprogress, Booked -4.07 hrs</t>
  </si>
  <si>
    <t>Great! I have forwarded emails from our client the Gabrielle as well as posted some workflows based on what the client stated. If those could be reviewed right away and let me know if you have any questions, that would be helpful.</t>
  </si>
  <si>
    <t>I just updated my comment in Gabrielle, just want to make sure it is read before any changes are made.</t>
  </si>
  <si>
    <r>
      <rPr>
        <rFont val="Arial"/>
        <b/>
        <color rgb="FF0000FF"/>
      </rPr>
      <t>Total Monthly Files - 8</t>
    </r>
    <r>
      <rPr>
        <rFont val="Arial"/>
        <color theme="1"/>
      </rPr>
      <t xml:space="preserve">
Posted query - 3
In progress - 0
Yet to start - 0
Review -1
Completed - 4
</t>
    </r>
    <r>
      <rPr>
        <rFont val="Arial"/>
        <b/>
        <color rgb="FF0000FF"/>
      </rPr>
      <t xml:space="preserve">Daily task - 13 (Evangelin)
</t>
    </r>
    <r>
      <rPr>
        <rFont val="Arial"/>
        <color theme="1"/>
      </rPr>
      <t>Cleanup - 3 (Inprogress)</t>
    </r>
    <r>
      <rPr>
        <rFont val="Arial"/>
        <b/>
        <color rgb="FF0000FF"/>
      </rPr>
      <t>Priority</t>
    </r>
    <r>
      <rPr>
        <rFont val="Arial"/>
        <color theme="1"/>
      </rPr>
      <t xml:space="preserve"> 
</t>
    </r>
    <r>
      <rPr>
        <rFont val="Arial"/>
        <b/>
        <color theme="1"/>
      </rPr>
      <t>Est - 6hrs</t>
    </r>
  </si>
  <si>
    <t>Booked - 4.26m daily completed</t>
  </si>
  <si>
    <r>
      <rPr>
        <rFont val="Arial"/>
        <b/>
        <color rgb="FF0000FF"/>
      </rPr>
      <t>Total Monthly Files - 8</t>
    </r>
    <r>
      <rPr>
        <rFont val="Arial"/>
        <color theme="1"/>
      </rPr>
      <t xml:space="preserve">
Posted query - 3
In progress - 0
Yet to start - 0
Review -1
Completed - 4
</t>
    </r>
    <r>
      <rPr>
        <rFont val="Arial"/>
        <b/>
        <color rgb="FF0000FF"/>
      </rPr>
      <t xml:space="preserve">Daily task - 14 (Evangelin)
</t>
    </r>
    <r>
      <rPr>
        <rFont val="Arial"/>
        <color theme="1"/>
      </rPr>
      <t>Cleanup - 3 (Inprogress)</t>
    </r>
    <r>
      <rPr>
        <rFont val="Arial"/>
        <b/>
        <color rgb="FF0000FF"/>
      </rPr>
      <t>Priority</t>
    </r>
    <r>
      <rPr>
        <rFont val="Arial"/>
        <color theme="1"/>
      </rPr>
      <t xml:space="preserve"> 
</t>
    </r>
    <r>
      <rPr>
        <rFont val="Arial"/>
        <b/>
        <color theme="1"/>
      </rPr>
      <t>Est - 5.30hrs</t>
    </r>
  </si>
  <si>
    <t>daily completed, Booked -4.53hrs</t>
  </si>
  <si>
    <r>
      <rPr>
        <rFont val="Arial"/>
        <b/>
        <color rgb="FF0000FF"/>
      </rPr>
      <t>Total Monthly Files - 8</t>
    </r>
    <r>
      <rPr>
        <rFont val="Arial"/>
        <color theme="1"/>
      </rPr>
      <t xml:space="preserve">
Posted query - 3
In progress - 0
Yet to start - 0
Review -1
Completed - 4
</t>
    </r>
    <r>
      <rPr>
        <rFont val="Arial"/>
        <b/>
        <color rgb="FF0000FF"/>
      </rPr>
      <t xml:space="preserve">Daily task - 17 (Evangelin)
</t>
    </r>
    <r>
      <rPr>
        <rFont val="Arial"/>
        <color theme="1"/>
      </rPr>
      <t>Cleanup - 3 (Inprogress)</t>
    </r>
    <r>
      <rPr>
        <rFont val="Arial"/>
        <b/>
        <color rgb="FF0000FF"/>
      </rPr>
      <t>Priority</t>
    </r>
    <r>
      <rPr>
        <rFont val="Arial"/>
        <color theme="1"/>
      </rPr>
      <t xml:space="preserve"> 
</t>
    </r>
    <r>
      <rPr>
        <rFont val="Arial"/>
        <b/>
        <color theme="1"/>
      </rPr>
      <t>Est - 6hrs</t>
    </r>
  </si>
  <si>
    <t>Booked -4hrs, inprogres</t>
  </si>
  <si>
    <t>We are nearing 80 hours of work within the next few days. So far, we have booked 63 hours as of Sept 19, 2025. This will be the first time we exceed the 80-hour threshold, primarily due to ongoing clean-up work on the following files:
Alessia Fishing LLC – 0.37 hours
Gabrielle Fishing LLC – 28.82 hours
Wild Tuna Fishing LLC – 1.08 hours
These clean-ups are still in progress. For your reference, we’ve shared the exact hours spent on each file.
Please let us know if we have your approval to exceed 80 hours this month.
Thank you for your understanding and support.</t>
  </si>
  <si>
    <r>
      <rPr>
        <rFont val="Arial"/>
        <b/>
        <color rgb="FF0000FF"/>
      </rPr>
      <t>Total Monthly Files - 8</t>
    </r>
    <r>
      <rPr>
        <rFont val="Arial"/>
        <color theme="1"/>
      </rPr>
      <t xml:space="preserve">
Posted query - 3
In progress - 0
Yet to start - 0
Review -0
Completed - 5
</t>
    </r>
    <r>
      <rPr>
        <rFont val="Arial"/>
        <b/>
        <color rgb="FF0000FF"/>
      </rPr>
      <t xml:space="preserve">Daily task - 17 (Evangelin)
</t>
    </r>
    <r>
      <rPr>
        <rFont val="Arial"/>
        <color theme="1"/>
      </rPr>
      <t>Cleanup - 3 (Inprogress)</t>
    </r>
    <r>
      <rPr>
        <rFont val="Arial"/>
        <b/>
        <color rgb="FF0000FF"/>
      </rPr>
      <t>Priority</t>
    </r>
    <r>
      <rPr>
        <rFont val="Arial"/>
        <color theme="1"/>
      </rPr>
      <t xml:space="preserve"> 
</t>
    </r>
    <r>
      <rPr>
        <rFont val="Arial"/>
        <b/>
        <color theme="1"/>
      </rPr>
      <t>Est - 6hrs</t>
    </r>
  </si>
  <si>
    <t>Booked -4.08hrs, inprogres</t>
  </si>
  <si>
    <r>
      <rPr>
        <rFont val="Arial"/>
        <b/>
        <color rgb="FF0000FF"/>
      </rPr>
      <t>Total Monthly Files - 8</t>
    </r>
    <r>
      <rPr>
        <rFont val="Arial"/>
        <color theme="1"/>
      </rPr>
      <t xml:space="preserve">
Posted query - 3
In progress - 0
Yet to start - 0
Review -0
Completed - 5
</t>
    </r>
    <r>
      <rPr>
        <rFont val="Arial"/>
        <b/>
        <color rgb="FF0000FF"/>
      </rPr>
      <t xml:space="preserve">Daily task - 17 (Evangelin)
</t>
    </r>
    <r>
      <rPr>
        <rFont val="Arial"/>
        <color theme="1"/>
      </rPr>
      <t xml:space="preserve">Cleanup - 3 (Inprogress)
</t>
    </r>
    <r>
      <rPr>
        <rFont val="Arial"/>
        <b/>
        <color theme="1"/>
      </rPr>
      <t>Est - 2hrs</t>
    </r>
  </si>
  <si>
    <t>inprogress, Booked - 1.37 hrs</t>
  </si>
  <si>
    <r>
      <rPr>
        <rFont val="Arial"/>
        <b/>
        <color rgb="FF0000FF"/>
      </rPr>
      <t>Total Monthly Files - 8</t>
    </r>
    <r>
      <rPr>
        <rFont val="Arial"/>
        <color theme="1"/>
      </rPr>
      <t xml:space="preserve">
Posted query - 3
In progress - 0
Yet to start - 0
Review -0
Completed - 5
</t>
    </r>
    <r>
      <rPr>
        <rFont val="Arial"/>
        <b/>
        <color rgb="FF0000FF"/>
      </rPr>
      <t xml:space="preserve">Daily task - 15 (Kanimozhi)
</t>
    </r>
    <r>
      <rPr>
        <rFont val="Arial"/>
        <color theme="1"/>
      </rPr>
      <t xml:space="preserve">Cleanup - 3 (Inprogress)
</t>
    </r>
    <r>
      <rPr>
        <rFont val="Arial"/>
        <b/>
        <color theme="1"/>
      </rPr>
      <t>Est - 3hrs</t>
    </r>
  </si>
  <si>
    <t>inprogress, Booked - 2.43hrs</t>
  </si>
  <si>
    <r>
      <rPr>
        <rFont val="Arial"/>
        <b/>
        <color rgb="FF0000FF"/>
      </rPr>
      <t>Total Monthly Files - 8</t>
    </r>
    <r>
      <rPr>
        <rFont val="Arial"/>
        <color theme="1"/>
      </rPr>
      <t xml:space="preserve">
Posted query - 3
In progress - 0
Yet to start - 0
Review -0
Completed - 5
</t>
    </r>
    <r>
      <rPr>
        <rFont val="Arial"/>
        <b/>
        <color rgb="FF0000FF"/>
      </rPr>
      <t xml:space="preserve">Daily task - 15 (Kanimozhi)
</t>
    </r>
    <r>
      <rPr>
        <rFont val="Arial"/>
        <color theme="1"/>
      </rPr>
      <t xml:space="preserve">Cleanup - 3 (Inprogress)
</t>
    </r>
    <r>
      <rPr>
        <rFont val="Arial"/>
        <b/>
        <color theme="1"/>
      </rPr>
      <t>Est - 2hr</t>
    </r>
  </si>
  <si>
    <t>inprogress, Booked - 1.03hrs</t>
  </si>
  <si>
    <r>
      <rPr>
        <rFont val="Arial"/>
        <b/>
        <color rgb="FF0000FF"/>
      </rPr>
      <t>Total Monthly Files - 8</t>
    </r>
    <r>
      <rPr>
        <rFont val="Arial"/>
        <color theme="1"/>
      </rPr>
      <t xml:space="preserve">
Posted query - 3
In progress - 0
Yet to start - 0
Review -0
Completed - 5
</t>
    </r>
    <r>
      <rPr>
        <rFont val="Arial"/>
        <b/>
        <color rgb="FF0000FF"/>
      </rPr>
      <t xml:space="preserve">Daily task - 15 (Kanimozhi)
</t>
    </r>
    <r>
      <rPr>
        <rFont val="Arial"/>
        <color theme="1"/>
      </rPr>
      <t xml:space="preserve">Cleanup - 3 (Inprogress)
</t>
    </r>
    <r>
      <rPr>
        <rFont val="Arial"/>
        <b/>
        <color theme="1"/>
      </rPr>
      <t>Est - 5.30hrs</t>
    </r>
  </si>
  <si>
    <t>inprogress, Booked - 4.16hrs</t>
  </si>
  <si>
    <r>
      <rPr>
        <rFont val="Arial"/>
        <b/>
        <color rgb="FF0000FF"/>
      </rPr>
      <t>Total Monthly Files - 8</t>
    </r>
    <r>
      <rPr>
        <rFont val="Arial"/>
        <color theme="1"/>
      </rPr>
      <t xml:space="preserve">
Posted query - 3
In progress - 0
Yet to start - 0
Review -0
Completed - 5
</t>
    </r>
    <r>
      <rPr>
        <rFont val="Arial"/>
        <b/>
        <color rgb="FF0000FF"/>
      </rPr>
      <t xml:space="preserve">Daily task - 15 (Kanimozhi)
</t>
    </r>
    <r>
      <rPr>
        <rFont val="Arial"/>
        <color theme="1"/>
      </rPr>
      <t xml:space="preserve">Cleanup - 3 (Inprogress)
</t>
    </r>
    <r>
      <rPr>
        <rFont val="Arial"/>
        <b/>
        <color theme="1"/>
      </rPr>
      <t>Est - 3 Hrs</t>
    </r>
  </si>
  <si>
    <t>inprogress, booked - 2.47hrs</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</si>
  <si>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(Kanimozhi)
</t>
    </r>
    <r>
      <rPr>
        <rFont val="Arial"/>
        <color theme="1"/>
      </rPr>
      <t xml:space="preserve">Cleanup - 3 (Inprogress)
</t>
    </r>
    <r>
      <rPr>
        <rFont val="Arial"/>
        <b/>
        <color theme="1"/>
      </rPr>
      <t>Est - 3 Hrs</t>
    </r>
  </si>
  <si>
    <t>inprogress, booked - 2.82hrs</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</si>
  <si>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(Kanimozhi)
</t>
    </r>
    <r>
      <rPr>
        <rFont val="Arial"/>
        <color theme="1"/>
      </rPr>
      <t xml:space="preserve">Cleanup - 3 (Inprogress)
</t>
    </r>
    <r>
      <rPr>
        <rFont val="Arial"/>
        <b/>
        <color theme="1"/>
      </rPr>
      <t>Est - 2hrs</t>
    </r>
  </si>
  <si>
    <t>inprogress, booked -1.61hrs</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</si>
  <si>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(Kanimozhi)
</t>
    </r>
    <r>
      <rPr>
        <rFont val="Arial"/>
        <color theme="1"/>
      </rPr>
      <t xml:space="preserve">Cleanup - 3 (Inprogress)
</t>
    </r>
    <r>
      <rPr>
        <rFont val="Arial"/>
        <b/>
        <color theme="1"/>
      </rPr>
      <t>Est - 4 Hrs</t>
    </r>
  </si>
  <si>
    <t>inprogress, booked -3.31hrs</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</si>
  <si>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(Kanimozhi)
</t>
    </r>
    <r>
      <rPr>
        <rFont val="Arial"/>
        <color theme="1"/>
      </rPr>
      <t xml:space="preserve">Cleanup - 3 (Inprogress)
</t>
    </r>
    <r>
      <rPr>
        <rFont val="Arial"/>
        <b/>
        <color theme="1"/>
      </rPr>
      <t>Est -2hrs</t>
    </r>
  </si>
  <si>
    <t>inprogress, booked -1.56hrs</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</si>
  <si>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(Kanimozhi)
</t>
    </r>
    <r>
      <rPr>
        <rFont val="Arial"/>
        <color theme="1"/>
      </rPr>
      <t xml:space="preserve">Cleanup - 3 (Inprogress)
</t>
    </r>
    <r>
      <rPr>
        <rFont val="Arial"/>
        <b/>
        <color theme="1"/>
      </rPr>
      <t>Est - 3 Hrs</t>
    </r>
  </si>
  <si>
    <t>inprogress, booked -2.21hrs</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</si>
  <si>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(Kanimozhi)
</t>
    </r>
    <r>
      <rPr>
        <rFont val="Arial"/>
        <color theme="1"/>
      </rPr>
      <t xml:space="preserve">Cleanup - 3 (Inprogress)
</t>
    </r>
    <r>
      <rPr>
        <rFont val="Arial"/>
        <b/>
        <color theme="1"/>
      </rPr>
      <t>Est - 2 hrs</t>
    </r>
  </si>
  <si>
    <t>inprogress, booked -1.55hrs</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</si>
  <si>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(Kanimozhi)
</t>
    </r>
    <r>
      <rPr>
        <rFont val="Arial"/>
        <color theme="1"/>
      </rPr>
      <t xml:space="preserve">Cleanup - 3 (Inprogress)
</t>
    </r>
    <r>
      <rPr>
        <rFont val="Arial"/>
        <b/>
        <color theme="1"/>
      </rPr>
      <t>Est - 8 Hrs</t>
    </r>
  </si>
  <si>
    <t>Monthly files - In Progress
Cleanup - In progress
Booked - 2.41hrs</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</si>
  <si>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(Kanimozhi)
</t>
    </r>
    <r>
      <rPr>
        <rFont val="Arial"/>
        <color theme="1"/>
      </rPr>
      <t xml:space="preserve">Cleanup - 3 (Inprogress)
</t>
    </r>
    <r>
      <rPr>
        <rFont val="Arial"/>
        <b/>
        <color theme="1"/>
      </rPr>
      <t>Est - 6 Hrs</t>
    </r>
  </si>
  <si>
    <t>Monthly files - In Progress
Cleanup - In progress
Booked - 2.35hrs</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</si>
  <si>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(Kanimozhi)
</t>
    </r>
    <r>
      <rPr>
        <rFont val="Arial"/>
        <color theme="1"/>
      </rPr>
      <t xml:space="preserve">Cleanup - 3 (Inprogress)
</t>
    </r>
    <r>
      <rPr>
        <rFont val="Arial"/>
        <b/>
        <color theme="1"/>
      </rPr>
      <t>Est - 6 Hrs</t>
    </r>
  </si>
  <si>
    <t xml:space="preserve">Booked -0.61hrs, Yet to process. </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</si>
  <si>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(Kanimozhi)
</t>
    </r>
    <r>
      <rPr>
        <rFont val="Arial"/>
        <color theme="1"/>
      </rPr>
      <t xml:space="preserve">Cleanup - 3 (Inprogress)
</t>
    </r>
    <r>
      <rPr>
        <rFont val="Arial"/>
        <b/>
        <color theme="1"/>
      </rPr>
      <t>Est - 1hr</t>
    </r>
  </si>
  <si>
    <t>Monthly files - Query
Cleanup - In progress
Booked - 0.89hrs</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</si>
  <si>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(Kanimozhi)
</t>
    </r>
    <r>
      <rPr>
        <rFont val="Arial"/>
        <color theme="1"/>
      </rPr>
      <t xml:space="preserve">Cleanup - 3 (Inprogress)
</t>
    </r>
    <r>
      <rPr>
        <rFont val="Arial"/>
        <b/>
        <color theme="1"/>
      </rPr>
      <t>Est - 7 hrs</t>
    </r>
  </si>
  <si>
    <t>Monthly files - Query
Cleanup - In progress
Booked - 3hrs</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</si>
  <si>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(Kanimozhi)
</t>
    </r>
    <r>
      <rPr>
        <rFont val="Arial"/>
        <color theme="1"/>
      </rPr>
      <t xml:space="preserve">Cleanup - 3 (Inprogress)
</t>
    </r>
    <r>
      <rPr>
        <rFont val="Arial"/>
        <b/>
        <color theme="1"/>
      </rPr>
      <t>Est - 7 hrs</t>
    </r>
  </si>
  <si>
    <t>Monthly files - Query
Cleanup - In progress
Booked - 0.93hrs</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</si>
  <si>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(Swetha)
</t>
    </r>
    <r>
      <rPr>
        <rFont val="Arial"/>
        <color theme="1"/>
      </rPr>
      <t xml:space="preserve">Cleanup - 3 (Inprogress)
</t>
    </r>
    <r>
      <rPr>
        <rFont val="Arial"/>
        <b/>
        <color theme="1"/>
      </rPr>
      <t>Est - 3 Hrs</t>
    </r>
  </si>
  <si>
    <t>Monthly files - Query
Cleanup - In progress
Booked - 2.57hrs</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</si>
  <si>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t>
    </r>
    <r>
      <rPr>
        <rFont val="Arial"/>
        <color theme="1"/>
      </rPr>
      <t xml:space="preserve">Cleanup - 3 (Inprogress)
</t>
    </r>
    <r>
      <rPr>
        <rFont val="Arial"/>
        <b/>
        <color theme="1"/>
      </rPr>
      <t>Est - 8 Hrs</t>
    </r>
  </si>
  <si>
    <t>Monthly files - Query
Cleanup - In progress
Booked -2.58hrs</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</si>
  <si>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(Kanimozhi)
</t>
    </r>
    <r>
      <rPr>
        <rFont val="Arial"/>
        <color theme="1"/>
      </rPr>
      <t xml:space="preserve">Cleanup - 3 (Inprogress)
</t>
    </r>
    <r>
      <rPr>
        <rFont val="Arial"/>
        <b/>
        <color theme="1"/>
      </rPr>
      <t>Est - 3 Hrs</t>
    </r>
  </si>
  <si>
    <t>Monthly files - Query
Cleanup - In progress
Booked -2.53hrs</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</si>
  <si>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(Kanimozhi)
</t>
    </r>
    <r>
      <rPr>
        <rFont val="Arial"/>
        <color theme="1"/>
      </rPr>
      <t xml:space="preserve">Cleanup - 3 (Inprogress)
</t>
    </r>
    <r>
      <rPr>
        <rFont val="Arial"/>
        <b/>
        <color theme="1"/>
      </rPr>
      <t>Est - 9 Hrs</t>
    </r>
  </si>
  <si>
    <t>Monthly files - Query
Cleanup - Posted query
Booked -10.77 hrs</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</si>
  <si>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(Kanimozhi)
</t>
    </r>
    <r>
      <rPr>
        <rFont val="Arial"/>
        <color theme="1"/>
      </rPr>
      <t xml:space="preserve">Cleanup - 3 (Inprogress)
</t>
    </r>
    <r>
      <rPr>
        <rFont val="Arial"/>
        <b/>
        <color theme="1"/>
      </rPr>
      <t>Est - 8 Hrs</t>
    </r>
  </si>
  <si>
    <t>Monthly files - Query
Cleanup - Posted query
Booked -4.33hrs</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</si>
  <si>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(Kanimozhi)
</t>
    </r>
    <r>
      <rPr>
        <rFont val="Arial"/>
        <color theme="1"/>
      </rPr>
      <t xml:space="preserve">Cleanup - 3 (Inprogress)
</t>
    </r>
    <r>
      <rPr>
        <rFont val="Arial"/>
        <b/>
        <color theme="1"/>
      </rPr>
      <t>Est - 8 Hrs</t>
    </r>
  </si>
  <si>
    <t>Monthly files - Query
Cleanup - Posted query
Booked -9.16 hrs</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</si>
  <si>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(Kanimozhi)
</t>
    </r>
    <r>
      <rPr>
        <rFont val="Arial"/>
        <color theme="1"/>
      </rPr>
      <t xml:space="preserve">Cleanup - 3 (Inprogress)
</t>
    </r>
    <r>
      <rPr>
        <rFont val="Arial"/>
        <b/>
        <color theme="1"/>
      </rPr>
      <t>Est - 8 Hrs</t>
    </r>
  </si>
  <si>
    <t>Monthly files - Query
Cleanup - Posted query
Booked - hrs - 7.15</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</si>
  <si>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(Kanimozhi)
</t>
    </r>
    <r>
      <rPr>
        <rFont val="Arial"/>
        <color theme="1"/>
      </rPr>
      <t xml:space="preserve">Cleanup - 3 (Inprogress)
</t>
    </r>
    <r>
      <rPr>
        <rFont val="Arial"/>
        <b/>
        <color theme="1"/>
      </rPr>
      <t>Est - 8 Hrs</t>
    </r>
  </si>
  <si>
    <t>Monthly files - Query
Cleanup - Posted query
Booked - hrs - 3.57hrs</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</si>
  <si>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(Kanimozhi)
</t>
    </r>
    <r>
      <rPr>
        <rFont val="Arial"/>
        <color theme="1"/>
      </rPr>
      <t xml:space="preserve">Cleanup - 3 (Query)
</t>
    </r>
    <r>
      <rPr>
        <rFont val="Arial"/>
        <b/>
        <color theme="1"/>
      </rPr>
      <t>Est - 8 Hrs</t>
    </r>
  </si>
  <si>
    <t>Monthly files - Query
Cleanup - Posted query
Booked -2.89 hrs</t>
  </si>
  <si>
    <r>
      <rPr>
        <rFont val="Arial"/>
        <b/>
        <color rgb="FF0000FF"/>
      </rPr>
      <t>Total Monthly Files - 8</t>
    </r>
    <r>
      <rPr>
        <rFont val="Arial"/>
        <color theme="1"/>
      </rPr>
      <t xml:space="preserve">
Posted query - 0
In progress - 0
Yet to start - 8
Review -0
Completed - 0
</t>
    </r>
    <r>
      <rPr>
        <rFont val="Arial"/>
        <b/>
        <color rgb="FF0000FF"/>
      </rPr>
      <t xml:space="preserve">Daily task - 15 (Kanimozhi)
</t>
    </r>
    <r>
      <rPr>
        <rFont val="Arial"/>
        <color theme="1"/>
      </rPr>
      <t xml:space="preserve">Cleanup - 3 (Query)
</t>
    </r>
    <r>
      <rPr>
        <rFont val="Arial"/>
        <b/>
        <color theme="1"/>
      </rPr>
      <t>Est - 4 Hrs</t>
    </r>
  </si>
  <si>
    <t>Monthly files - 2 Query, 6 Inprogress
Cleanup - Posted query
Booked -2.06 hrs</t>
  </si>
  <si>
    <r>
      <rPr>
        <rFont val="Arial"/>
        <b/>
        <color rgb="FF0000FF"/>
      </rPr>
      <t>Total Monthly Files - 8</t>
    </r>
    <r>
      <rPr>
        <rFont val="Arial"/>
        <color theme="1"/>
      </rPr>
      <t xml:space="preserve">
Posted query - 0
In progress - 1
Yet to start - 7
Review -0
Completed - 0
</t>
    </r>
    <r>
      <rPr>
        <rFont val="Arial"/>
        <b/>
        <color rgb="FF0000FF"/>
      </rPr>
      <t xml:space="preserve">Daily task - 15 (Nidisha)
</t>
    </r>
    <r>
      <rPr>
        <rFont val="Arial"/>
        <color theme="1"/>
      </rPr>
      <t xml:space="preserve">Cleanup - 3 (Query)
</t>
    </r>
    <r>
      <rPr>
        <rFont val="Arial"/>
        <b/>
        <color theme="1"/>
      </rPr>
      <t>Est - 4 Hrs</t>
    </r>
  </si>
  <si>
    <t>Monthly files - 2 Query, 6 Inprogress
Cleanup - Posted query
Booked -3.26 hrs</t>
  </si>
  <si>
    <r>
      <rPr>
        <rFont val="Arial"/>
        <b/>
        <color rgb="FF0000FF"/>
      </rPr>
      <t>Total Monthly Files - 8</t>
    </r>
    <r>
      <rPr>
        <rFont val="Arial"/>
        <color theme="1"/>
      </rPr>
      <t xml:space="preserve">
Posted query - 0
In progress - 2
Yet to start - 5
Review -0
Completed - 0
</t>
    </r>
    <r>
      <rPr>
        <rFont val="Arial"/>
        <b/>
        <color rgb="FF0000FF"/>
      </rPr>
      <t xml:space="preserve">Daily task - 15 (Nidisha)
</t>
    </r>
    <r>
      <rPr>
        <rFont val="Arial"/>
        <color theme="1"/>
      </rPr>
      <t xml:space="preserve">Cleanup - 3 (Query)
</t>
    </r>
    <r>
      <rPr>
        <rFont val="Arial"/>
        <b/>
        <color theme="1"/>
      </rPr>
      <t>Est - 4 Hrs</t>
    </r>
  </si>
  <si>
    <t>Monthly files - 2 Query, 6 Inprogress
Cleanup - Posted query
Booked -5.51hrs</t>
  </si>
  <si>
    <r>
      <rPr>
        <rFont val="Arial"/>
        <b/>
        <color rgb="FF0000FF"/>
      </rPr>
      <t>Total Monthly Files - 8</t>
    </r>
    <r>
      <rPr>
        <rFont val="Arial"/>
        <color theme="1"/>
      </rPr>
      <t xml:space="preserve">
Posted query - 0
In progress - 2
Yet to start - 5
Review -0
Completed - 0
</t>
    </r>
    <r>
      <rPr>
        <rFont val="Arial"/>
        <b/>
        <color rgb="FF0000FF"/>
      </rPr>
      <t xml:space="preserve">Daily task - 15 (Nidisha)
</t>
    </r>
    <r>
      <rPr>
        <rFont val="Arial"/>
        <color theme="1"/>
      </rPr>
      <t xml:space="preserve">Cleanup - 3 (Query)
</t>
    </r>
    <r>
      <rPr>
        <rFont val="Arial"/>
        <b/>
        <color theme="1"/>
      </rPr>
      <t>Est - 4 Hrs</t>
    </r>
  </si>
  <si>
    <t>Monthly files - 2 Query, 6 Inprogress
Cleanup - Posted query
Booked -2.07 hrs</t>
  </si>
  <si>
    <r>
      <rPr>
        <rFont val="Arial"/>
        <b/>
        <color rgb="FF0000FF"/>
      </rPr>
      <t>Total Monthly Files - 8</t>
    </r>
    <r>
      <rPr>
        <rFont val="Arial"/>
        <color theme="1"/>
      </rPr>
      <t xml:space="preserve">
Posted query - 0
In progress - 2
Yet to start - 5
Review -0
Completed - 0
</t>
    </r>
    <r>
      <rPr>
        <rFont val="Arial"/>
        <b/>
        <color rgb="FF0000FF"/>
      </rPr>
      <t xml:space="preserve">Daily task - 15 (Kanimozhi &amp; Pavithira)
</t>
    </r>
    <r>
      <rPr>
        <rFont val="Arial"/>
        <color theme="1"/>
      </rPr>
      <t xml:space="preserve">Cleanup - 3 (Query)
</t>
    </r>
    <r>
      <rPr>
        <rFont val="Arial"/>
        <b/>
        <color theme="1"/>
      </rPr>
      <t>Est - 4 Hrs</t>
    </r>
  </si>
  <si>
    <t>Monthly files - 2 Query, 6 Inprogress
Cleanup - Posted query
Booked - 0.29 hrs</t>
  </si>
  <si>
    <r>
      <rPr>
        <rFont val="Arial"/>
        <b/>
        <color rgb="FF0000FF"/>
      </rPr>
      <t>Total Monthly Files - 7</t>
    </r>
    <r>
      <rPr>
        <rFont val="Arial"/>
        <color theme="1"/>
      </rPr>
      <t xml:space="preserve">
Posted query - 0
In progress - 3
Yet to start - 4
Review -0
Completed - 0
</t>
    </r>
    <r>
      <rPr>
        <rFont val="Arial"/>
        <b/>
        <color rgb="FF0000FF"/>
      </rPr>
      <t xml:space="preserve">Daily task - 15 (Pavithira)
</t>
    </r>
    <r>
      <rPr>
        <rFont val="Arial"/>
        <color theme="1"/>
      </rPr>
      <t xml:space="preserve">Cleanup - 3 (Inprocess)
</t>
    </r>
    <r>
      <rPr>
        <rFont val="Arial"/>
        <b/>
        <color theme="1"/>
      </rPr>
      <t>Est - 4 Hrs</t>
    </r>
  </si>
  <si>
    <t>Monthly files - 2 Query, 6 Inprogress
Cleanup - Posted query
Booked - 5.93hrs</t>
  </si>
  <si>
    <r>
      <rPr>
        <rFont val="Arial"/>
        <b/>
        <color rgb="FF0000FF"/>
      </rPr>
      <t>Total Monthly Files - 7</t>
    </r>
    <r>
      <rPr>
        <rFont val="Arial"/>
        <color theme="1"/>
      </rPr>
      <t xml:space="preserve">
Posted query - 0
In progress - 3
Yet to start - 4
Review -0
Completed - 0
</t>
    </r>
    <r>
      <rPr>
        <rFont val="Arial"/>
        <b/>
        <color rgb="FF0000FF"/>
      </rPr>
      <t xml:space="preserve">Daily task - 15 (Pavithira)
</t>
    </r>
    <r>
      <rPr>
        <rFont val="Arial"/>
        <color theme="1"/>
      </rPr>
      <t xml:space="preserve">Cleanup - 3 (Inprocess)
</t>
    </r>
    <r>
      <rPr>
        <rFont val="Arial"/>
        <b/>
        <color theme="1"/>
      </rPr>
      <t>Est - 4 Hrs</t>
    </r>
  </si>
  <si>
    <t>Monthly files - 2 Query, 6 Inprogress
Cleanup - Posted query
Booked - 5.57hrs</t>
  </si>
  <si>
    <r>
      <rPr>
        <rFont val="Arial"/>
        <b/>
        <color rgb="FF0000FF"/>
      </rPr>
      <t>Total Monthly Files - 7</t>
    </r>
    <r>
      <rPr>
        <rFont val="Arial"/>
        <color theme="1"/>
      </rPr>
      <t xml:space="preserve">
Posted query - 0
In progress - 3
Yet to start - 4
Review -0
Completed - 0
</t>
    </r>
    <r>
      <rPr>
        <rFont val="Arial"/>
        <b/>
        <color rgb="FF0000FF"/>
      </rPr>
      <t xml:space="preserve">Daily task - 15 (Pavithira)
</t>
    </r>
    <r>
      <rPr>
        <rFont val="Arial"/>
        <color theme="1"/>
      </rPr>
      <t xml:space="preserve">Cleanup - 3 (Inprocess)
</t>
    </r>
    <r>
      <rPr>
        <rFont val="Arial"/>
        <b/>
        <color theme="1"/>
      </rPr>
      <t>Est - 4 Hrs</t>
    </r>
  </si>
  <si>
    <t>Monthly files - 2 Query, 6 Inprogress
Cleanup - Posted query
Booked - 4.20hrs</t>
  </si>
  <si>
    <r>
      <rPr>
        <rFont val="Arial"/>
        <b/>
        <color rgb="FF0000FF"/>
      </rPr>
      <t>Total Monthly Files - 7</t>
    </r>
    <r>
      <rPr>
        <rFont val="Arial"/>
        <color theme="1"/>
      </rPr>
      <t xml:space="preserve">
Posted query - 0
In progress - 3
Yet to start - 4
Review -0
Completed - 0
</t>
    </r>
    <r>
      <rPr>
        <rFont val="Arial"/>
        <b/>
        <color rgb="FF0000FF"/>
      </rPr>
      <t xml:space="preserve">Daily task - 15 (Pavithira)
</t>
    </r>
    <r>
      <rPr>
        <rFont val="Arial"/>
        <color theme="1"/>
      </rPr>
      <t xml:space="preserve">Cleanup - 3 (Inprocess)
</t>
    </r>
    <r>
      <rPr>
        <rFont val="Arial"/>
        <b/>
        <color theme="1"/>
      </rPr>
      <t>Est - 4 Hrs</t>
    </r>
  </si>
  <si>
    <t>Monthly files - 2 Query, 6 Inprogress
Cleanup - Posted query
Booked - 4.62hrs</t>
  </si>
  <si>
    <r>
      <rPr>
        <rFont val="Arial"/>
        <b/>
        <color rgb="FF0000FF"/>
      </rPr>
      <t>Total Monthly Files - 7</t>
    </r>
    <r>
      <rPr>
        <rFont val="Arial"/>
        <color theme="1"/>
      </rPr>
      <t xml:space="preserve">
Posted query - 0
In progress - 3
Yet to start - 4
Review -0
Completed - 0
</t>
    </r>
    <r>
      <rPr>
        <rFont val="Arial"/>
        <b/>
        <color rgb="FF0000FF"/>
      </rPr>
      <t xml:space="preserve">Daily task - 15 (Pavithira)
</t>
    </r>
    <r>
      <rPr>
        <rFont val="Arial"/>
        <color theme="1"/>
      </rPr>
      <t xml:space="preserve">Cleanup - 3 (Inprocess)
</t>
    </r>
    <r>
      <rPr>
        <rFont val="Arial"/>
        <b/>
        <color theme="1"/>
      </rPr>
      <t>Est - 4 Hrs</t>
    </r>
  </si>
  <si>
    <t>Monthly files - 2 Query, 6 Inprogress
Cleanup - Posted query
Booked - 3.66 hrs</t>
  </si>
  <si>
    <r>
      <rPr>
        <rFont val="Arial"/>
        <b/>
        <color rgb="FF0000FF"/>
      </rPr>
      <t>Total Monthly Files - 7</t>
    </r>
    <r>
      <rPr>
        <rFont val="Arial"/>
        <color theme="1"/>
      </rPr>
      <t xml:space="preserve">
Posted query - 0
In progress - 3
Yet to start - 4
Review -0
Completed - 0
</t>
    </r>
    <r>
      <rPr>
        <rFont val="Arial"/>
        <b/>
        <color rgb="FF0000FF"/>
      </rPr>
      <t xml:space="preserve">Daily task - 15 (Pavithira)
</t>
    </r>
    <r>
      <rPr>
        <rFont val="Arial"/>
        <color theme="1"/>
      </rPr>
      <t xml:space="preserve">Cleanup - 3 (Inprocess)
</t>
    </r>
    <r>
      <rPr>
        <rFont val="Arial"/>
        <b/>
        <color theme="1"/>
      </rPr>
      <t>Est - 4 Hrs</t>
    </r>
  </si>
  <si>
    <t>Monthly files - 2 Query, 6 Inprogress
Cleanup - Posted query
Booked - 3.55 hrs</t>
  </si>
  <si>
    <r>
      <rPr>
        <rFont val="Arial"/>
        <b/>
        <color rgb="FF0000FF"/>
      </rPr>
      <t>Total Monthly Files - 7</t>
    </r>
    <r>
      <rPr>
        <rFont val="Arial"/>
        <color theme="1"/>
      </rPr>
      <t xml:space="preserve">
Posted query - 0
In progress - 3
Yet to start - 4
Review -0
Completed - 0
</t>
    </r>
    <r>
      <rPr>
        <rFont val="Arial"/>
        <b/>
        <color rgb="FF0000FF"/>
      </rPr>
      <t xml:space="preserve">Daily task - 15 (Pavithira)
</t>
    </r>
    <r>
      <rPr>
        <rFont val="Arial"/>
        <color theme="1"/>
      </rPr>
      <t xml:space="preserve">Cleanup - 3 (Inprocess)
</t>
    </r>
    <r>
      <rPr>
        <rFont val="Arial"/>
        <b/>
        <color theme="1"/>
      </rPr>
      <t>Est - 4 Hrs</t>
    </r>
  </si>
  <si>
    <t>Monthly files - 2 Query, 6 Inprogress
Cleanup - Posted query
Booked - 5.35 hrs</t>
  </si>
  <si>
    <r>
      <rPr>
        <rFont val="Arial"/>
        <b/>
        <color rgb="FF0000FF"/>
      </rPr>
      <t>Total Monthly Files - 7</t>
    </r>
    <r>
      <rPr>
        <rFont val="Arial"/>
        <color theme="1"/>
      </rPr>
      <t xml:space="preserve">
Posted query - 0
In progress - 3
Yet to start - 4
Review -0
Completed - 0
</t>
    </r>
    <r>
      <rPr>
        <rFont val="Arial"/>
        <b/>
        <color rgb="FF0000FF"/>
      </rPr>
      <t xml:space="preserve">Daily task - 15 (Pavithira)
</t>
    </r>
    <r>
      <rPr>
        <rFont val="Arial"/>
        <color theme="1"/>
      </rPr>
      <t xml:space="preserve">Cleanup - 3 (Inprocess)
</t>
    </r>
    <r>
      <rPr>
        <rFont val="Arial"/>
        <b/>
        <color theme="1"/>
      </rPr>
      <t>Est - 4 Hrs</t>
    </r>
  </si>
  <si>
    <t>Monthly files - 7 Inprogress
Cleanup - Posted query
Booked - 5.10 hrs</t>
  </si>
  <si>
    <r>
      <rPr>
        <rFont val="Arial"/>
        <b/>
        <color rgb="FF0000FF"/>
      </rPr>
      <t>Total Monthly Files - 7</t>
    </r>
    <r>
      <rPr>
        <rFont val="Arial"/>
        <color theme="1"/>
      </rPr>
      <t xml:space="preserve">
Posted query - 0
In progress - 7
Yet to start - 0 
Review -0
Completed - 0
</t>
    </r>
    <r>
      <rPr>
        <rFont val="Arial"/>
        <b/>
        <color rgb="FF0000FF"/>
      </rPr>
      <t xml:space="preserve">Daily task - 15 (Pavithira)
</t>
    </r>
    <r>
      <rPr>
        <rFont val="Arial"/>
        <color theme="1"/>
      </rPr>
      <t xml:space="preserve">Cleanup - 3 (Inprocess)
</t>
    </r>
    <r>
      <rPr>
        <rFont val="Arial"/>
        <b/>
        <color theme="1"/>
      </rPr>
      <t>Est - 4 Hrs</t>
    </r>
  </si>
  <si>
    <t>Monthly files - 7 Inprogress
Cleanup - Posted query
Booked - 1.41hrs</t>
  </si>
  <si>
    <r>
      <rPr>
        <rFont val="Arial"/>
        <b/>
        <color rgb="FF0000FF"/>
      </rPr>
      <t>Total Monthly Files - 7</t>
    </r>
    <r>
      <rPr>
        <rFont val="Arial"/>
        <color theme="1"/>
      </rPr>
      <t xml:space="preserve">
Posted query - 0
In progress - 7
Yet to start - 0
Review -0
Completed - 0
</t>
    </r>
    <r>
      <rPr>
        <rFont val="Arial"/>
        <b/>
        <color rgb="FF0000FF"/>
      </rPr>
      <t xml:space="preserve">Daily task - 15 (Pavithira)
</t>
    </r>
    <r>
      <rPr>
        <rFont val="Arial"/>
        <color theme="1"/>
      </rPr>
      <t xml:space="preserve">Cleanup - 3 (Query)
</t>
    </r>
    <r>
      <rPr>
        <rFont val="Arial"/>
        <b/>
        <color theme="1"/>
      </rPr>
      <t>Est - 4 Hrs</t>
    </r>
  </si>
  <si>
    <t>Monthly files - 7 Inprogress
Cleanup - Posted query
Booked - 2.25 hrs</t>
  </si>
  <si>
    <r>
      <rPr>
        <rFont val="Arial"/>
        <b/>
        <color rgb="FF0000FF"/>
      </rPr>
      <t>Total Monthly Files - 7</t>
    </r>
    <r>
      <rPr>
        <rFont val="Arial"/>
        <color theme="1"/>
      </rPr>
      <t xml:space="preserve">
Posted query - 0
In progress - 7
Yet to start - 0
Review -0
Completed - 0
</t>
    </r>
    <r>
      <rPr>
        <rFont val="Arial"/>
        <b/>
        <color rgb="FF0000FF"/>
      </rPr>
      <t xml:space="preserve">Daily task - 0 (Pavithira)
</t>
    </r>
    <r>
      <rPr>
        <rFont val="Arial"/>
        <color theme="1"/>
      </rPr>
      <t xml:space="preserve">Cleanup - 3 (Query)
</t>
    </r>
    <r>
      <rPr>
        <rFont val="Arial"/>
        <b/>
        <color theme="1"/>
      </rPr>
      <t>Est - 4 Hrs</t>
    </r>
  </si>
  <si>
    <t>Monthly files - 7 Inprogress
Cleanup - Posted query
Booked - 2.10 hrs</t>
  </si>
  <si>
    <r>
      <rPr>
        <rFont val="Arial"/>
        <b/>
        <color rgb="FF0000FF"/>
      </rPr>
      <t>Total Monthly Files - 7</t>
    </r>
    <r>
      <rPr>
        <rFont val="Arial"/>
        <color theme="1"/>
      </rPr>
      <t xml:space="preserve">
Posted query - 0
In progress - 7
Yet to start - 0
Review -0
Completed - 0
</t>
    </r>
    <r>
      <rPr>
        <rFont val="Arial"/>
        <b/>
        <color rgb="FF0000FF"/>
      </rPr>
      <t xml:space="preserve">Daily task - 0 (Pavithira)
</t>
    </r>
    <r>
      <rPr>
        <rFont val="Arial"/>
        <color theme="1"/>
      </rPr>
      <t xml:space="preserve">Cleanup - 3 (Query)
</t>
    </r>
    <r>
      <rPr>
        <rFont val="Arial"/>
        <b/>
        <color theme="1"/>
      </rPr>
      <t>Est - 4 Hrs</t>
    </r>
  </si>
  <si>
    <t>Monthly files - 7 Inprogress
Cleanup - Posted query
Booked - 4.40 hrs</t>
  </si>
  <si>
    <r>
      <rPr>
        <rFont val="Arial"/>
        <b/>
        <color rgb="FF0000FF"/>
      </rPr>
      <t>Total Monthly Files - 7</t>
    </r>
    <r>
      <rPr>
        <rFont val="Arial"/>
        <color theme="1"/>
      </rPr>
      <t xml:space="preserve">
Posted query - 0
In progress - 7
Yet to start - 0
Review -0
Completed - 0
</t>
    </r>
    <r>
      <rPr>
        <rFont val="Arial"/>
        <b/>
        <color rgb="FF0000FF"/>
      </rPr>
      <t xml:space="preserve">Daily task - 0 (Pavithira)
</t>
    </r>
    <r>
      <rPr>
        <rFont val="Arial"/>
        <color theme="1"/>
      </rPr>
      <t xml:space="preserve">Cleanup - 3 (Query)
</t>
    </r>
    <r>
      <rPr>
        <rFont val="Arial"/>
        <b/>
        <color theme="1"/>
      </rPr>
      <t>Est - 4 Hrs</t>
    </r>
  </si>
  <si>
    <t>Monthly files - 7 Inprogress
Cleanup - Posted query
Booked - 4.55 hrs</t>
  </si>
  <si>
    <r>
      <rPr>
        <rFont val="Arial"/>
        <b/>
        <color rgb="FF0000FF"/>
      </rPr>
      <t>Total Monthly Files - 7</t>
    </r>
    <r>
      <rPr>
        <rFont val="Arial"/>
        <color theme="1"/>
      </rPr>
      <t xml:space="preserve">
Posted query - 0
In progress - 7
Yet to start - 0
Review -0
Completed - 0
</t>
    </r>
    <r>
      <rPr>
        <rFont val="Arial"/>
        <b/>
        <color rgb="FF0000FF"/>
      </rPr>
      <t xml:space="preserve">Daily task - 0 (Pavithira)
</t>
    </r>
    <r>
      <rPr>
        <rFont val="Arial"/>
        <color theme="1"/>
      </rPr>
      <t xml:space="preserve">Cleanup - 3 (Inprocess)
</t>
    </r>
    <r>
      <rPr>
        <rFont val="Arial"/>
        <b/>
        <color theme="1"/>
      </rPr>
      <t>Est - 4 Hrs</t>
    </r>
  </si>
  <si>
    <r>
      <rPr>
        <rFont val="Arial"/>
        <b/>
        <color rgb="FF0000FF"/>
      </rPr>
      <t>Total Monthly Files - 7</t>
    </r>
    <r>
      <rPr>
        <rFont val="Arial"/>
        <color theme="1"/>
      </rPr>
      <t xml:space="preserve">
Posted query - 0
In progress - 7
Yet to start - 0
Review -0
Completed - 0
</t>
    </r>
    <r>
      <rPr>
        <rFont val="Arial"/>
        <b/>
        <color rgb="FF0000FF"/>
      </rPr>
      <t xml:space="preserve">Daily task - 0 (Pavithira)
</t>
    </r>
    <r>
      <rPr>
        <rFont val="Arial"/>
        <color theme="1"/>
      </rPr>
      <t xml:space="preserve">Cleanup - 3 (Query)
</t>
    </r>
    <r>
      <rPr>
        <rFont val="Arial"/>
        <b/>
        <color theme="1"/>
      </rPr>
      <t>Est - 4 Hrs</t>
    </r>
  </si>
  <si>
    <t>Monthly files - 7 Inprogress
Cleanup - Posted query
Booked - 10 mins</t>
  </si>
  <si>
    <r>
      <rPr>
        <rFont val="Arial"/>
        <b/>
        <color rgb="FF0000FF"/>
      </rPr>
      <t>Total Monthly Files - 7</t>
    </r>
    <r>
      <rPr>
        <rFont val="Arial"/>
        <color theme="1"/>
      </rPr>
      <t xml:space="preserve">
Posted query - 0
In progress - 
Yet to start - 7
Review -0
Completed - 0
</t>
    </r>
    <r>
      <rPr>
        <rFont val="Arial"/>
        <b/>
        <color rgb="FF0000FF"/>
      </rPr>
      <t xml:space="preserve">Daily task - 0 (Pavithira)
</t>
    </r>
    <r>
      <rPr>
        <rFont val="Arial"/>
        <color theme="1"/>
      </rPr>
      <t xml:space="preserve">Cleanup - 3 (Query)
</t>
    </r>
    <r>
      <rPr>
        <rFont val="Arial"/>
        <b/>
        <color theme="1"/>
      </rPr>
      <t>Est - 4 Hrs</t>
    </r>
  </si>
  <si>
    <t>Monthly files - 7 Prepare
Cleanup - Posted query
Booked - 0 mins</t>
  </si>
  <si>
    <r>
      <rPr>
        <rFont val="Arial"/>
        <b/>
        <color rgb="FF0000FF"/>
      </rPr>
      <t>Total Monthly Files - 7</t>
    </r>
    <r>
      <rPr>
        <rFont val="Arial"/>
        <color theme="1"/>
      </rPr>
      <t xml:space="preserve">
Posted query - 0
In progress - 
Yet to start - 7
Review -0
Completed - 0
</t>
    </r>
    <r>
      <rPr>
        <rFont val="Arial"/>
        <b/>
        <color rgb="FF0000FF"/>
      </rPr>
      <t xml:space="preserve">Daily task - 1 (Pavithira)
</t>
    </r>
    <r>
      <rPr>
        <rFont val="Arial"/>
        <color theme="1"/>
      </rPr>
      <t xml:space="preserve">Cleanup - 3 (Inprocess)
</t>
    </r>
    <r>
      <rPr>
        <rFont val="Arial"/>
        <b/>
        <color theme="1"/>
      </rPr>
      <t>Est - 4 Hrs</t>
    </r>
  </si>
  <si>
    <t>Monthly files - 1 Inprocess
Cleanup - Posted query
Booked - 45 mins</t>
  </si>
  <si>
    <t>Payroll clearing rec - Priority</t>
  </si>
  <si>
    <r>
      <rPr>
        <rFont val="Arial"/>
        <b/>
        <color rgb="FF0000FF"/>
      </rPr>
      <t>Total Monthly Files - 7</t>
    </r>
    <r>
      <rPr>
        <rFont val="Arial"/>
        <color theme="1"/>
      </rPr>
      <t xml:space="preserve">
Posted query - 0
In progress - 
Yet to start - 7
Review -0
Completed - 0
</t>
    </r>
    <r>
      <rPr>
        <rFont val="Arial"/>
        <b/>
        <color rgb="FF0000FF"/>
      </rPr>
      <t xml:space="preserve">Daily task - 1 (Pavithira)
</t>
    </r>
    <r>
      <rPr>
        <rFont val="Arial"/>
        <color theme="1"/>
      </rPr>
      <t xml:space="preserve">Cleanup - 3 (Inprocess)
</t>
    </r>
    <r>
      <rPr>
        <rFont val="Arial"/>
        <b/>
        <color theme="1"/>
      </rPr>
      <t>Est - 4 Hrs</t>
    </r>
  </si>
  <si>
    <t>Monthly files - 1 Inprocess
Cleanup - Posted query
Booked - 4.20 hrs</t>
  </si>
  <si>
    <t xml:space="preserve">Message from Rebecca - There are still several uncleared expenses in the Wells Fargo account that should have been cleared up already as they were duplicates.  I’m not sure when there was changed in staff, but the previous person should have informed anyone working on the account.  
Also , please make sure when a spreadsheet is sent to the client it doesn't say MPLLC question. You can put Accounting Benefit Solutions or ABS but should never reference Money Penny. </t>
  </si>
  <si>
    <r>
      <rPr>
        <rFont val="Arial"/>
        <b/>
        <color rgb="FF0000FF"/>
      </rPr>
      <t>Total Monthly Files - 7</t>
    </r>
    <r>
      <rPr>
        <rFont val="Arial"/>
        <color theme="1"/>
      </rPr>
      <t xml:space="preserve">
Posted query - 0
In progress - 
Yet to start - 7
Review -0
Completed - 0
</t>
    </r>
    <r>
      <rPr>
        <rFont val="Arial"/>
        <b/>
        <color rgb="FF0000FF"/>
      </rPr>
      <t xml:space="preserve">Daily task - 1 (Pavithira)
</t>
    </r>
    <r>
      <rPr>
        <rFont val="Arial"/>
        <color theme="1"/>
      </rPr>
      <t xml:space="preserve">Cleanup - 3 (Inprocess)
</t>
    </r>
    <r>
      <rPr>
        <rFont val="Arial"/>
        <b/>
        <color theme="1"/>
      </rPr>
      <t>Est - 4 Hrs</t>
    </r>
  </si>
  <si>
    <t>Monthly files - 1 Inprocess
Cleanup - Posted query
Booked - 3.05 hrs</t>
  </si>
  <si>
    <r>
      <rPr>
        <rFont val="Arial"/>
        <b/>
        <color rgb="FF0000FF"/>
      </rPr>
      <t>Total Monthly Files - 7</t>
    </r>
    <r>
      <rPr>
        <rFont val="Arial"/>
        <color theme="1"/>
      </rPr>
      <t xml:space="preserve">
Posted query - 0
In progress - 
Yet to start - 7
Review -0
Completed - 0
</t>
    </r>
    <r>
      <rPr>
        <rFont val="Arial"/>
        <b/>
        <color rgb="FF0000FF"/>
      </rPr>
      <t xml:space="preserve">Daily task - 1 (Pavithira)
</t>
    </r>
    <r>
      <rPr>
        <rFont val="Arial"/>
        <color theme="1"/>
      </rPr>
      <t xml:space="preserve">Cleanup - 3 (Inprocess)
</t>
    </r>
    <r>
      <rPr>
        <rFont val="Arial"/>
        <b/>
        <color theme="1"/>
      </rPr>
      <t>Est - 4 Hrs</t>
    </r>
  </si>
  <si>
    <t>Monthly files - 1 Inprocess
Cleanup - Posted query
Booked - 1 hrs</t>
  </si>
  <si>
    <r>
      <rPr>
        <rFont val="Arial"/>
        <b/>
        <color rgb="FF0000FF"/>
      </rPr>
      <t>Total Monthly Files - 7</t>
    </r>
    <r>
      <rPr>
        <rFont val="Arial"/>
        <color theme="1"/>
      </rPr>
      <t xml:space="preserve">
Posted query - 0
In progress - 
Yet to start - 7
Review -0
Completed - 0
</t>
    </r>
    <r>
      <rPr>
        <rFont val="Arial"/>
        <b/>
        <color rgb="FF0000FF"/>
      </rPr>
      <t xml:space="preserve">Daily task - 1 (Pavithira)
</t>
    </r>
    <r>
      <rPr>
        <rFont val="Arial"/>
        <color theme="1"/>
      </rPr>
      <t xml:space="preserve">Cleanup - 3 (Inprocess)
</t>
    </r>
    <r>
      <rPr>
        <rFont val="Arial"/>
        <b/>
        <color theme="1"/>
      </rPr>
      <t>Est - 4 Hrs</t>
    </r>
  </si>
  <si>
    <t>Monthly files - 1 Inprocess
Cleanup - Posted query
Booked - 2.44 hrs</t>
  </si>
  <si>
    <r>
      <rPr>
        <rFont val="Arial"/>
        <b/>
        <color rgb="FF0000FF"/>
      </rPr>
      <t>Total Monthly Files - 7</t>
    </r>
    <r>
      <rPr>
        <rFont val="Arial"/>
        <color theme="1"/>
      </rPr>
      <t xml:space="preserve">
Posted query - 0
In progress - 
Yet to start - 7
Review -0
Completed - 0
</t>
    </r>
    <r>
      <rPr>
        <rFont val="Arial"/>
        <b/>
        <color rgb="FF0000FF"/>
      </rPr>
      <t xml:space="preserve">Daily task - 1 (Pavithira)
</t>
    </r>
    <r>
      <rPr>
        <rFont val="Arial"/>
        <color theme="1"/>
      </rPr>
      <t xml:space="preserve">Cleanup - 3 (Inprocess)
</t>
    </r>
    <r>
      <rPr>
        <rFont val="Arial"/>
        <b/>
        <color theme="1"/>
      </rPr>
      <t>Est - 4 Hrs</t>
    </r>
  </si>
  <si>
    <t>Monthly files - 1 Inprocess
Cleanup - Posted query
Booked - 5.73 hrs</t>
  </si>
  <si>
    <r>
      <rPr>
        <rFont val="Arial"/>
        <b/>
        <color rgb="FF0000FF"/>
      </rPr>
      <t>Total Monthly Files - 7</t>
    </r>
    <r>
      <rPr>
        <rFont val="Arial"/>
        <color theme="1"/>
      </rPr>
      <t xml:space="preserve">
Posted query - 0
In progress - 1
Yet to start - 6
Review -0
Completed - 0
</t>
    </r>
    <r>
      <rPr>
        <rFont val="Arial"/>
        <b/>
        <color rgb="FF0000FF"/>
      </rPr>
      <t xml:space="preserve">Daily task - 20  (Pavithira)
</t>
    </r>
    <r>
      <rPr>
        <rFont val="Arial"/>
        <color theme="1"/>
      </rPr>
      <t xml:space="preserve">Cleanup - 3 (Inprocess)
</t>
    </r>
    <r>
      <rPr>
        <rFont val="Arial"/>
        <b/>
        <color theme="1"/>
      </rPr>
      <t>Est - 4 Hrs</t>
    </r>
  </si>
  <si>
    <t>Monthly files - 1 Inprocess
Cleanup - Posted query
Booked - 6.24 hrs</t>
  </si>
  <si>
    <r>
      <rPr>
        <rFont val="Arial"/>
        <b/>
        <color rgb="FF0000FF"/>
      </rPr>
      <t>Total Monthly Files - 7</t>
    </r>
    <r>
      <rPr>
        <rFont val="Arial"/>
        <color theme="1"/>
      </rPr>
      <t xml:space="preserve">
Posted query - 0
In progress - 1 (Swetha)
Yet to start - 6
Review -0
Completed - 0
</t>
    </r>
    <r>
      <rPr>
        <rFont val="Arial"/>
        <b/>
        <color rgb="FF0000FF"/>
      </rPr>
      <t xml:space="preserve">Daily task - 20  (Pavithira)
</t>
    </r>
    <r>
      <rPr>
        <rFont val="Arial"/>
        <color theme="1"/>
      </rPr>
      <t xml:space="preserve">Cleanup - 3 (Inprocess)
</t>
    </r>
    <r>
      <rPr>
        <rFont val="Arial"/>
        <b/>
        <color theme="1"/>
      </rPr>
      <t>Est - 4 Hrs</t>
    </r>
  </si>
  <si>
    <t>Monthly files - 3 Inprocess, 1 Completed
Cleanup - Posted query (Review inprocess)
Booked - 7.32 hrs</t>
  </si>
  <si>
    <r>
      <rPr>
        <rFont val="Arial"/>
        <b/>
        <color rgb="FF0000FF"/>
      </rPr>
      <t>Total Monthly Files - 7</t>
    </r>
    <r>
      <rPr>
        <rFont val="Arial"/>
        <color theme="1"/>
      </rPr>
      <t xml:space="preserve">
Posted query - 0
In progress - 3 (Swetha)
Yet to start - 3
Review -0
Completed - 1
</t>
    </r>
    <r>
      <rPr>
        <rFont val="Arial"/>
        <b/>
        <color rgb="FF0000FF"/>
      </rPr>
      <t xml:space="preserve">Daily task - 2  (Pavithira)
</t>
    </r>
    <r>
      <rPr>
        <rFont val="Arial"/>
        <color theme="1"/>
      </rPr>
      <t xml:space="preserve">Cleanup - 3 (Inprocess)
</t>
    </r>
    <r>
      <rPr>
        <rFont val="Arial"/>
        <b/>
        <color theme="1"/>
      </rPr>
      <t>Est - 4 Hrs</t>
    </r>
  </si>
  <si>
    <t>Monthly files - 2 Inprocess, 2 Completed
Cleanup - Posted query (Review inprocess)
Booked - 3.64hrs</t>
  </si>
  <si>
    <r>
      <rPr>
        <rFont val="Arial"/>
        <b/>
        <color rgb="FF0000FF"/>
      </rPr>
      <t>Total Monthly Files - 7</t>
    </r>
    <r>
      <rPr>
        <rFont val="Arial"/>
        <color theme="1"/>
      </rPr>
      <t xml:space="preserve">
Posted query - 0
In progress - 5
Yet to start - 0
Review -0
Completed - 2
</t>
    </r>
    <r>
      <rPr>
        <rFont val="Arial"/>
        <b/>
        <color rgb="FF0000FF"/>
      </rPr>
      <t xml:space="preserve">Daily task - 0 (Pavithira)
</t>
    </r>
    <r>
      <rPr>
        <rFont val="Arial"/>
        <color theme="1"/>
      </rPr>
      <t xml:space="preserve">Cleanup - 3 (Inprocess)
</t>
    </r>
    <r>
      <rPr>
        <rFont val="Arial"/>
        <b/>
        <color theme="1"/>
      </rPr>
      <t>Est - 4 Hrs</t>
    </r>
  </si>
  <si>
    <t>Monthly files - 2 Inprocess, 2 Completed
Cleanup - Posted query (Review inprocess)
Booked - 7hrs</t>
  </si>
  <si>
    <r>
      <rPr>
        <rFont val="Arial"/>
        <b/>
        <color rgb="FF0000FF"/>
      </rPr>
      <t>Total Monthly Files - 7</t>
    </r>
    <r>
      <rPr>
        <rFont val="Arial"/>
        <color theme="1"/>
      </rPr>
      <t xml:space="preserve">
Posted query - 0
In progress - 5
Yet to start - 0
Review -0
Completed - 2
</t>
    </r>
    <r>
      <rPr>
        <rFont val="Arial"/>
        <b/>
        <color rgb="FF0000FF"/>
      </rPr>
      <t xml:space="preserve">Daily task - 0 (Pavithira)
</t>
    </r>
    <r>
      <rPr>
        <rFont val="Arial"/>
        <color theme="1"/>
      </rPr>
      <t xml:space="preserve">Cleanup - 3 (Inprocess)
</t>
    </r>
    <r>
      <rPr>
        <rFont val="Arial"/>
        <b/>
        <color theme="1"/>
      </rPr>
      <t>Est - 4 Hrs</t>
    </r>
  </si>
  <si>
    <t>Monthly files - 2 Inprocess, 2 Completed
Cleanup - Posted query (Review inprocess)
Booked - 3hrs</t>
  </si>
  <si>
    <r>
      <rPr>
        <rFont val="Arial"/>
        <b/>
        <color rgb="FF0000FF"/>
      </rPr>
      <t>Total Monthly Files - 7</t>
    </r>
    <r>
      <rPr>
        <rFont val="Arial"/>
        <color theme="1"/>
      </rPr>
      <t xml:space="preserve">
Posted query - 0
In progress - 5
Yet to start - 0
Review -0
Completed - 2
</t>
    </r>
    <r>
      <rPr>
        <rFont val="Arial"/>
        <b/>
        <color rgb="FF0000FF"/>
      </rPr>
      <t xml:space="preserve">Daily task - 0 (Pavithira)
</t>
    </r>
    <r>
      <rPr>
        <rFont val="Arial"/>
        <color theme="1"/>
      </rPr>
      <t xml:space="preserve">Cleanup - 3 (Inprocess)
</t>
    </r>
    <r>
      <rPr>
        <rFont val="Arial"/>
        <b/>
        <color theme="1"/>
      </rPr>
      <t>Est - 4 Hrs</t>
    </r>
  </si>
  <si>
    <t>Monthly files - 5 Inprocess, 2 Completed
Cleanup - Posted query (Review inprocess)
Booked - 5.32 hrs</t>
  </si>
  <si>
    <r>
      <rPr>
        <rFont val="Arial"/>
        <b/>
        <color rgb="FF0000FF"/>
      </rPr>
      <t>Total Monthly Files - 7</t>
    </r>
    <r>
      <rPr>
        <rFont val="Arial"/>
        <color theme="1"/>
      </rPr>
      <t xml:space="preserve">
Posted query - 0
In progress - 5
Yet to start - 0
Review -0
Completed - 2
</t>
    </r>
    <r>
      <rPr>
        <rFont val="Arial"/>
        <b/>
        <color rgb="FF0000FF"/>
      </rPr>
      <t xml:space="preserve">Daily task - 0 (Pavithira)
</t>
    </r>
    <r>
      <rPr>
        <rFont val="Arial"/>
        <color theme="1"/>
      </rPr>
      <t xml:space="preserve">Cleanup - 3 (Inprocess)
</t>
    </r>
    <r>
      <rPr>
        <rFont val="Arial"/>
        <b/>
        <color theme="1"/>
      </rPr>
      <t>Est - 4 Hrs</t>
    </r>
  </si>
  <si>
    <t>Monthly files - 5 Inprocess, 2 Completed
Cleanup - Posted query (Review inprocess)
Booked - 5.25 hrs</t>
  </si>
  <si>
    <r>
      <rPr>
        <rFont val="Arial"/>
        <b/>
        <color rgb="FF0000FF"/>
      </rPr>
      <t>Total Monthly Files - 7</t>
    </r>
    <r>
      <rPr>
        <rFont val="Arial"/>
        <color theme="1"/>
      </rPr>
      <t xml:space="preserve">
Posted query - 0
In progress - 5
Yet to start - 0
Review -0
Completed - 2
</t>
    </r>
    <r>
      <rPr>
        <rFont val="Arial"/>
        <b/>
        <color rgb="FF0000FF"/>
      </rPr>
      <t xml:space="preserve">Daily task - 0 (Pavithira)
</t>
    </r>
    <r>
      <rPr>
        <rFont val="Arial"/>
        <color theme="1"/>
      </rPr>
      <t xml:space="preserve">Cleanup - 3 (Inprocess)
</t>
    </r>
    <r>
      <rPr>
        <rFont val="Arial"/>
        <b/>
        <color theme="1"/>
      </rPr>
      <t>Est - 4 Hrs</t>
    </r>
  </si>
  <si>
    <t>Monthly files - 5 Inprocess, 2 Completed
Cleanup - Posted query (Review inprocess)
Booked - 7.82 hrs</t>
  </si>
  <si>
    <r>
      <rPr>
        <rFont val="Arial"/>
        <b/>
        <color rgb="FF0000FF"/>
      </rPr>
      <t>Total Monthly Files - 7</t>
    </r>
    <r>
      <rPr>
        <rFont val="Arial"/>
        <color theme="1"/>
      </rPr>
      <t xml:space="preserve">
Posted query - 0
In progress - 5
Yet to start - 0
Review -0
Completed - 2
</t>
    </r>
    <r>
      <rPr>
        <rFont val="Arial"/>
        <b/>
        <color rgb="FF0000FF"/>
      </rPr>
      <t xml:space="preserve">Daily task - 0
</t>
    </r>
    <r>
      <rPr>
        <rFont val="Arial"/>
        <color theme="1"/>
      </rPr>
      <t xml:space="preserve">Cleanup - 3 (Inprocess)
</t>
    </r>
    <r>
      <rPr>
        <rFont val="Arial"/>
        <b/>
        <color theme="1"/>
      </rPr>
      <t xml:space="preserve">Est - </t>
    </r>
  </si>
  <si>
    <t>Monthly files - 5 Inprocess, 2 Completed
Cleanup - Posted query (Review inprocess)
Booked - 0.25</t>
  </si>
  <si>
    <t>Pavithira is on PTO</t>
  </si>
  <si>
    <r>
      <rPr>
        <rFont val="Arial"/>
        <b/>
        <color rgb="FF0000FF"/>
      </rPr>
      <t>Total Monthly Files - 7</t>
    </r>
    <r>
      <rPr>
        <rFont val="Arial"/>
        <color theme="1"/>
      </rPr>
      <t xml:space="preserve">
Posted query - 0
In progress - 5
Yet to start - 0
Review -0
Completed - 2
</t>
    </r>
    <r>
      <rPr>
        <rFont val="Arial"/>
        <b/>
        <color rgb="FF0000FF"/>
      </rPr>
      <t xml:space="preserve">Daily task - 0
</t>
    </r>
    <r>
      <rPr>
        <rFont val="Arial"/>
        <color theme="1"/>
      </rPr>
      <t xml:space="preserve">Cleanup - 0 
</t>
    </r>
    <r>
      <rPr>
        <rFont val="Arial"/>
        <b/>
        <color theme="1"/>
      </rPr>
      <t>Est -  4Hrs</t>
    </r>
  </si>
  <si>
    <t>Monthly files - 5 Inprocess, 2 Completed
Cleanup - Posted query (Review inprocess)
Booked - 4.48 hrs</t>
  </si>
  <si>
    <r>
      <rPr>
        <rFont val="Arial"/>
        <b/>
        <color rgb="FF0000FF"/>
      </rPr>
      <t>Total Monthly Files - 7</t>
    </r>
    <r>
      <rPr>
        <rFont val="Arial"/>
        <color theme="1"/>
      </rPr>
      <t xml:space="preserve">
Posted query - 0
In progress - 5
Yet to start - 0
Review -0
Completed - 2
</t>
    </r>
    <r>
      <rPr>
        <rFont val="Arial"/>
        <b/>
        <color rgb="FF0000FF"/>
      </rPr>
      <t xml:space="preserve">Daily task - 0
</t>
    </r>
    <r>
      <rPr>
        <rFont val="Arial"/>
        <color theme="1"/>
      </rPr>
      <t xml:space="preserve">Cleanup - 0 
</t>
    </r>
    <r>
      <rPr>
        <rFont val="Arial"/>
        <b/>
        <color theme="1"/>
      </rPr>
      <t>Est -  4Hrs</t>
    </r>
  </si>
  <si>
    <t>Monthly files - 5 Inprocess, 2 Completed
Cleanup - Posted query (Review inprocess)
Booked - 2.82 hrs</t>
  </si>
  <si>
    <r>
      <rPr>
        <rFont val="Arial"/>
        <b/>
        <color rgb="FF0000FF"/>
      </rPr>
      <t>Total Monthly Files - 7</t>
    </r>
    <r>
      <rPr>
        <rFont val="Arial"/>
        <color theme="1"/>
      </rPr>
      <t xml:space="preserve">
Posted query - 0
In progress - 5
Yet to start - 0
Review -0
Completed - 2
</t>
    </r>
    <r>
      <rPr>
        <rFont val="Arial"/>
        <b/>
        <color rgb="FF0000FF"/>
      </rPr>
      <t xml:space="preserve">Daily task - 0
</t>
    </r>
    <r>
      <rPr>
        <rFont val="Arial"/>
        <color theme="1"/>
      </rPr>
      <t xml:space="preserve">Cleanup - 0 
</t>
    </r>
    <r>
      <rPr>
        <rFont val="Arial"/>
        <b/>
        <color theme="1"/>
      </rPr>
      <t>Est -  4Hrs</t>
    </r>
  </si>
  <si>
    <t>Monthly files - 5 Inprocess, 2 Completed
Cleanup - Posted query (Review inprocess)
Booked - 4.50 hrs</t>
  </si>
  <si>
    <r>
      <rPr>
        <rFont val="Arial"/>
        <b/>
        <color rgb="FF0000FF"/>
      </rPr>
      <t>Total Monthly Files - 7</t>
    </r>
    <r>
      <rPr>
        <rFont val="Arial"/>
        <color theme="1"/>
      </rPr>
      <t xml:space="preserve">
Posted query - 0
In progress - 5
Yet to start - 0
Review -0
Completed - 2
</t>
    </r>
    <r>
      <rPr>
        <rFont val="Arial"/>
        <b/>
        <color rgb="FF0000FF"/>
      </rPr>
      <t xml:space="preserve">Daily task - 0
</t>
    </r>
    <r>
      <rPr>
        <rFont val="Arial"/>
        <color theme="1"/>
      </rPr>
      <t xml:space="preserve">Cleanup - 0 
</t>
    </r>
    <r>
      <rPr>
        <rFont val="Arial"/>
        <b/>
        <color theme="1"/>
      </rPr>
      <t>Est -  4Hrs</t>
    </r>
  </si>
  <si>
    <t>Monthly files - 5 Inprocess, 2 Completed
Cleanup - Posted query (Review inprocess)
Booked - 3.57 hrs</t>
  </si>
  <si>
    <t>Total Monthly Files - 7
Posted query - 0
In progress - 5
Yet to start - 0
Review -0
Completed - 2
Daily task - 0
Cleanup - 0 
Est -  4Hrs</t>
  </si>
  <si>
    <t>Monthly files - 5 Inprocess, 2 Completed
Cleanup - Posted query (Review inprocess)
Booked - 4.56 hrs</t>
  </si>
  <si>
    <r>
      <rPr>
        <rFont val="Arial"/>
        <b/>
        <color rgb="FF0000FF"/>
      </rPr>
      <t>Total Monthly Files - 7</t>
    </r>
    <r>
      <rPr>
        <rFont val="Arial"/>
        <color theme="1"/>
      </rPr>
      <t xml:space="preserve">
Posted query - 0
In progress - 5
Yet to start - 0
Review -0
Completed - 2
</t>
    </r>
    <r>
      <rPr>
        <rFont val="Arial"/>
        <b/>
        <color rgb="FF0000FF"/>
      </rPr>
      <t xml:space="preserve">Daily task - 0
</t>
    </r>
    <r>
      <rPr>
        <rFont val="Arial"/>
        <color theme="1"/>
      </rPr>
      <t xml:space="preserve">Cleanup - 0 
</t>
    </r>
    <r>
      <rPr>
        <rFont val="Arial"/>
        <b/>
        <color theme="1"/>
      </rPr>
      <t>Est -  4Hrs</t>
    </r>
  </si>
  <si>
    <t>Monthly files - 5 Inprocess, 2 Completed
Cleanup - Posted query (Review inprocess)
Booked - 2.77 hrs</t>
  </si>
  <si>
    <r>
      <rPr>
        <rFont val="Arial"/>
        <b/>
        <color rgb="FF0000FF"/>
      </rPr>
      <t>Total Monthly Files - 7</t>
    </r>
    <r>
      <rPr>
        <rFont val="Arial"/>
        <color theme="1"/>
      </rPr>
      <t xml:space="preserve">
Posted query - 0
In progress - 0
Yet to start - 7
Review -0
Completed - 0
</t>
    </r>
    <r>
      <rPr>
        <rFont val="Arial"/>
        <b/>
        <color rgb="FF0000FF"/>
      </rPr>
      <t xml:space="preserve">Daily task - 0
</t>
    </r>
    <r>
      <rPr>
        <rFont val="Arial"/>
        <color theme="1"/>
      </rPr>
      <t xml:space="preserve">Cleanup - 0 
</t>
    </r>
    <r>
      <rPr>
        <rFont val="Arial"/>
        <b/>
        <color theme="1"/>
      </rPr>
      <t>Est -  4Hrs</t>
    </r>
  </si>
  <si>
    <t>Monthly files - 1 Inprocess Booked -4 hrs</t>
  </si>
  <si>
    <t>Inprocess</t>
  </si>
  <si>
    <r>
      <rPr>
        <rFont val="Arial"/>
        <b/>
        <color rgb="FF0000FF"/>
      </rPr>
      <t>Total Monthly Files - 7</t>
    </r>
    <r>
      <rPr>
        <rFont val="Arial"/>
        <color theme="1"/>
      </rPr>
      <t xml:space="preserve">
Posted query - 0
In progress - 1
Yet to start - 6
Review -0
Completed - 0
</t>
    </r>
    <r>
      <rPr>
        <rFont val="Arial"/>
        <b/>
        <color rgb="FF0000FF"/>
      </rPr>
      <t xml:space="preserve">Daily task - 0
</t>
    </r>
    <r>
      <rPr>
        <rFont val="Arial"/>
        <color theme="1"/>
      </rPr>
      <t xml:space="preserve">Cleanup - 0 
</t>
    </r>
    <r>
      <rPr>
        <rFont val="Arial"/>
        <b/>
        <color theme="1"/>
      </rPr>
      <t>Est -  4Hrs</t>
    </r>
  </si>
  <si>
    <t>Monthly files - 2 Inprocess Booked - 6.39 hrs</t>
  </si>
  <si>
    <r>
      <rPr>
        <rFont val="Arial"/>
        <b/>
        <color rgb="FF0000FF"/>
      </rPr>
      <t>Total Monthly Files - 7</t>
    </r>
    <r>
      <rPr>
        <rFont val="Arial"/>
        <color theme="1"/>
      </rPr>
      <t xml:space="preserve">
Posted query - 0
In progress - 2
Yet to start - 5
Review -0
Completed - 0
</t>
    </r>
    <r>
      <rPr>
        <rFont val="Arial"/>
        <b/>
        <color rgb="FF0000FF"/>
      </rPr>
      <t xml:space="preserve">Daily task - 0
</t>
    </r>
    <r>
      <rPr>
        <rFont val="Arial"/>
        <color theme="1"/>
      </rPr>
      <t xml:space="preserve">Cleanup - 0 
</t>
    </r>
    <r>
      <rPr>
        <rFont val="Arial"/>
        <b/>
        <color theme="1"/>
      </rPr>
      <t>Est -  4Hrs</t>
    </r>
  </si>
  <si>
    <t>Monthly files - 4 Inprocess Booked - 3.49 hrs</t>
  </si>
  <si>
    <r>
      <rPr>
        <rFont val="Arial"/>
        <b/>
        <color rgb="FF0000FF"/>
      </rPr>
      <t>Total Monthly Files - 7</t>
    </r>
    <r>
      <rPr>
        <rFont val="Arial"/>
        <color theme="1"/>
      </rPr>
      <t xml:space="preserve">
Posted query - 0
In progress - 4
Yet to start - 3
Review -0
Completed - 0
</t>
    </r>
    <r>
      <rPr>
        <rFont val="Arial"/>
        <b/>
        <color rgb="FF0000FF"/>
      </rPr>
      <t xml:space="preserve">Daily task - 0
</t>
    </r>
    <r>
      <rPr>
        <rFont val="Arial"/>
        <color theme="1"/>
      </rPr>
      <t xml:space="preserve">Cleanup - 0 
</t>
    </r>
    <r>
      <rPr>
        <rFont val="Arial"/>
        <b/>
        <color theme="1"/>
      </rPr>
      <t>Est -  4Hrs</t>
    </r>
  </si>
  <si>
    <t>Monthly files - 4 Inprocess Booked - 3.16 hrs</t>
  </si>
  <si>
    <r>
      <rPr>
        <rFont val="Arial"/>
        <b/>
        <color rgb="FF0000FF"/>
      </rPr>
      <t>Total Monthly Files - 7</t>
    </r>
    <r>
      <rPr>
        <rFont val="Arial"/>
        <color theme="1"/>
      </rPr>
      <t xml:space="preserve">
Posted query - 0
In progress - 4
Yet to start - 3
Review -0
Completed - 0
</t>
    </r>
    <r>
      <rPr>
        <rFont val="Arial"/>
        <b/>
        <color rgb="FF0000FF"/>
      </rPr>
      <t xml:space="preserve">Daily task - 0
</t>
    </r>
    <r>
      <rPr>
        <rFont val="Arial"/>
        <color theme="1"/>
      </rPr>
      <t xml:space="preserve">Cleanup - 0 
</t>
    </r>
    <r>
      <rPr>
        <rFont val="Arial"/>
        <b/>
        <color theme="1"/>
      </rPr>
      <t>Est -  4Hrs</t>
    </r>
  </si>
  <si>
    <t>Monthly files - 4 Inprocess Booked - 3.15 hrs</t>
  </si>
  <si>
    <r>
      <rPr>
        <rFont val="Arial"/>
        <b/>
        <color rgb="FF0000FF"/>
      </rPr>
      <t>Total Monthly Files - 7</t>
    </r>
    <r>
      <rPr>
        <rFont val="Arial"/>
        <color theme="1"/>
      </rPr>
      <t xml:space="preserve">
Posted query - 0
In progress - 4
Yet to start - 3
Review -0
Completed - 0
</t>
    </r>
    <r>
      <rPr>
        <rFont val="Arial"/>
        <b/>
        <color rgb="FF0000FF"/>
      </rPr>
      <t xml:space="preserve">Daily task - 0
</t>
    </r>
    <r>
      <rPr>
        <rFont val="Arial"/>
        <color theme="1"/>
      </rPr>
      <t xml:space="preserve">Cleanup - 0 
</t>
    </r>
    <r>
      <rPr>
        <rFont val="Arial"/>
        <b/>
        <color theme="1"/>
      </rPr>
      <t>Est -  4Hrs</t>
    </r>
  </si>
  <si>
    <t>Monthly files - 5 Inprocess Booked - 4.32 hrs</t>
  </si>
  <si>
    <r>
      <rPr>
        <rFont val="Arial"/>
        <b/>
        <color rgb="FF0000FF"/>
      </rPr>
      <t>Total Monthly Files - 7</t>
    </r>
    <r>
      <rPr>
        <rFont val="Arial"/>
        <color theme="1"/>
      </rPr>
      <t xml:space="preserve">
Posted query - 0
In progress -  5
Yet to start - 2
Review -0
Completed - 0
</t>
    </r>
    <r>
      <rPr>
        <rFont val="Arial"/>
        <b/>
        <color rgb="FF0000FF"/>
      </rPr>
      <t xml:space="preserve">Daily task - 0
</t>
    </r>
    <r>
      <rPr>
        <rFont val="Arial"/>
        <color theme="1"/>
      </rPr>
      <t xml:space="preserve">Cleanup - 0 
</t>
    </r>
    <r>
      <rPr>
        <rFont val="Arial"/>
        <b/>
        <color theme="1"/>
      </rPr>
      <t>Est -  4Hrs</t>
    </r>
  </si>
  <si>
    <t>Monthly files - 7 Inprocess Booked - 1.73 hrs</t>
  </si>
  <si>
    <r>
      <rPr>
        <rFont val="Arial"/>
        <b/>
        <color rgb="FF0000FF"/>
      </rPr>
      <t>Total Monthly Files - 7</t>
    </r>
    <r>
      <rPr>
        <rFont val="Arial"/>
        <color theme="1"/>
      </rPr>
      <t xml:space="preserve">
Posted query - 0
In progress -  7
Yet to start - 0
Review -0
Completed - 0
</t>
    </r>
    <r>
      <rPr>
        <rFont val="Arial"/>
        <b/>
        <color rgb="FF0000FF"/>
      </rPr>
      <t xml:space="preserve">Daily task - 0
</t>
    </r>
    <r>
      <rPr>
        <rFont val="Arial"/>
        <color theme="1"/>
      </rPr>
      <t xml:space="preserve">Cleanup - 0 
</t>
    </r>
    <r>
      <rPr>
        <rFont val="Arial"/>
        <b/>
        <color theme="1"/>
      </rPr>
      <t>Est -  4Hrs</t>
    </r>
  </si>
  <si>
    <t>Monthly files - 7 Inprocess Booked - 3.90 hrs</t>
  </si>
  <si>
    <r>
      <rPr>
        <rFont val="Arial"/>
        <b/>
        <color rgb="FF0000FF"/>
      </rPr>
      <t>Total Monthly Files - 7</t>
    </r>
    <r>
      <rPr>
        <rFont val="Arial"/>
        <color theme="1"/>
      </rPr>
      <t xml:space="preserve">
Posted query - 0
In progress -  7
Yet to start - 0
Review -0
Completed - 0
</t>
    </r>
    <r>
      <rPr>
        <rFont val="Arial"/>
        <b/>
        <color rgb="FF0000FF"/>
      </rPr>
      <t xml:space="preserve">Daily task - 0
</t>
    </r>
    <r>
      <rPr>
        <rFont val="Arial"/>
        <color theme="1"/>
      </rPr>
      <t xml:space="preserve">Cleanup - 0 
</t>
    </r>
    <r>
      <rPr>
        <rFont val="Arial"/>
        <b/>
        <color theme="1"/>
      </rPr>
      <t>Est -  4Hrs</t>
    </r>
  </si>
  <si>
    <t>Monthly files - 7 Inprocess Booked - 5.83 hrs</t>
  </si>
  <si>
    <t>Total Monthly Files - 7
Posted query - 0
In progress -  7
Yet to start - 0
Review -0
Completed - 0
Daily task - 0
Cleanup - 0 
Est -  4Hrs</t>
  </si>
  <si>
    <t>Monthly files - 7 Inprocess Booked - 1.24 hrs</t>
  </si>
  <si>
    <t>Monthly files - 7 Inprocess Booked - 3.30 hrs</t>
  </si>
  <si>
    <r>
      <rPr>
        <rFont val="Arial"/>
        <b/>
        <color rgb="FF0000FF"/>
      </rPr>
      <t>Total Monthly Files - 7</t>
    </r>
    <r>
      <rPr>
        <rFont val="Arial"/>
        <color theme="1"/>
      </rPr>
      <t xml:space="preserve">
Posted query - 0
In progress -  7
Yet to start - 0
Review -0
Completed - 0
</t>
    </r>
    <r>
      <rPr>
        <rFont val="Arial"/>
        <b/>
        <color rgb="FF0000FF"/>
      </rPr>
      <t xml:space="preserve">Daily task - 0
</t>
    </r>
    <r>
      <rPr>
        <rFont val="Arial"/>
        <color theme="1"/>
      </rPr>
      <t xml:space="preserve">Cleanup - 0 
</t>
    </r>
    <r>
      <rPr>
        <rFont val="Arial"/>
        <b/>
        <color theme="1"/>
      </rPr>
      <t>Est -  4Hrs</t>
    </r>
  </si>
  <si>
    <t>Monthly files - 7 Inprocess Booked - 1.10 hrs</t>
  </si>
  <si>
    <r>
      <rPr>
        <rFont val="Arial"/>
        <b/>
        <color rgb="FF0000FF"/>
      </rPr>
      <t xml:space="preserve">Total Monthly Files - 7 </t>
    </r>
    <r>
      <rPr>
        <rFont val="Arial"/>
        <b/>
        <color theme="1"/>
      </rPr>
      <t>(Bhuvaneshwari)</t>
    </r>
    <r>
      <rPr>
        <rFont val="Arial"/>
        <color theme="1"/>
      </rPr>
      <t xml:space="preserve">
Posted query - 0
In progress -  7
Yet to start - 0
Review -0
Completed - 0
</t>
    </r>
    <r>
      <rPr>
        <rFont val="Arial"/>
        <b/>
        <color rgb="FF0000FF"/>
      </rPr>
      <t xml:space="preserve">Daily task - 0
</t>
    </r>
    <r>
      <rPr>
        <rFont val="Arial"/>
        <color theme="1"/>
      </rPr>
      <t xml:space="preserve">Cleanup - 0 
</t>
    </r>
    <r>
      <rPr>
        <rFont val="Arial"/>
        <b/>
        <color theme="1"/>
      </rPr>
      <t>Est -  4Hrs</t>
    </r>
  </si>
  <si>
    <t>Monthly files - 7 Inprocess Booked - 2.07 hrs</t>
  </si>
  <si>
    <r>
      <rPr>
        <rFont val="Arial"/>
        <b/>
        <color rgb="FF0000FF"/>
      </rPr>
      <t xml:space="preserve">Total Monthly Files - 7 </t>
    </r>
    <r>
      <rPr>
        <rFont val="Arial"/>
        <b/>
        <color theme="1"/>
      </rPr>
      <t>(Bhuvaneshwari)</t>
    </r>
    <r>
      <rPr>
        <rFont val="Arial"/>
        <color theme="1"/>
      </rPr>
      <t xml:space="preserve">
Posted query - 0
In progress -  7
Yet to start - 0
Review -0
Completed - 0
</t>
    </r>
    <r>
      <rPr>
        <rFont val="Arial"/>
        <b/>
        <color rgb="FF0000FF"/>
      </rPr>
      <t xml:space="preserve">Daily task - 0
</t>
    </r>
    <r>
      <rPr>
        <rFont val="Arial"/>
        <color theme="1"/>
      </rPr>
      <t xml:space="preserve">Cleanup - 0 
</t>
    </r>
    <r>
      <rPr>
        <rFont val="Arial"/>
        <b/>
        <color theme="1"/>
      </rPr>
      <t>Est -  4Hrs</t>
    </r>
  </si>
  <si>
    <t>Monthly files - 7 Inprocess Booked - 3.56 hrs</t>
  </si>
  <si>
    <r>
      <rPr>
        <rFont val="Arial"/>
        <b/>
        <color rgb="FF0000FF"/>
      </rPr>
      <t xml:space="preserve">Total Monthly Files - 7 </t>
    </r>
    <r>
      <rPr>
        <rFont val="Arial"/>
        <b/>
        <color theme="1"/>
      </rPr>
      <t>(Bhuvaneshwari)</t>
    </r>
    <r>
      <rPr>
        <rFont val="Arial"/>
        <color theme="1"/>
      </rPr>
      <t xml:space="preserve">
Posted query - 0
In progress -  7
Yet to start - 0
Review -0
Completed - 0
</t>
    </r>
    <r>
      <rPr>
        <rFont val="Arial"/>
        <b/>
        <color rgb="FF0000FF"/>
      </rPr>
      <t xml:space="preserve">Daily task - 0
</t>
    </r>
    <r>
      <rPr>
        <rFont val="Arial"/>
        <color theme="1"/>
      </rPr>
      <t xml:space="preserve">Cleanup - 0 
</t>
    </r>
    <r>
      <rPr>
        <rFont val="Arial"/>
        <b/>
        <color theme="1"/>
      </rPr>
      <t>Est -  4Hrs</t>
    </r>
  </si>
  <si>
    <t>Monthly files - 7 Inprocess Booked - 7 hrs</t>
  </si>
  <si>
    <r>
      <rPr>
        <rFont val="Arial"/>
        <b/>
        <color rgb="FF0000FF"/>
      </rPr>
      <t xml:space="preserve">Total Monthly Files - 7 </t>
    </r>
    <r>
      <rPr>
        <rFont val="Arial"/>
        <b/>
        <color theme="1"/>
      </rPr>
      <t>(Bhuvaneshwari)</t>
    </r>
    <r>
      <rPr>
        <rFont val="Arial"/>
        <color theme="1"/>
      </rPr>
      <t xml:space="preserve">
Posted query - 0
In progress -  6
Yet to start - 0
Review -0
Completed - 0
</t>
    </r>
    <r>
      <rPr>
        <rFont val="Arial"/>
        <b/>
        <color rgb="FF0000FF"/>
      </rPr>
      <t xml:space="preserve">Daily task - 0
</t>
    </r>
    <r>
      <rPr>
        <rFont val="Arial"/>
        <color theme="1"/>
      </rPr>
      <t xml:space="preserve">Cleanup - 0 
</t>
    </r>
    <r>
      <rPr>
        <rFont val="Arial"/>
        <b/>
        <color theme="1"/>
      </rPr>
      <t>Est -  4Hrs</t>
    </r>
  </si>
  <si>
    <t>Monthly files - 7 Inprocess Booked - 6 hrs</t>
  </si>
  <si>
    <r>
      <rPr>
        <rFont val="Arial"/>
        <b/>
        <color rgb="FF0000FF"/>
      </rPr>
      <t xml:space="preserve">Total Monthly Files - 7 </t>
    </r>
    <r>
      <rPr>
        <rFont val="Arial"/>
        <b/>
        <color theme="1"/>
      </rPr>
      <t>(Bhuvaneshwari)</t>
    </r>
    <r>
      <rPr>
        <rFont val="Arial"/>
        <color theme="1"/>
      </rPr>
      <t xml:space="preserve">
Posted query - 0
In progress -  7
Yet to start - 0
Review -0
Completed - 0
</t>
    </r>
    <r>
      <rPr>
        <rFont val="Arial"/>
        <b/>
        <color rgb="FF0000FF"/>
      </rPr>
      <t xml:space="preserve">Daily task - 0
</t>
    </r>
    <r>
      <rPr>
        <rFont val="Arial"/>
        <color theme="1"/>
      </rPr>
      <t xml:space="preserve">Cleanup - 0 
</t>
    </r>
    <r>
      <rPr>
        <rFont val="Arial"/>
        <b/>
        <color theme="1"/>
      </rPr>
      <t>Est -  4Hrs</t>
    </r>
  </si>
  <si>
    <t>Monthly files - 6 Inprocess Booked -4.15 hrs</t>
  </si>
  <si>
    <r>
      <rPr>
        <rFont val="Arial"/>
        <b/>
        <color rgb="FF0000FF"/>
      </rPr>
      <t xml:space="preserve">Total Monthly Files - 7 </t>
    </r>
    <r>
      <rPr>
        <rFont val="Arial"/>
        <b/>
        <color theme="1"/>
      </rPr>
      <t>(Bhuvaneshwari)</t>
    </r>
    <r>
      <rPr>
        <rFont val="Arial"/>
        <color theme="1"/>
      </rPr>
      <t xml:space="preserve">
Posted query - 0
In progress -  6
Yet to start - 0
Review -0
Completed - 1
</t>
    </r>
    <r>
      <rPr>
        <rFont val="Arial"/>
        <b/>
        <color rgb="FF0000FF"/>
      </rPr>
      <t xml:space="preserve">Daily task - 0
</t>
    </r>
    <r>
      <rPr>
        <rFont val="Arial"/>
        <color theme="1"/>
      </rPr>
      <t xml:space="preserve">Cleanup - 0 
</t>
    </r>
    <r>
      <rPr>
        <rFont val="Arial"/>
        <b/>
        <color theme="1"/>
      </rPr>
      <t>Est -  4Hrs</t>
    </r>
  </si>
  <si>
    <t>Monthly files - 6 Inprocess Booked -3.15 hrs</t>
  </si>
  <si>
    <r>
      <rPr>
        <rFont val="Arial"/>
        <b/>
        <color rgb="FF0000FF"/>
      </rPr>
      <t xml:space="preserve">Total Monthly Files - 7 </t>
    </r>
    <r>
      <rPr>
        <rFont val="Arial"/>
        <b/>
        <color theme="1"/>
      </rPr>
      <t>(Pavithira &amp; Bhuvaneshwari)</t>
    </r>
    <r>
      <rPr>
        <rFont val="Arial"/>
        <color theme="1"/>
      </rPr>
      <t xml:space="preserve">
Posted query - 0
In progress -  6
Yet to start - 0
Review -0
Completed - 1
</t>
    </r>
    <r>
      <rPr>
        <rFont val="Arial"/>
        <b/>
        <color rgb="FF0000FF"/>
      </rPr>
      <t xml:space="preserve">Daily task - 0
</t>
    </r>
    <r>
      <rPr>
        <rFont val="Arial"/>
        <color theme="1"/>
      </rPr>
      <t xml:space="preserve">Cleanup - 0 
</t>
    </r>
    <r>
      <rPr>
        <rFont val="Arial"/>
        <b/>
        <color theme="1"/>
      </rPr>
      <t>Est -  8Hrs</t>
    </r>
  </si>
  <si>
    <t>Monthly files - 6 Inprocess Booked -8.14 hrs</t>
  </si>
  <si>
    <r>
      <rPr>
        <rFont val="Arial"/>
        <b/>
        <color rgb="FF0000FF"/>
      </rPr>
      <t xml:space="preserve">Total Monthly Files - 7 </t>
    </r>
    <r>
      <rPr>
        <rFont val="Arial"/>
        <b/>
        <color theme="1"/>
      </rPr>
      <t>(Pavithira &amp; Bhuvaneshwari)</t>
    </r>
    <r>
      <rPr>
        <rFont val="Arial"/>
        <color theme="1"/>
      </rPr>
      <t xml:space="preserve">
Posted query - 0
In progress -  6
Yet to start - 0
Review -0
Completed - 1
</t>
    </r>
    <r>
      <rPr>
        <rFont val="Arial"/>
        <b/>
        <color rgb="FF0000FF"/>
      </rPr>
      <t xml:space="preserve">Daily task - 0
</t>
    </r>
    <r>
      <rPr>
        <rFont val="Arial"/>
        <color theme="1"/>
      </rPr>
      <t xml:space="preserve">Cleanup - 0 
</t>
    </r>
    <r>
      <rPr>
        <rFont val="Arial"/>
        <b/>
        <color theme="1"/>
      </rPr>
      <t>Est -  8Hrs</t>
    </r>
  </si>
  <si>
    <t>Monthly files - 6 Inprocess Booked -5.50 hrs</t>
  </si>
  <si>
    <r>
      <rPr>
        <rFont val="Arial"/>
        <b/>
        <color rgb="FF0000FF"/>
      </rPr>
      <t xml:space="preserve">Total Monthly Files - 7 </t>
    </r>
    <r>
      <rPr>
        <rFont val="Arial"/>
        <b/>
        <color theme="1"/>
      </rPr>
      <t>(Pavithira &amp; Bhuvaneshwari)</t>
    </r>
    <r>
      <rPr>
        <rFont val="Arial"/>
        <color theme="1"/>
      </rPr>
      <t xml:space="preserve">
Posted query - 0
In progress -  6
Yet to start - 0
Review -0
Completed - 1
</t>
    </r>
    <r>
      <rPr>
        <rFont val="Arial"/>
        <b/>
        <color rgb="FF0000FF"/>
      </rPr>
      <t xml:space="preserve">Daily task - 0
</t>
    </r>
    <r>
      <rPr>
        <rFont val="Arial"/>
        <color theme="1"/>
      </rPr>
      <t xml:space="preserve">Cleanup - 0 
</t>
    </r>
    <r>
      <rPr>
        <rFont val="Arial"/>
        <b/>
        <color theme="1"/>
      </rPr>
      <t>Est -  8Hrs</t>
    </r>
  </si>
  <si>
    <t>Monthly files - 5 Inprocess Booked -9.40 hrs</t>
  </si>
  <si>
    <r>
      <rPr>
        <rFont val="Arial"/>
        <b/>
        <color rgb="FF0000FF"/>
      </rPr>
      <t xml:space="preserve">Total Monthly Files - 7 </t>
    </r>
    <r>
      <rPr>
        <rFont val="Arial"/>
        <b/>
        <color theme="1"/>
      </rPr>
      <t>(Pavithira &amp; Bhuvaneshwari)</t>
    </r>
    <r>
      <rPr>
        <rFont val="Arial"/>
        <color theme="1"/>
      </rPr>
      <t xml:space="preserve">
Posted query - 1
In progress -  5
Yet to start - 0
Review -0
Completed - 1
</t>
    </r>
    <r>
      <rPr>
        <rFont val="Arial"/>
        <b/>
        <color rgb="FF0000FF"/>
      </rPr>
      <t xml:space="preserve">Daily task - 0
</t>
    </r>
    <r>
      <rPr>
        <rFont val="Arial"/>
        <color theme="1"/>
      </rPr>
      <t xml:space="preserve">Cleanup - 0 
</t>
    </r>
    <r>
      <rPr>
        <rFont val="Arial"/>
        <b/>
        <color theme="1"/>
      </rPr>
      <t>Est -  8Hrs</t>
    </r>
  </si>
  <si>
    <t>Monthly files - 2 Inprocess Booked -8.40 hrs</t>
  </si>
  <si>
    <r>
      <rPr>
        <rFont val="Arial"/>
        <b/>
        <color rgb="FF0000FF"/>
      </rPr>
      <t xml:space="preserve">Total Monthly Files - 7 </t>
    </r>
    <r>
      <rPr>
        <rFont val="Arial"/>
        <b/>
        <color theme="1"/>
      </rPr>
      <t>(Pavithira &amp; Bhuvaneshwari)</t>
    </r>
    <r>
      <rPr>
        <rFont val="Arial"/>
        <color theme="1"/>
      </rPr>
      <t xml:space="preserve">
Posted query - 6
In progress -  0
Yet to start - 0
Review -0
Completed - 1
</t>
    </r>
    <r>
      <rPr>
        <rFont val="Arial"/>
        <b/>
        <color rgb="FF0000FF"/>
      </rPr>
      <t xml:space="preserve">Daily task - 0
</t>
    </r>
    <r>
      <rPr>
        <rFont val="Arial"/>
        <color theme="1"/>
      </rPr>
      <t xml:space="preserve">Cleanup - 0 
</t>
    </r>
    <r>
      <rPr>
        <rFont val="Arial"/>
        <b/>
        <color theme="1"/>
      </rPr>
      <t>Est -  6Hrs</t>
    </r>
  </si>
  <si>
    <t>Monthly files - 1 query Booked -4.05 hrs</t>
  </si>
  <si>
    <r>
      <rPr>
        <rFont val="Arial"/>
        <b/>
        <color rgb="FF0000FF"/>
      </rPr>
      <t xml:space="preserve">Total Monthly Files - 6 </t>
    </r>
    <r>
      <rPr>
        <rFont val="Arial"/>
        <b/>
        <color theme="1"/>
      </rPr>
      <t>(Pavithira &amp; Bhuvaneshwari)</t>
    </r>
    <r>
      <rPr>
        <rFont val="Arial"/>
        <color theme="1"/>
      </rPr>
      <t xml:space="preserve">
Posted query - 0
In progress -  0
Yet to start - 6
Review -0
Completed - 0
</t>
    </r>
    <r>
      <rPr>
        <rFont val="Arial"/>
        <b/>
        <color rgb="FF0000FF"/>
      </rPr>
      <t xml:space="preserve">Daily task - 5
</t>
    </r>
    <r>
      <rPr>
        <rFont val="Arial"/>
        <color theme="1"/>
      </rPr>
      <t xml:space="preserve">Cleanup - 0 
</t>
    </r>
    <r>
      <rPr>
        <rFont val="Arial"/>
        <b/>
        <color theme="1"/>
      </rPr>
      <t>Est -  4Hrs</t>
    </r>
  </si>
  <si>
    <t>Monthly files -  6 Inprocess Booked -5.26 hrs</t>
  </si>
  <si>
    <r>
      <rPr>
        <rFont val="Arial"/>
        <b/>
        <color rgb="FF0000FF"/>
      </rPr>
      <t xml:space="preserve">Total Monthly Files - 7 </t>
    </r>
    <r>
      <rPr>
        <rFont val="Arial"/>
        <b/>
        <color theme="1"/>
      </rPr>
      <t>(Pavithira &amp; Bhuvaneshwari)</t>
    </r>
    <r>
      <rPr>
        <rFont val="Arial"/>
        <color theme="1"/>
      </rPr>
      <t xml:space="preserve">
Posted query - 0
In progress -  6
Yet to start - 0
Review -0
Completed - 0
</t>
    </r>
    <r>
      <rPr>
        <rFont val="Arial"/>
        <b/>
        <color rgb="FF0000FF"/>
      </rPr>
      <t xml:space="preserve">Daily task - 5
</t>
    </r>
    <r>
      <rPr>
        <rFont val="Arial"/>
        <color theme="1"/>
      </rPr>
      <t xml:space="preserve">Cleanup - 0 
</t>
    </r>
    <r>
      <rPr>
        <rFont val="Arial"/>
        <b/>
        <color theme="1"/>
      </rPr>
      <t>Est -  4Hrs</t>
    </r>
  </si>
  <si>
    <t>Monthly files -  6 Inprocess Booked -6.14 hrs</t>
  </si>
  <si>
    <r>
      <rPr>
        <rFont val="Arial"/>
        <b/>
        <color rgb="FF0000FF"/>
      </rPr>
      <t xml:space="preserve">Total Monthly Files - 7 </t>
    </r>
    <r>
      <rPr>
        <rFont val="Arial"/>
        <b/>
        <color theme="1"/>
      </rPr>
      <t>(Pavithira &amp; Bhuvaneshwari)</t>
    </r>
    <r>
      <rPr>
        <rFont val="Arial"/>
        <color theme="1"/>
      </rPr>
      <t xml:space="preserve">
Posted query - 0
In progress -  6
Yet to start - 0
Review -0
Completed - 0
</t>
    </r>
    <r>
      <rPr>
        <rFont val="Arial"/>
        <b/>
        <color rgb="FF0000FF"/>
      </rPr>
      <t xml:space="preserve">Daily task - 4
</t>
    </r>
    <r>
      <rPr>
        <rFont val="Arial"/>
        <color theme="1"/>
      </rPr>
      <t xml:space="preserve">Cleanup - 0 
</t>
    </r>
    <r>
      <rPr>
        <rFont val="Arial"/>
        <b/>
        <color theme="1"/>
      </rPr>
      <t>Est -  4Hrs</t>
    </r>
  </si>
  <si>
    <t>Monthly files -  6 Inprocess Booked  -7.03 hrs</t>
  </si>
  <si>
    <r>
      <rPr>
        <rFont val="Arial"/>
        <b/>
        <color rgb="FF0000FF"/>
      </rPr>
      <t xml:space="preserve">Total Monthly Files - 7 </t>
    </r>
    <r>
      <rPr>
        <rFont val="Arial"/>
        <b/>
        <color theme="1"/>
      </rPr>
      <t>(Pavithira &amp; Bhuvaneshwari)</t>
    </r>
    <r>
      <rPr>
        <rFont val="Arial"/>
        <color theme="1"/>
      </rPr>
      <t xml:space="preserve">
Posted query - 0
In progress -  6
Yet to start - 0
Review -0
Completed - 0
</t>
    </r>
    <r>
      <rPr>
        <rFont val="Arial"/>
        <b/>
        <color rgb="FF0000FF"/>
      </rPr>
      <t xml:space="preserve">Daily task - 0
</t>
    </r>
    <r>
      <rPr>
        <rFont val="Arial"/>
        <color theme="1"/>
      </rPr>
      <t xml:space="preserve">Cleanup - 0 
</t>
    </r>
    <r>
      <rPr>
        <rFont val="Arial"/>
        <b/>
        <color theme="1"/>
      </rPr>
      <t>Est -  4Hrs</t>
    </r>
  </si>
  <si>
    <t>Monthly files -  6 Inprocess Booked  -5.87hrs</t>
  </si>
  <si>
    <r>
      <rPr>
        <rFont val="Arial"/>
        <b/>
        <color rgb="FF0000FF"/>
      </rPr>
      <t xml:space="preserve">Total Monthly Files - 7 </t>
    </r>
    <r>
      <rPr>
        <rFont val="Arial"/>
        <b/>
        <color theme="1"/>
      </rPr>
      <t>(Pavithira &amp; Bhuvaneshwari)</t>
    </r>
    <r>
      <rPr>
        <rFont val="Arial"/>
        <color theme="1"/>
      </rPr>
      <t xml:space="preserve">
Posted query - 0
In progress -  6
Yet to start - 0
Review -0
Completed - 0
</t>
    </r>
    <r>
      <rPr>
        <rFont val="Arial"/>
        <b/>
        <color rgb="FF0000FF"/>
      </rPr>
      <t xml:space="preserve">Daily task - 0
</t>
    </r>
    <r>
      <rPr>
        <rFont val="Arial"/>
        <color theme="1"/>
      </rPr>
      <t xml:space="preserve">Cleanup - 0 
</t>
    </r>
    <r>
      <rPr>
        <rFont val="Arial"/>
        <b/>
        <color theme="1"/>
      </rPr>
      <t>Est -  4Hrs</t>
    </r>
  </si>
  <si>
    <t>Monthly files -  6 Inprocess Booked  - 4.89 hrs</t>
  </si>
  <si>
    <r>
      <rPr>
        <rFont val="Arial"/>
        <b/>
        <color rgb="FF0000FF"/>
      </rPr>
      <t xml:space="preserve">Total Monthly Files - 7 </t>
    </r>
    <r>
      <rPr>
        <rFont val="Arial"/>
        <b/>
        <color theme="1"/>
      </rPr>
      <t>(Pavithira &amp; Bhuvaneshwari)</t>
    </r>
    <r>
      <rPr>
        <rFont val="Arial"/>
        <color theme="1"/>
      </rPr>
      <t xml:space="preserve">
Posted query - 0
In progress -  6
Yet to start - 0
Review -0
Completed - 0
</t>
    </r>
    <r>
      <rPr>
        <rFont val="Arial"/>
        <b/>
        <color rgb="FF0000FF"/>
      </rPr>
      <t xml:space="preserve">Daily task - 0
</t>
    </r>
    <r>
      <rPr>
        <rFont val="Arial"/>
        <color theme="1"/>
      </rPr>
      <t xml:space="preserve">Cleanup - 0 
</t>
    </r>
    <r>
      <rPr>
        <rFont val="Arial"/>
        <b/>
        <color theme="1"/>
      </rPr>
      <t>Est -  4Hrs</t>
    </r>
  </si>
  <si>
    <t>Monthly files -  5 Inprocess Booked  - 5.46 hrs</t>
  </si>
  <si>
    <t>Pavithira is on PTO.</t>
  </si>
  <si>
    <r>
      <rPr>
        <rFont val="Arial"/>
        <b/>
        <color rgb="FF0000FF"/>
      </rPr>
      <t xml:space="preserve">Total Monthly Files - 7 </t>
    </r>
    <r>
      <rPr>
        <rFont val="Arial"/>
        <b/>
        <color theme="1"/>
      </rPr>
      <t>(Pavithira &amp; Bhuvaneshwari)</t>
    </r>
    <r>
      <rPr>
        <rFont val="Arial"/>
        <color theme="1"/>
      </rPr>
      <t xml:space="preserve">
Posted query - 0
In progress -  5
Yet to start - 0
Review -0
Completed - 0
</t>
    </r>
    <r>
      <rPr>
        <rFont val="Arial"/>
        <b/>
        <color rgb="FF0000FF"/>
      </rPr>
      <t xml:space="preserve">Daily task - 0
</t>
    </r>
    <r>
      <rPr>
        <rFont val="Arial"/>
        <color theme="1"/>
      </rPr>
      <t xml:space="preserve">Cleanup - 0 
</t>
    </r>
    <r>
      <rPr>
        <rFont val="Arial"/>
        <b/>
        <color theme="1"/>
      </rPr>
      <t>Est -  4Hrs</t>
    </r>
  </si>
  <si>
    <t>Monthly files -  4 Inprocess Booked  -6.90  hrs</t>
  </si>
  <si>
    <r>
      <rPr>
        <rFont val="Arial"/>
        <b/>
        <color rgb="FF0000FF"/>
      </rPr>
      <t xml:space="preserve">Total Monthly Files - 7 </t>
    </r>
    <r>
      <rPr>
        <rFont val="Arial"/>
        <b/>
        <color theme="1"/>
      </rPr>
      <t>(Pavithira)</t>
    </r>
    <r>
      <rPr>
        <rFont val="Arial"/>
        <color theme="1"/>
      </rPr>
      <t xml:space="preserve">
Posted query - 0
In progress -  4
Yet to start - 0
Review -0
Completed - 0
</t>
    </r>
    <r>
      <rPr>
        <rFont val="Arial"/>
        <b/>
        <color rgb="FF0000FF"/>
      </rPr>
      <t xml:space="preserve">Daily task - 0
</t>
    </r>
    <r>
      <rPr>
        <rFont val="Arial"/>
        <color theme="1"/>
      </rPr>
      <t xml:space="preserve">Cleanup - 0 
</t>
    </r>
    <r>
      <rPr>
        <rFont val="Arial"/>
        <b/>
        <color theme="1"/>
      </rPr>
      <t>Est -  4Hrs</t>
    </r>
  </si>
  <si>
    <t>Monthly files -  4 Inprocess Booked  -3.40 hrs</t>
  </si>
  <si>
    <r>
      <rPr>
        <rFont val="Arial"/>
        <b/>
        <color rgb="FF0000FF"/>
      </rPr>
      <t xml:space="preserve">Total Monthly Files - 7 </t>
    </r>
    <r>
      <rPr>
        <rFont val="Arial"/>
        <b/>
        <color theme="1"/>
      </rPr>
      <t>(Pavithira)</t>
    </r>
    <r>
      <rPr>
        <rFont val="Arial"/>
        <color theme="1"/>
      </rPr>
      <t xml:space="preserve">
Posted query - 0
In progress -  4
Yet to start - 0
Review -0
Completed - 0
</t>
    </r>
    <r>
      <rPr>
        <rFont val="Arial"/>
        <b/>
        <color rgb="FF0000FF"/>
      </rPr>
      <t xml:space="preserve">Daily task - 0
</t>
    </r>
    <r>
      <rPr>
        <rFont val="Arial"/>
        <color theme="1"/>
      </rPr>
      <t xml:space="preserve">Cleanup - 0 
</t>
    </r>
    <r>
      <rPr>
        <rFont val="Arial"/>
        <b/>
        <color theme="1"/>
      </rPr>
      <t>Est -  4Hrs</t>
    </r>
  </si>
  <si>
    <t>Monthly files -  3 Inprocess Booked  -3.40 hrs</t>
  </si>
  <si>
    <r>
      <rPr>
        <rFont val="Arial"/>
        <b/>
        <color rgb="FF0000FF"/>
      </rPr>
      <t xml:space="preserve">Total Monthly Files - 7 </t>
    </r>
    <r>
      <rPr>
        <rFont val="Arial"/>
        <b/>
        <color theme="1"/>
      </rPr>
      <t>(Pavithira)</t>
    </r>
    <r>
      <rPr>
        <rFont val="Arial"/>
        <color theme="1"/>
      </rPr>
      <t xml:space="preserve">
Posted query - 0
In progress -  3
Yet to start - 0
Review -0
Completed - 0
</t>
    </r>
    <r>
      <rPr>
        <rFont val="Arial"/>
        <b/>
        <color rgb="FF0000FF"/>
      </rPr>
      <t xml:space="preserve">Daily task - 0
</t>
    </r>
    <r>
      <rPr>
        <rFont val="Arial"/>
        <color theme="1"/>
      </rPr>
      <t xml:space="preserve">Cleanup - 0 
</t>
    </r>
    <r>
      <rPr>
        <rFont val="Arial"/>
        <b/>
        <color theme="1"/>
      </rPr>
      <t>Est -  2Hrs</t>
    </r>
  </si>
  <si>
    <t>Monthly files -  3 Inprocess Booked  -3.15 hrs</t>
  </si>
  <si>
    <r>
      <rPr>
        <rFont val="Arial"/>
        <b/>
        <color rgb="FF0000FF"/>
      </rPr>
      <t xml:space="preserve">Total Monthly Files - 7 </t>
    </r>
    <r>
      <rPr>
        <rFont val="Arial"/>
        <b/>
        <color theme="1"/>
      </rPr>
      <t>(Pavithira)</t>
    </r>
    <r>
      <rPr>
        <rFont val="Arial"/>
        <color theme="1"/>
      </rPr>
      <t xml:space="preserve">
Posted query - 0
In progress -  3
Yet to start - 0
Review -0
Completed - 0
</t>
    </r>
    <r>
      <rPr>
        <rFont val="Arial"/>
        <b/>
        <color rgb="FF0000FF"/>
      </rPr>
      <t xml:space="preserve">Daily task - 0
</t>
    </r>
    <r>
      <rPr>
        <rFont val="Arial"/>
        <color theme="1"/>
      </rPr>
      <t xml:space="preserve">Cleanup - 0 
</t>
    </r>
    <r>
      <rPr>
        <rFont val="Arial"/>
        <b/>
        <color theme="1"/>
      </rPr>
      <t>Est -  4Hrs</t>
    </r>
  </si>
  <si>
    <t>Monthly files -  3 Inprocess Booked  -3.68 hrs</t>
  </si>
  <si>
    <r>
      <rPr>
        <rFont val="Arial"/>
        <b/>
        <color rgb="FF0000FF"/>
      </rPr>
      <t xml:space="preserve">Total Monthly Files - 7 </t>
    </r>
    <r>
      <rPr>
        <rFont val="Arial"/>
        <b/>
        <color theme="1"/>
      </rPr>
      <t>(Pavithira)</t>
    </r>
    <r>
      <rPr>
        <rFont val="Arial"/>
        <color theme="1"/>
      </rPr>
      <t xml:space="preserve">
Posted query - 0
In progress -  3
Yet to start - 0
Review -0
Completed - 0
</t>
    </r>
    <r>
      <rPr>
        <rFont val="Arial"/>
        <b/>
        <color rgb="FF0000FF"/>
      </rPr>
      <t xml:space="preserve">Daily task - 0
</t>
    </r>
    <r>
      <rPr>
        <rFont val="Arial"/>
        <color theme="1"/>
      </rPr>
      <t xml:space="preserve">Cleanup - 0 
</t>
    </r>
    <r>
      <rPr>
        <rFont val="Arial"/>
        <b/>
        <color theme="1"/>
      </rPr>
      <t>Est -  4Hrs</t>
    </r>
  </si>
  <si>
    <t>Monthly files -  3 Inprocess Booked  - 4 hrs</t>
  </si>
  <si>
    <r>
      <rPr>
        <rFont val="Arial"/>
        <b/>
        <color rgb="FF0000FF"/>
      </rPr>
      <t xml:space="preserve">Total Monthly Files - 7 </t>
    </r>
    <r>
      <rPr>
        <rFont val="Arial"/>
        <b/>
        <color theme="1"/>
      </rPr>
      <t>(Pavithira)</t>
    </r>
    <r>
      <rPr>
        <rFont val="Arial"/>
        <color theme="1"/>
      </rPr>
      <t xml:space="preserve">
Posted query - 2
In progress -  1
Yet to start - 0
Review -0
Completed - 4
</t>
    </r>
    <r>
      <rPr>
        <rFont val="Arial"/>
        <b/>
        <color rgb="FF0000FF"/>
      </rPr>
      <t xml:space="preserve">Daily task - 0
</t>
    </r>
    <r>
      <rPr>
        <rFont val="Arial"/>
        <color theme="1"/>
      </rPr>
      <t xml:space="preserve">Cleanup - 0 
</t>
    </r>
    <r>
      <rPr>
        <rFont val="Arial"/>
        <b/>
        <color theme="1"/>
      </rPr>
      <t>Est - 1Hrs</t>
    </r>
  </si>
  <si>
    <t>Monthly files -  1 Inprocess Booked  - 0.25 hrs</t>
  </si>
  <si>
    <r>
      <rPr>
        <rFont val="Arial"/>
        <b/>
        <color rgb="FF0000FF"/>
      </rPr>
      <t xml:space="preserve">Total Monthly Files - 7 </t>
    </r>
    <r>
      <rPr>
        <rFont val="Arial"/>
        <b/>
        <color theme="1"/>
      </rPr>
      <t>(Pavithira)</t>
    </r>
    <r>
      <rPr>
        <rFont val="Arial"/>
        <color theme="1"/>
      </rPr>
      <t xml:space="preserve">
Posted query - 2
In progress -  1
Yet to start - 0
Review -0
Completed - 4
</t>
    </r>
    <r>
      <rPr>
        <rFont val="Arial"/>
        <b/>
        <color rgb="FF0000FF"/>
      </rPr>
      <t xml:space="preserve">Daily task - 0
</t>
    </r>
    <r>
      <rPr>
        <rFont val="Arial"/>
        <color theme="1"/>
      </rPr>
      <t xml:space="preserve">Cleanup - 0 
</t>
    </r>
    <r>
      <rPr>
        <rFont val="Arial"/>
        <b/>
        <color theme="1"/>
      </rPr>
      <t>Est - 2Hrs</t>
    </r>
  </si>
  <si>
    <t>Monthly files -  1 Inprocess Booked  - 1.91 hrs</t>
  </si>
  <si>
    <r>
      <rPr>
        <rFont val="Arial"/>
        <b/>
        <color rgb="FF0000FF"/>
      </rPr>
      <t xml:space="preserve">Total Monthly Files - 7 </t>
    </r>
    <r>
      <rPr>
        <rFont val="Arial"/>
        <b/>
        <color theme="1"/>
      </rPr>
      <t>(Pavithira)</t>
    </r>
    <r>
      <rPr>
        <rFont val="Arial"/>
        <color theme="1"/>
      </rPr>
      <t xml:space="preserve">
Posted query - 2
In progress -  1
Yet to start - 0
Review -0
Completed - 4
</t>
    </r>
    <r>
      <rPr>
        <rFont val="Arial"/>
        <b/>
        <color rgb="FF0000FF"/>
      </rPr>
      <t xml:space="preserve">Daily task - 0
</t>
    </r>
    <r>
      <rPr>
        <rFont val="Arial"/>
        <color theme="1"/>
      </rPr>
      <t xml:space="preserve">Cleanup - 0 
</t>
    </r>
    <r>
      <rPr>
        <rFont val="Arial"/>
        <b/>
        <color theme="1"/>
      </rPr>
      <t>Est - 4Hrs</t>
    </r>
  </si>
  <si>
    <t>Monthly files -  1 Inprocess Booked  - 4.87 hrs</t>
  </si>
  <si>
    <r>
      <rPr>
        <rFont val="Arial"/>
        <b/>
        <color rgb="FF0000FF"/>
      </rPr>
      <t xml:space="preserve">Total Monthly Files - 7 </t>
    </r>
    <r>
      <rPr>
        <rFont val="Arial"/>
        <b/>
        <color theme="1"/>
      </rPr>
      <t>(Pavithira)</t>
    </r>
    <r>
      <rPr>
        <rFont val="Arial"/>
        <color theme="1"/>
      </rPr>
      <t xml:space="preserve">
Posted query - 2
In progress -  1
Yet to start - 0
Review -0
Completed - 4
</t>
    </r>
    <r>
      <rPr>
        <rFont val="Arial"/>
        <b/>
        <color rgb="FF0000FF"/>
      </rPr>
      <t xml:space="preserve">Daily task - 0
</t>
    </r>
    <r>
      <rPr>
        <rFont val="Arial"/>
        <color theme="1"/>
      </rPr>
      <t xml:space="preserve">Cleanup - 0 
</t>
    </r>
    <r>
      <rPr>
        <rFont val="Arial"/>
        <b/>
        <color theme="1"/>
      </rPr>
      <t>Est - 4Hrs</t>
    </r>
  </si>
  <si>
    <t>Monthly files -  1 Inprocess Booked  - 5hrs</t>
  </si>
  <si>
    <r>
      <rPr>
        <rFont val="Arial"/>
        <b/>
        <color rgb="FF0000FF"/>
      </rPr>
      <t xml:space="preserve">Total Monthly Files - 7 </t>
    </r>
    <r>
      <rPr>
        <rFont val="Arial"/>
        <b/>
        <color theme="1"/>
      </rPr>
      <t>(Pavithira)</t>
    </r>
    <r>
      <rPr>
        <rFont val="Arial"/>
        <color theme="1"/>
      </rPr>
      <t xml:space="preserve">
Posted query - 2
In progress -  1
Yet to start - 0
Review -0
Completed - 4
</t>
    </r>
    <r>
      <rPr>
        <rFont val="Arial"/>
        <b/>
        <color rgb="FF0000FF"/>
      </rPr>
      <t xml:space="preserve">Daily task - 0
</t>
    </r>
    <r>
      <rPr>
        <rFont val="Arial"/>
        <color theme="1"/>
      </rPr>
      <t xml:space="preserve">Cleanup - 0 
</t>
    </r>
    <r>
      <rPr>
        <rFont val="Arial"/>
        <b/>
        <color theme="1"/>
      </rPr>
      <t>Est - 4Hrs</t>
    </r>
  </si>
  <si>
    <t xml:space="preserve">Booked </t>
  </si>
  <si>
    <r>
      <rPr>
        <rFont val="Arial"/>
        <b/>
        <color rgb="FF0000FF"/>
      </rPr>
      <t xml:space="preserve">Total Monthly Files - 7 </t>
    </r>
    <r>
      <rPr>
        <rFont val="Arial"/>
        <b/>
        <color theme="1"/>
      </rPr>
      <t>(Pavithira)</t>
    </r>
    <r>
      <rPr>
        <rFont val="Arial"/>
        <color theme="1"/>
      </rPr>
      <t xml:space="preserve">
Posted query - 2
In progress -  1
Yet to start - 0
Review -0
Completed - 4
</t>
    </r>
    <r>
      <rPr>
        <rFont val="Arial"/>
        <b/>
        <color rgb="FF0000FF"/>
      </rPr>
      <t xml:space="preserve">Daily task - 0
</t>
    </r>
    <r>
      <rPr>
        <rFont val="Arial"/>
        <color theme="1"/>
      </rPr>
      <t xml:space="preserve">Cleanup - 0 
</t>
    </r>
    <r>
      <rPr>
        <rFont val="Arial"/>
        <b/>
        <color theme="1"/>
      </rPr>
      <t>Est - 4Hrs</t>
    </r>
  </si>
  <si>
    <t>Monthly files -  1 Inprocess Booked  - 3.74hrs</t>
  </si>
  <si>
    <r>
      <rPr>
        <rFont val="Arial"/>
        <b/>
        <color rgb="FF0000FF"/>
      </rPr>
      <t xml:space="preserve">Total Monthly Files - 7 </t>
    </r>
    <r>
      <rPr>
        <rFont val="Arial"/>
        <b/>
        <color theme="1"/>
      </rPr>
      <t>(Pavithira)</t>
    </r>
    <r>
      <rPr>
        <rFont val="Arial"/>
        <color theme="1"/>
      </rPr>
      <t xml:space="preserve">
Posted query - 3
In progress -  0
Yet to start - 0
Review -0
Completed - 4
</t>
    </r>
    <r>
      <rPr>
        <rFont val="Arial"/>
        <b/>
        <color rgb="FF0000FF"/>
      </rPr>
      <t xml:space="preserve">Daily task - 0
</t>
    </r>
    <r>
      <rPr>
        <rFont val="Arial"/>
        <color theme="1"/>
      </rPr>
      <t xml:space="preserve">Cleanup - 0 
</t>
    </r>
    <r>
      <rPr>
        <rFont val="Arial"/>
        <b/>
        <color theme="1"/>
      </rPr>
      <t xml:space="preserve">Est - 4Hrs
</t>
    </r>
  </si>
  <si>
    <t>Booked  - 2.75 hrs</t>
  </si>
  <si>
    <r>
      <rPr>
        <rFont val="Arial"/>
        <b/>
        <color rgb="FF0000FF"/>
      </rPr>
      <t xml:space="preserve">Total Monthly Files - 7 </t>
    </r>
    <r>
      <rPr>
        <rFont val="Arial"/>
        <b/>
        <color theme="1"/>
      </rPr>
      <t>(Pavithira)</t>
    </r>
    <r>
      <rPr>
        <rFont val="Arial"/>
        <color theme="1"/>
      </rPr>
      <t xml:space="preserve">
Posted query - 3
In progress -  0
Yet to start - 0
Review -0
Completed - 4
</t>
    </r>
    <r>
      <rPr>
        <rFont val="Arial"/>
        <b/>
        <color rgb="FF0000FF"/>
      </rPr>
      <t xml:space="preserve">Daily task - 0
</t>
    </r>
    <r>
      <rPr>
        <rFont val="Arial"/>
        <color theme="1"/>
      </rPr>
      <t xml:space="preserve">Cleanup - 0 
</t>
    </r>
    <r>
      <rPr>
        <rFont val="Arial"/>
        <b/>
        <color theme="1"/>
      </rPr>
      <t xml:space="preserve">Est - 4Hrs
</t>
    </r>
  </si>
  <si>
    <t>Booked  - 4.66 hrs</t>
  </si>
  <si>
    <r>
      <rPr>
        <rFont val="Arial"/>
        <b/>
        <color rgb="FF0000FF"/>
      </rPr>
      <t xml:space="preserve">Total Monthly Files - 7 </t>
    </r>
    <r>
      <rPr>
        <rFont val="Arial"/>
        <b/>
        <color theme="1"/>
      </rPr>
      <t>(Pavithira)</t>
    </r>
    <r>
      <rPr>
        <rFont val="Arial"/>
        <color theme="1"/>
      </rPr>
      <t xml:space="preserve">
Posted query - 3
In progress -  0
Yet to start - 0
Review -0
Completed - 4
</t>
    </r>
    <r>
      <rPr>
        <rFont val="Arial"/>
        <b/>
        <color rgb="FF0000FF"/>
      </rPr>
      <t xml:space="preserve">Daily task - 0
</t>
    </r>
    <r>
      <rPr>
        <rFont val="Arial"/>
        <color theme="1"/>
      </rPr>
      <t xml:space="preserve">Cleanup - 0 
</t>
    </r>
    <r>
      <rPr>
        <rFont val="Arial"/>
        <b/>
        <color theme="1"/>
      </rPr>
      <t xml:space="preserve">Est - 4Hrs
</t>
    </r>
  </si>
  <si>
    <t>Booked  - 2.23hrs</t>
  </si>
  <si>
    <r>
      <rPr>
        <rFont val="Arial"/>
        <b/>
        <color rgb="FF0000FF"/>
      </rPr>
      <t xml:space="preserve">Total Monthly Files - 7 </t>
    </r>
    <r>
      <rPr>
        <rFont val="Arial"/>
        <b/>
        <color theme="1"/>
      </rPr>
      <t>(Pavithira)</t>
    </r>
    <r>
      <rPr>
        <rFont val="Arial"/>
        <color theme="1"/>
      </rPr>
      <t xml:space="preserve">
Posted query - 3
In progress -  0
Yet to start - 0
Review -0
Completed - 4
</t>
    </r>
    <r>
      <rPr>
        <rFont val="Arial"/>
        <b/>
        <color rgb="FF0000FF"/>
      </rPr>
      <t xml:space="preserve">Daily task - 0
</t>
    </r>
    <r>
      <rPr>
        <rFont val="Arial"/>
        <color theme="1"/>
      </rPr>
      <t xml:space="preserve">Cleanup - 0 
</t>
    </r>
    <r>
      <rPr>
        <rFont val="Arial"/>
        <b/>
        <color theme="1"/>
      </rPr>
      <t xml:space="preserve">Est - 4Hrs
</t>
    </r>
  </si>
  <si>
    <t>Booked  - 1.16 hrs</t>
  </si>
  <si>
    <r>
      <rPr>
        <rFont val="Arial"/>
        <b/>
        <color rgb="FF0000FF"/>
      </rPr>
      <t xml:space="preserve">Total Monthly Files - 7 </t>
    </r>
    <r>
      <rPr>
        <rFont val="Arial"/>
        <b/>
        <color theme="1"/>
      </rPr>
      <t>(Pavithira)</t>
    </r>
    <r>
      <rPr>
        <rFont val="Arial"/>
        <color theme="1"/>
      </rPr>
      <t xml:space="preserve">
Posted query - 3
In progress -  0
Yet to start - 0
Review -0
Completed - 4
</t>
    </r>
    <r>
      <rPr>
        <rFont val="Arial"/>
        <b/>
        <color rgb="FF0000FF"/>
      </rPr>
      <t xml:space="preserve">Daily task - 0
</t>
    </r>
    <r>
      <rPr>
        <rFont val="Arial"/>
        <color theme="1"/>
      </rPr>
      <t xml:space="preserve">Cleanup - 0 
</t>
    </r>
    <r>
      <rPr>
        <rFont val="Arial"/>
        <b/>
        <color theme="1"/>
      </rPr>
      <t>Est - 3Hrs</t>
    </r>
  </si>
  <si>
    <r>
      <rPr>
        <rFont val="Arial"/>
        <b/>
        <color rgb="FF0000FF"/>
      </rPr>
      <t xml:space="preserve">Total Monthly Files - 6 </t>
    </r>
    <r>
      <rPr>
        <rFont val="Arial"/>
        <b/>
        <color theme="1"/>
      </rPr>
      <t>(Pavithira)</t>
    </r>
    <r>
      <rPr>
        <rFont val="Arial"/>
        <color theme="1"/>
      </rPr>
      <t xml:space="preserve">
Posted query - 0
In progress -  0
Yet to start - 6
Review -0
Completed - 0
</t>
    </r>
    <r>
      <rPr>
        <rFont val="Arial"/>
        <b/>
        <color rgb="FF0000FF"/>
      </rPr>
      <t xml:space="preserve">Daily task - 0
</t>
    </r>
    <r>
      <rPr>
        <rFont val="Arial"/>
        <color theme="1"/>
      </rPr>
      <t xml:space="preserve">Cleanup - 0 
</t>
    </r>
    <r>
      <rPr>
        <rFont val="Arial"/>
        <b/>
        <color theme="1"/>
      </rPr>
      <t>Est - 4Hrs</t>
    </r>
  </si>
  <si>
    <t>Booked  - 2.40 hrs</t>
  </si>
  <si>
    <t>3/326</t>
  </si>
  <si>
    <r>
      <rPr>
        <rFont val="Arial"/>
        <b/>
        <color rgb="FF0000FF"/>
      </rPr>
      <t xml:space="preserve">Total Monthly Files - 6 </t>
    </r>
    <r>
      <rPr>
        <rFont val="Arial"/>
        <b/>
        <color theme="1"/>
      </rPr>
      <t>(Pavithira)</t>
    </r>
    <r>
      <rPr>
        <rFont val="Arial"/>
        <color theme="1"/>
      </rPr>
      <t xml:space="preserve">
Posted query - 0
In progress -  1
Yet to start - 5
Completed - 0
</t>
    </r>
    <r>
      <rPr>
        <rFont val="Arial"/>
        <b/>
        <color rgb="FF0000FF"/>
      </rPr>
      <t xml:space="preserve">Daily task - 0
</t>
    </r>
    <r>
      <rPr>
        <rFont val="Arial"/>
        <color theme="1"/>
      </rPr>
      <t xml:space="preserve">Cleanup - 0 
</t>
    </r>
    <r>
      <rPr>
        <rFont val="Arial"/>
        <b/>
        <color theme="1"/>
      </rPr>
      <t>Est - 4Hrs</t>
    </r>
  </si>
  <si>
    <t>Booked  -8.05 hrs</t>
  </si>
  <si>
    <r>
      <rPr>
        <rFont val="Arial"/>
        <b/>
        <color rgb="FF0000FF"/>
      </rPr>
      <t xml:space="preserve">Total Monthly Files - 6 </t>
    </r>
    <r>
      <rPr>
        <rFont val="Arial"/>
        <b/>
        <color theme="1"/>
      </rPr>
      <t>(Pavithira)</t>
    </r>
    <r>
      <rPr>
        <rFont val="Arial"/>
        <color theme="1"/>
      </rPr>
      <t xml:space="preserve">
Posted query - 0
In progress -  1
Yet to start - 5
Completed - 0
</t>
    </r>
    <r>
      <rPr>
        <rFont val="Arial"/>
        <b/>
        <color rgb="FF0000FF"/>
      </rPr>
      <t xml:space="preserve">Daily task - 0
</t>
    </r>
    <r>
      <rPr>
        <rFont val="Arial"/>
        <color theme="1"/>
      </rPr>
      <t xml:space="preserve">Cleanup - 0 
</t>
    </r>
    <r>
      <rPr>
        <rFont val="Arial"/>
        <b/>
        <color theme="1"/>
      </rPr>
      <t>Est - 7Hrs</t>
    </r>
  </si>
  <si>
    <t>Booked  -6.70 hrs</t>
  </si>
  <si>
    <r>
      <rPr>
        <rFont val="Arial"/>
        <b/>
        <color rgb="FF0000FF"/>
      </rPr>
      <t xml:space="preserve">Total Monthly Files - 6 </t>
    </r>
    <r>
      <rPr>
        <rFont val="Arial"/>
        <b/>
        <color theme="1"/>
      </rPr>
      <t>(Pavithira)</t>
    </r>
    <r>
      <rPr>
        <rFont val="Arial"/>
        <color theme="1"/>
      </rPr>
      <t xml:space="preserve">
Posted query - 0
In progress -  1
Yet to start - 5
Completed - 0
</t>
    </r>
    <r>
      <rPr>
        <rFont val="Arial"/>
        <b/>
        <color rgb="FF0000FF"/>
      </rPr>
      <t xml:space="preserve">Daily task - 0
</t>
    </r>
    <r>
      <rPr>
        <rFont val="Arial"/>
        <color theme="1"/>
      </rPr>
      <t xml:space="preserve">Cleanup - 0 
</t>
    </r>
    <r>
      <rPr>
        <rFont val="Arial"/>
        <b/>
        <color theme="1"/>
      </rPr>
      <t>Est - 3 Hrs</t>
    </r>
  </si>
  <si>
    <t>Booked  -6.05 hrs</t>
  </si>
  <si>
    <r>
      <rPr>
        <rFont val="Arial"/>
        <b/>
        <color rgb="FF0000FF"/>
      </rPr>
      <t xml:space="preserve">Total Monthly Files - 6 </t>
    </r>
    <r>
      <rPr>
        <rFont val="Arial"/>
        <b/>
        <color theme="1"/>
      </rPr>
      <t>(Pavithira)</t>
    </r>
    <r>
      <rPr>
        <rFont val="Arial"/>
        <color theme="1"/>
      </rPr>
      <t xml:space="preserve">
Posted query - 0
In progress -  1
Yet to start - 5
Completed - 0
</t>
    </r>
    <r>
      <rPr>
        <rFont val="Arial"/>
        <b/>
        <color rgb="FF0000FF"/>
      </rPr>
      <t xml:space="preserve">Daily task - 0
</t>
    </r>
    <r>
      <rPr>
        <rFont val="Arial"/>
        <color theme="1"/>
      </rPr>
      <t xml:space="preserve">Cleanup - 0 
</t>
    </r>
    <r>
      <rPr>
        <rFont val="Arial"/>
        <b/>
        <color theme="1"/>
      </rPr>
      <t>Est - 4 Hrs</t>
    </r>
  </si>
  <si>
    <t>Booked  -4 hrs</t>
  </si>
  <si>
    <r>
      <rPr>
        <rFont val="Arial"/>
        <b/>
        <color rgb="FF0000FF"/>
      </rPr>
      <t xml:space="preserve">Total Monthly Files - 6 </t>
    </r>
    <r>
      <rPr>
        <rFont val="Arial"/>
        <b/>
        <color theme="1"/>
      </rPr>
      <t>(Pavithira)</t>
    </r>
    <r>
      <rPr>
        <rFont val="Arial"/>
        <color theme="1"/>
      </rPr>
      <t xml:space="preserve">
Posted query - 0
In progress -  1
Yet to start - 5
Completed - 0
</t>
    </r>
    <r>
      <rPr>
        <rFont val="Arial"/>
        <b/>
        <color rgb="FF0000FF"/>
      </rPr>
      <t xml:space="preserve">Daily task - 0
</t>
    </r>
    <r>
      <rPr>
        <rFont val="Arial"/>
        <color theme="1"/>
      </rPr>
      <t xml:space="preserve">Cleanup - 0 
</t>
    </r>
    <r>
      <rPr>
        <rFont val="Arial"/>
        <b/>
        <color theme="1"/>
      </rPr>
      <t>Est - 2 Hrs</t>
    </r>
  </si>
  <si>
    <t>Booked  -1 hrs</t>
  </si>
  <si>
    <r>
      <rPr>
        <rFont val="Arial"/>
        <b/>
        <color rgb="FF0000FF"/>
      </rPr>
      <t xml:space="preserve">Total Monthly Files - 6 </t>
    </r>
    <r>
      <rPr>
        <rFont val="Arial"/>
        <b/>
        <color theme="1"/>
      </rPr>
      <t>(Pavithira)</t>
    </r>
    <r>
      <rPr>
        <rFont val="Arial"/>
        <color theme="1"/>
      </rPr>
      <t xml:space="preserve">
Posted query - 0
In progress -  1
Yet to start - 5
Completed - 0
</t>
    </r>
    <r>
      <rPr>
        <rFont val="Arial"/>
        <b/>
        <color rgb="FF0000FF"/>
      </rPr>
      <t xml:space="preserve">Daily task - 0
</t>
    </r>
    <r>
      <rPr>
        <rFont val="Arial"/>
        <color theme="1"/>
      </rPr>
      <t xml:space="preserve">Cleanup - 0 
</t>
    </r>
    <r>
      <rPr>
        <rFont val="Arial"/>
        <b/>
        <color theme="1"/>
      </rPr>
      <t>Est - 3 Hrs</t>
    </r>
  </si>
  <si>
    <t>Booked  - 6.47 hrs</t>
  </si>
  <si>
    <r>
      <rPr>
        <rFont val="Arial"/>
        <b/>
        <color rgb="FF0000FF"/>
      </rPr>
      <t xml:space="preserve">Total Monthly Files - 6 </t>
    </r>
    <r>
      <rPr>
        <rFont val="Arial"/>
        <b/>
        <color theme="1"/>
      </rPr>
      <t>(Pavithira)</t>
    </r>
    <r>
      <rPr>
        <rFont val="Arial"/>
        <color theme="1"/>
      </rPr>
      <t xml:space="preserve">
Posted query - 1
In progress -  5
Yet to start - 
Completed - 0
</t>
    </r>
    <r>
      <rPr>
        <rFont val="Arial"/>
        <b/>
        <color rgb="FF0000FF"/>
      </rPr>
      <t xml:space="preserve">Daily task - 0
</t>
    </r>
    <r>
      <rPr>
        <rFont val="Arial"/>
        <color theme="1"/>
      </rPr>
      <t xml:space="preserve">Cleanup - 0 
</t>
    </r>
    <r>
      <rPr>
        <rFont val="Arial"/>
        <b/>
        <color theme="1"/>
      </rPr>
      <t>Est - 2Hrs</t>
    </r>
  </si>
  <si>
    <t>Booked  - 2.48 hrs</t>
  </si>
  <si>
    <r>
      <rPr>
        <rFont val="Arial"/>
        <b/>
        <color rgb="FF0000FF"/>
      </rPr>
      <t xml:space="preserve">Total Monthly Files - 6 </t>
    </r>
    <r>
      <rPr>
        <rFont val="Arial"/>
        <b/>
        <color theme="1"/>
      </rPr>
      <t>(Pavithira)</t>
    </r>
    <r>
      <rPr>
        <rFont val="Arial"/>
        <color theme="1"/>
      </rPr>
      <t xml:space="preserve">
Posted query - 1
In progress -  5
Yet to start - 
Completed - 0
</t>
    </r>
    <r>
      <rPr>
        <rFont val="Arial"/>
        <b/>
        <color rgb="FF0000FF"/>
      </rPr>
      <t xml:space="preserve">Daily task - 0
</t>
    </r>
    <r>
      <rPr>
        <rFont val="Arial"/>
        <color theme="1"/>
      </rPr>
      <t xml:space="preserve">Cleanup - 0 
</t>
    </r>
    <r>
      <rPr>
        <rFont val="Arial"/>
        <b/>
        <color theme="1"/>
      </rPr>
      <t>Est - 4 Hrs</t>
    </r>
  </si>
  <si>
    <t>Booked  - 1.57 hrs</t>
  </si>
  <si>
    <r>
      <rPr>
        <rFont val="Arial"/>
        <b/>
        <color rgb="FF0000FF"/>
      </rPr>
      <t xml:space="preserve">Total Monthly Files - 6 </t>
    </r>
    <r>
      <rPr>
        <rFont val="Arial"/>
        <b/>
        <color theme="1"/>
      </rPr>
      <t>(Pavithira)</t>
    </r>
    <r>
      <rPr>
        <rFont val="Arial"/>
        <color theme="1"/>
      </rPr>
      <t xml:space="preserve">
Posted query - 1
In progress -  5
Yet to start - 
Completed - 0
</t>
    </r>
    <r>
      <rPr>
        <rFont val="Arial"/>
        <b/>
        <color rgb="FF0000FF"/>
      </rPr>
      <t xml:space="preserve">Daily task - 0
</t>
    </r>
    <r>
      <rPr>
        <rFont val="Arial"/>
        <color theme="1"/>
      </rPr>
      <t xml:space="preserve">Cleanup - 0 
</t>
    </r>
    <r>
      <rPr>
        <rFont val="Arial"/>
        <b/>
        <color theme="1"/>
      </rPr>
      <t>Est - 4 Hrs</t>
    </r>
  </si>
  <si>
    <t>Booked  - 1.41 hrs</t>
  </si>
  <si>
    <r>
      <rPr>
        <rFont val="Arial"/>
        <b/>
        <color rgb="FF0000FF"/>
      </rPr>
      <t xml:space="preserve">Total Monthly Files - 6 </t>
    </r>
    <r>
      <rPr>
        <rFont val="Arial"/>
        <b/>
        <color theme="1"/>
      </rPr>
      <t>(Pavithira)</t>
    </r>
    <r>
      <rPr>
        <rFont val="Arial"/>
        <color theme="1"/>
      </rPr>
      <t xml:space="preserve">
Posted query - 1
In progress -  5
Yet to start - 
Completed - 0
</t>
    </r>
    <r>
      <rPr>
        <rFont val="Arial"/>
        <b/>
        <color rgb="FF0000FF"/>
      </rPr>
      <t xml:space="preserve">Daily task - 0
</t>
    </r>
    <r>
      <rPr>
        <rFont val="Arial"/>
        <color theme="1"/>
      </rPr>
      <t xml:space="preserve">Cleanup - 0 
</t>
    </r>
    <r>
      <rPr>
        <rFont val="Arial"/>
        <b/>
        <color theme="1"/>
      </rPr>
      <t>Est - 3 Hrs</t>
    </r>
  </si>
  <si>
    <t>Booked  - 3.81 hrs</t>
  </si>
  <si>
    <t>Got this message from client: 
I don't understand why we are getting these questions.  I believe these are all credit card charges.  Are these being generated and posted from credit card statements on your end?To start with, most of these "we" have not posted as bill and bill payments.  Some, like the City of Seattle charge for $300+ was a credit charge that we paid to Chase and allocated to "permits" for a particular job.  Yet, you input it as a materials charge without allocation to a job.  ????  Next, most of the other items you are asking about are credit card charges to a Wells Fargo c/c that we haven't paid yet, because we haven't even received the current statement.  ???Why is this happening?  This is the same process on our end as we have always done things.
Our response:
We apologize for the earlier message. The City of Seattle transaction is coded under Permits; however, the message was mistakenly labeled as Materials.
In our first message, we wanted to let you know that transactions are typically recorded as Bills, with the corresponding Expense matched to the bill payment. In this case, since there is no corresponding bill to match, we have recorded the transaction directly as an Expense in the Permits account.
We appreciate your understanding and apologize for any confusion this may have caused.</t>
  </si>
  <si>
    <r>
      <rPr>
        <rFont val="Arial"/>
        <b/>
        <color rgb="FF0000FF"/>
      </rPr>
      <t xml:space="preserve">Total Monthly Files - 6 </t>
    </r>
    <r>
      <rPr>
        <rFont val="Arial"/>
        <b/>
        <color theme="1"/>
      </rPr>
      <t>(Pavithira)</t>
    </r>
    <r>
      <rPr>
        <rFont val="Arial"/>
        <color theme="1"/>
      </rPr>
      <t xml:space="preserve">
Posted query - 1
In progress -  5
Yet to start - 
Completed - 0
</t>
    </r>
    <r>
      <rPr>
        <rFont val="Arial"/>
        <b/>
        <color rgb="FF0000FF"/>
      </rPr>
      <t xml:space="preserve">Daily task - 0
</t>
    </r>
    <r>
      <rPr>
        <rFont val="Arial"/>
        <color theme="1"/>
      </rPr>
      <t xml:space="preserve">Cleanup - 0 
</t>
    </r>
    <r>
      <rPr>
        <rFont val="Arial"/>
        <b/>
        <color theme="1"/>
      </rPr>
      <t>Est - 0 Hrs</t>
    </r>
  </si>
  <si>
    <t>Booked  - 3.20 hrs</t>
  </si>
  <si>
    <r>
      <rPr>
        <rFont val="Arial"/>
        <b/>
        <color rgb="FF0000FF"/>
      </rPr>
      <t xml:space="preserve">Total Monthly Files - 6 </t>
    </r>
    <r>
      <rPr>
        <rFont val="Arial"/>
        <b/>
        <color theme="1"/>
      </rPr>
      <t>(Pavithira)</t>
    </r>
    <r>
      <rPr>
        <rFont val="Arial"/>
        <color theme="1"/>
      </rPr>
      <t xml:space="preserve">
Posted query - 1
In progress -  5
Yet to start - 
Completed - 0
</t>
    </r>
    <r>
      <rPr>
        <rFont val="Arial"/>
        <b/>
        <color rgb="FF0000FF"/>
      </rPr>
      <t xml:space="preserve">Daily task - 0
</t>
    </r>
    <r>
      <rPr>
        <rFont val="Arial"/>
        <color theme="1"/>
      </rPr>
      <t xml:space="preserve">Cleanup - 0 
</t>
    </r>
    <r>
      <rPr>
        <rFont val="Arial"/>
        <b/>
        <color theme="1"/>
      </rPr>
      <t>Est - 3 Hrs</t>
    </r>
  </si>
  <si>
    <t>Booked  -2  hrs</t>
  </si>
  <si>
    <r>
      <rPr>
        <rFont val="Arial"/>
        <b/>
        <color rgb="FF0000FF"/>
      </rPr>
      <t xml:space="preserve">Total Monthly Files - 6 </t>
    </r>
    <r>
      <rPr>
        <rFont val="Arial"/>
        <b/>
        <color theme="1"/>
      </rPr>
      <t>(Pavithira)</t>
    </r>
    <r>
      <rPr>
        <rFont val="Arial"/>
        <color theme="1"/>
      </rPr>
      <t xml:space="preserve">
Posted query - 3
In progress -  3
Yet to start - 
Completed - 0
</t>
    </r>
    <r>
      <rPr>
        <rFont val="Arial"/>
        <b/>
        <color rgb="FF0000FF"/>
      </rPr>
      <t xml:space="preserve">Daily task - 0
</t>
    </r>
    <r>
      <rPr>
        <rFont val="Arial"/>
        <color theme="1"/>
      </rPr>
      <t xml:space="preserve">Cleanup - 0 
</t>
    </r>
    <r>
      <rPr>
        <rFont val="Arial"/>
        <b/>
        <color theme="1"/>
      </rPr>
      <t>Est - 3 Hrs</t>
    </r>
  </si>
  <si>
    <t>Booked  -1.32 hrs</t>
  </si>
  <si>
    <r>
      <rPr>
        <rFont val="Arial"/>
        <b/>
        <color rgb="FF0000FF"/>
      </rPr>
      <t xml:space="preserve">Total Monthly Files - 6 </t>
    </r>
    <r>
      <rPr>
        <rFont val="Arial"/>
        <b/>
        <color theme="1"/>
      </rPr>
      <t>(Pavithira)</t>
    </r>
    <r>
      <rPr>
        <rFont val="Arial"/>
        <color theme="1"/>
      </rPr>
      <t xml:space="preserve">
Posted query - 3
In progress -  3
Yet to start - 
Completed - 0
</t>
    </r>
    <r>
      <rPr>
        <rFont val="Arial"/>
        <b/>
        <color rgb="FF0000FF"/>
      </rPr>
      <t xml:space="preserve">Daily task - 0
</t>
    </r>
    <r>
      <rPr>
        <rFont val="Arial"/>
        <color theme="1"/>
      </rPr>
      <t xml:space="preserve">Cleanup - 0 
</t>
    </r>
    <r>
      <rPr>
        <rFont val="Arial"/>
        <b/>
        <color theme="1"/>
      </rPr>
      <t>Est - 4 Hrs</t>
    </r>
  </si>
  <si>
    <t>Booked  -3 hrs</t>
  </si>
  <si>
    <r>
      <rPr>
        <rFont val="Arial"/>
        <b/>
        <color rgb="FF0000FF"/>
      </rPr>
      <t xml:space="preserve">Total Monthly Files - 6 </t>
    </r>
    <r>
      <rPr>
        <rFont val="Arial"/>
        <b/>
        <color theme="1"/>
      </rPr>
      <t>(Pavithira)</t>
    </r>
    <r>
      <rPr>
        <rFont val="Arial"/>
        <color theme="1"/>
      </rPr>
      <t xml:space="preserve">
Posted query - 4
In progress -  2
Yet to start - 
Completed - 0
</t>
    </r>
    <r>
      <rPr>
        <rFont val="Arial"/>
        <b/>
        <color rgb="FF0000FF"/>
      </rPr>
      <t xml:space="preserve">Daily task - 0
</t>
    </r>
    <r>
      <rPr>
        <rFont val="Arial"/>
        <color theme="1"/>
      </rPr>
      <t xml:space="preserve">Cleanup - 0 
</t>
    </r>
    <r>
      <rPr>
        <rFont val="Arial"/>
        <b/>
        <color theme="1"/>
      </rPr>
      <t>Est - 4 Hrs</t>
    </r>
  </si>
  <si>
    <t>Booked  -5.32 hrs</t>
  </si>
  <si>
    <r>
      <rPr>
        <rFont val="Arial"/>
        <b/>
        <color rgb="FF0000FF"/>
      </rPr>
      <t xml:space="preserve">Total Monthly Files - 6 </t>
    </r>
    <r>
      <rPr>
        <rFont val="Arial"/>
        <b/>
        <color theme="1"/>
      </rPr>
      <t>(Pavithira)</t>
    </r>
    <r>
      <rPr>
        <rFont val="Arial"/>
        <color theme="1"/>
      </rPr>
      <t xml:space="preserve">
Posted query - 4
In progress -  2
Yet to start - 
Completed - 0
</t>
    </r>
    <r>
      <rPr>
        <rFont val="Arial"/>
        <b/>
        <color rgb="FF0000FF"/>
      </rPr>
      <t xml:space="preserve">Daily task - 0
</t>
    </r>
    <r>
      <rPr>
        <rFont val="Arial"/>
        <color theme="1"/>
      </rPr>
      <t xml:space="preserve">Cleanup - 0 
</t>
    </r>
    <r>
      <rPr>
        <rFont val="Arial"/>
        <b/>
        <color theme="1"/>
      </rPr>
      <t>Est - 3 Hrs</t>
    </r>
  </si>
  <si>
    <t>Booked  - 3.23hrs</t>
  </si>
  <si>
    <r>
      <rPr>
        <rFont val="Arial"/>
        <b/>
        <color rgb="FF0000FF"/>
      </rPr>
      <t xml:space="preserve">Total Monthly Files - 6 </t>
    </r>
    <r>
      <rPr>
        <rFont val="Arial"/>
        <b/>
        <color theme="1"/>
      </rPr>
      <t>(Pavithira)</t>
    </r>
    <r>
      <rPr>
        <rFont val="Arial"/>
        <color theme="1"/>
      </rPr>
      <t xml:space="preserve">
Posted query - 4
In progress -  2
Yet to start - 
Completed - 0
</t>
    </r>
    <r>
      <rPr>
        <rFont val="Arial"/>
        <b/>
        <color rgb="FF0000FF"/>
      </rPr>
      <t xml:space="preserve">Daily task - 0
</t>
    </r>
    <r>
      <rPr>
        <rFont val="Arial"/>
        <color theme="1"/>
      </rPr>
      <t xml:space="preserve">Cleanup - 0 
</t>
    </r>
    <r>
      <rPr>
        <rFont val="Arial"/>
        <b/>
        <color theme="1"/>
      </rPr>
      <t>Est - 3 Hrs</t>
    </r>
  </si>
  <si>
    <t>Booked  - 3.05hrs</t>
  </si>
  <si>
    <r>
      <rPr>
        <rFont val="Arial"/>
        <b/>
        <color rgb="FF0000FF"/>
      </rPr>
      <t xml:space="preserve">Total Monthly Files - 6 </t>
    </r>
    <r>
      <rPr>
        <rFont val="Arial"/>
        <b/>
        <color theme="1"/>
      </rPr>
      <t>(Pavithira)</t>
    </r>
    <r>
      <rPr>
        <rFont val="Arial"/>
        <color theme="1"/>
      </rPr>
      <t xml:space="preserve">
Posted query - 4
In progress -  2
Yet to start - 
Completed - 0
</t>
    </r>
    <r>
      <rPr>
        <rFont val="Arial"/>
        <b/>
        <color rgb="FF0000FF"/>
      </rPr>
      <t xml:space="preserve">Daily task - 0
</t>
    </r>
    <r>
      <rPr>
        <rFont val="Arial"/>
        <color theme="1"/>
      </rPr>
      <t xml:space="preserve">Cleanup - 0 
</t>
    </r>
    <r>
      <rPr>
        <rFont val="Arial"/>
        <b/>
        <color theme="1"/>
      </rPr>
      <t>Est - 3 Hrs</t>
    </r>
  </si>
  <si>
    <t>Booked  - 3.57hrs</t>
  </si>
  <si>
    <r>
      <rPr>
        <rFont val="Arial"/>
        <b/>
        <color rgb="FF0000FF"/>
      </rPr>
      <t xml:space="preserve">Total Monthly Files - 6 </t>
    </r>
    <r>
      <rPr>
        <rFont val="Arial"/>
        <b/>
        <color theme="1"/>
      </rPr>
      <t>(Pavithira)</t>
    </r>
    <r>
      <rPr>
        <rFont val="Arial"/>
        <color theme="1"/>
      </rPr>
      <t xml:space="preserve">
Posted query - 5
In progress -  1
Yet to start - 
Completed - 0
</t>
    </r>
    <r>
      <rPr>
        <rFont val="Arial"/>
        <b/>
        <color rgb="FF0000FF"/>
      </rPr>
      <t xml:space="preserve">Daily task - 0
</t>
    </r>
    <r>
      <rPr>
        <rFont val="Arial"/>
        <color theme="1"/>
      </rPr>
      <t xml:space="preserve">Cleanup - 0 
</t>
    </r>
    <r>
      <rPr>
        <rFont val="Arial"/>
        <b/>
        <color theme="1"/>
      </rPr>
      <t>Est - 1.30 Hrs</t>
    </r>
  </si>
  <si>
    <t>Booked  - 0.74hrs</t>
  </si>
  <si>
    <r>
      <rPr>
        <rFont val="Arial"/>
        <b/>
        <color rgb="FF0000FF"/>
      </rPr>
      <t xml:space="preserve">Total Monthly Files - 6 </t>
    </r>
    <r>
      <rPr>
        <rFont val="Arial"/>
        <b/>
        <color theme="1"/>
      </rPr>
      <t>(Pavithira)</t>
    </r>
    <r>
      <rPr>
        <rFont val="Arial"/>
        <color theme="1"/>
      </rPr>
      <t xml:space="preserve">
Posted query - 5
In progress -  1
Yet to start - 
Completed - 0
</t>
    </r>
    <r>
      <rPr>
        <rFont val="Arial"/>
        <b/>
        <color rgb="FF0000FF"/>
      </rPr>
      <t xml:space="preserve">Daily task - 0
</t>
    </r>
    <r>
      <rPr>
        <rFont val="Arial"/>
        <color theme="1"/>
      </rPr>
      <t xml:space="preserve">Cleanup - 0 
</t>
    </r>
    <r>
      <rPr>
        <rFont val="Arial"/>
        <b/>
        <color theme="1"/>
      </rPr>
      <t>Est - 1 Hrs</t>
    </r>
  </si>
  <si>
    <t>Booked  - 0.90hrs</t>
  </si>
  <si>
    <r>
      <rPr>
        <rFont val="Arial"/>
        <b/>
        <color rgb="FF0000FF"/>
      </rPr>
      <t xml:space="preserve">Total Monthly Files - 6 </t>
    </r>
    <r>
      <rPr>
        <rFont val="Arial"/>
        <b/>
        <color theme="1"/>
      </rPr>
      <t>(Pavithira)</t>
    </r>
    <r>
      <rPr>
        <rFont val="Arial"/>
        <color theme="1"/>
      </rPr>
      <t xml:space="preserve">
Posted query - 6
In progress -  0
Yet to start - 0
Completed - 0
</t>
    </r>
    <r>
      <rPr>
        <rFont val="Arial"/>
        <b/>
        <color rgb="FF0000FF"/>
      </rPr>
      <t xml:space="preserve">Daily task - 0
</t>
    </r>
    <r>
      <rPr>
        <rFont val="Arial"/>
        <color theme="1"/>
      </rPr>
      <t xml:space="preserve">Cleanup - 0 
</t>
    </r>
    <r>
      <rPr>
        <rFont val="Arial"/>
        <b/>
        <color theme="1"/>
      </rPr>
      <t>Est - 1 Hrs</t>
    </r>
  </si>
  <si>
    <t>Booked  - 1.73hrs</t>
  </si>
  <si>
    <r>
      <rPr>
        <rFont val="Arial"/>
        <b/>
        <color rgb="FF0000FF"/>
      </rPr>
      <t xml:space="preserve">Total Monthly Files - 6 </t>
    </r>
    <r>
      <rPr>
        <rFont val="Arial"/>
        <b/>
        <color theme="1"/>
      </rPr>
      <t>(Pavithira)</t>
    </r>
    <r>
      <rPr>
        <rFont val="Arial"/>
        <color theme="1"/>
      </rPr>
      <t xml:space="preserve">
Posted query - 6
In progress -  0
Yet to start - 0
Completed - 0
</t>
    </r>
    <r>
      <rPr>
        <rFont val="Arial"/>
        <b/>
        <color rgb="FF0000FF"/>
      </rPr>
      <t xml:space="preserve">Daily task - 0
</t>
    </r>
    <r>
      <rPr>
        <rFont val="Arial"/>
        <color theme="1"/>
      </rPr>
      <t xml:space="preserve">Cleanup - 0 
</t>
    </r>
    <r>
      <rPr>
        <rFont val="Arial"/>
        <b/>
        <color theme="1"/>
      </rPr>
      <t>Est - 1 Hrs</t>
    </r>
  </si>
  <si>
    <t>Booked  - 1.24hrs</t>
  </si>
  <si>
    <r>
      <rPr>
        <rFont val="Arial"/>
        <b/>
        <color rgb="FF0000FF"/>
      </rPr>
      <t xml:space="preserve">Total Monthly Files - 6 </t>
    </r>
    <r>
      <rPr>
        <rFont val="Arial"/>
        <b/>
        <color theme="1"/>
      </rPr>
      <t>(Pavithira)</t>
    </r>
    <r>
      <rPr>
        <rFont val="Arial"/>
        <color theme="1"/>
      </rPr>
      <t xml:space="preserve">
Posted query - 6
In progress -  0
Yet to start - 0
Completed - 0
</t>
    </r>
    <r>
      <rPr>
        <rFont val="Arial"/>
        <b/>
        <color rgb="FF0000FF"/>
      </rPr>
      <t xml:space="preserve">Daily task - 0
</t>
    </r>
    <r>
      <rPr>
        <rFont val="Arial"/>
        <color theme="1"/>
      </rPr>
      <t xml:space="preserve">Cleanup - 0 
</t>
    </r>
    <r>
      <rPr>
        <rFont val="Arial"/>
        <b/>
        <color theme="1"/>
      </rPr>
      <t>Est - 1 Hrs</t>
    </r>
  </si>
  <si>
    <t>Booked  - 0.16hrs</t>
  </si>
  <si>
    <r>
      <rPr>
        <rFont val="Arial"/>
        <b/>
        <color rgb="FF0000FF"/>
      </rPr>
      <t xml:space="preserve">Total Monthly Files - 6 </t>
    </r>
    <r>
      <rPr>
        <rFont val="Arial"/>
        <b/>
        <color theme="1"/>
      </rPr>
      <t>(Pavithira)</t>
    </r>
    <r>
      <rPr>
        <rFont val="Arial"/>
        <color theme="1"/>
      </rPr>
      <t xml:space="preserve">
Posted query - 6
In progress -  0
Yet to start - 0
Completed - 0
</t>
    </r>
    <r>
      <rPr>
        <rFont val="Arial"/>
        <b/>
        <color rgb="FF0000FF"/>
      </rPr>
      <t xml:space="preserve">Daily task - 0
</t>
    </r>
    <r>
      <rPr>
        <rFont val="Arial"/>
        <color theme="1"/>
      </rPr>
      <t xml:space="preserve">Cleanup - 0 
</t>
    </r>
    <r>
      <rPr>
        <rFont val="Arial"/>
        <b/>
        <color theme="1"/>
      </rPr>
      <t>Est - 1 Hrs</t>
    </r>
  </si>
  <si>
    <t>Booked  - 1.31hrs</t>
  </si>
  <si>
    <r>
      <rPr>
        <rFont val="Arial"/>
        <b/>
        <color rgb="FF0000FF"/>
      </rPr>
      <t xml:space="preserve">Total Monthly Files - 6 </t>
    </r>
    <r>
      <rPr>
        <rFont val="Arial"/>
        <b/>
        <color theme="1"/>
      </rPr>
      <t>(Pavithira)</t>
    </r>
    <r>
      <rPr>
        <rFont val="Arial"/>
        <color theme="1"/>
      </rPr>
      <t xml:space="preserve">
Posted query - 6
In progress -  0
Yet to start - 0
Completed - 0
</t>
    </r>
    <r>
      <rPr>
        <rFont val="Arial"/>
        <b/>
        <color rgb="FF0000FF"/>
      </rPr>
      <t xml:space="preserve">Daily task - 0
</t>
    </r>
    <r>
      <rPr>
        <rFont val="Arial"/>
        <color theme="1"/>
      </rPr>
      <t xml:space="preserve">Cleanup - 0 
</t>
    </r>
    <r>
      <rPr>
        <rFont val="Arial"/>
        <b/>
        <color theme="1"/>
      </rPr>
      <t>Est - 4 Hrs</t>
    </r>
  </si>
  <si>
    <t>Booked  - 4.30hrs</t>
  </si>
  <si>
    <r>
      <rPr>
        <rFont val="Arial"/>
        <b/>
        <color rgb="FF0000FF"/>
      </rPr>
      <t xml:space="preserve">Total Monthly Files - 6 </t>
    </r>
    <r>
      <rPr>
        <rFont val="Arial"/>
        <b/>
        <color theme="1"/>
      </rPr>
      <t>(Bhuvaneswari)</t>
    </r>
    <r>
      <rPr>
        <rFont val="Arial"/>
        <color theme="1"/>
      </rPr>
      <t xml:space="preserve">
Posted query - 0
In progress -  6
Yet to start - 0
Completed - 0
</t>
    </r>
    <r>
      <rPr>
        <rFont val="Arial"/>
        <b/>
        <color rgb="FF0000FF"/>
      </rPr>
      <t xml:space="preserve">Daily task - 0
</t>
    </r>
    <r>
      <rPr>
        <rFont val="Arial"/>
        <color theme="1"/>
      </rPr>
      <t xml:space="preserve">Cleanup - 0 
</t>
    </r>
    <r>
      <rPr>
        <rFont val="Arial"/>
        <b/>
        <color theme="1"/>
      </rPr>
      <t>Est - 4 Hrs</t>
    </r>
  </si>
  <si>
    <t>Booked  - 4.99hrs</t>
  </si>
  <si>
    <r>
      <rPr>
        <rFont val="Arial"/>
        <b/>
        <color rgb="FF0000FF"/>
      </rPr>
      <t xml:space="preserve">Total Monthly Files - 6 </t>
    </r>
    <r>
      <rPr>
        <rFont val="Arial"/>
        <b/>
        <color theme="1"/>
      </rPr>
      <t>(Bhuvaneswari)</t>
    </r>
    <r>
      <rPr>
        <rFont val="Arial"/>
        <color theme="1"/>
      </rPr>
      <t xml:space="preserve">
Posted query - 0
In progress -  6
Yet to start - 0
Completed - 0
</t>
    </r>
    <r>
      <rPr>
        <rFont val="Arial"/>
        <b/>
        <color rgb="FF0000FF"/>
      </rPr>
      <t xml:space="preserve">Daily task - 0
</t>
    </r>
    <r>
      <rPr>
        <rFont val="Arial"/>
        <color theme="1"/>
      </rPr>
      <t xml:space="preserve">Cleanup - 0 
</t>
    </r>
    <r>
      <rPr>
        <rFont val="Arial"/>
        <b/>
        <color theme="1"/>
      </rPr>
      <t>Est - 4 Hrs</t>
    </r>
  </si>
  <si>
    <t>Booked  - 2.52 hrs</t>
  </si>
  <si>
    <r>
      <rPr>
        <rFont val="Arial"/>
        <b/>
        <color rgb="FF0000FF"/>
      </rPr>
      <t xml:space="preserve">Total Monthly Files - 6 </t>
    </r>
    <r>
      <rPr>
        <rFont val="Arial"/>
        <b/>
        <color theme="1"/>
      </rPr>
      <t>(Bhuvaneswari)</t>
    </r>
    <r>
      <rPr>
        <rFont val="Arial"/>
        <color theme="1"/>
      </rPr>
      <t xml:space="preserve">
Posted query - 2
In progress - 4
Yet to start - 0
Completed - 0
</t>
    </r>
    <r>
      <rPr>
        <rFont val="Arial"/>
        <b/>
        <color rgb="FF0000FF"/>
      </rPr>
      <t xml:space="preserve">Daily task - 6
</t>
    </r>
    <r>
      <rPr>
        <rFont val="Arial"/>
        <color theme="1"/>
      </rPr>
      <t xml:space="preserve">Cleanup - 0 
</t>
    </r>
    <r>
      <rPr>
        <rFont val="Arial"/>
        <b/>
        <color theme="1"/>
      </rPr>
      <t>Est -  2 Hrs</t>
    </r>
  </si>
  <si>
    <t>Booked  - 1.90 hrs</t>
  </si>
  <si>
    <r>
      <rPr>
        <rFont val="Arial"/>
        <b/>
        <color rgb="FF0000FF"/>
      </rPr>
      <t xml:space="preserve">Total Monthly Files - 6 </t>
    </r>
    <r>
      <rPr>
        <rFont val="Arial"/>
        <b/>
        <color theme="1"/>
      </rPr>
      <t>(Bhuvaneswari)</t>
    </r>
    <r>
      <rPr>
        <rFont val="Arial"/>
        <color theme="1"/>
      </rPr>
      <t xml:space="preserve">
Posted query - 2
In progress - 4
Yet to start - 0
Completed - 0
</t>
    </r>
    <r>
      <rPr>
        <rFont val="Arial"/>
        <b/>
        <color rgb="FF0000FF"/>
      </rPr>
      <t xml:space="preserve">Daily task - 6
</t>
    </r>
    <r>
      <rPr>
        <rFont val="Arial"/>
        <color theme="1"/>
      </rPr>
      <t xml:space="preserve">Cleanup - 0 
</t>
    </r>
    <r>
      <rPr>
        <rFont val="Arial"/>
        <b/>
        <color theme="1"/>
      </rPr>
      <t>Est -  4 Hrs</t>
    </r>
  </si>
  <si>
    <r>
      <rPr>
        <rFont val="Arial"/>
        <b/>
        <color rgb="FF0000FF"/>
      </rPr>
      <t xml:space="preserve">Total Monthly Files - 6 </t>
    </r>
    <r>
      <rPr>
        <rFont val="Arial"/>
        <b/>
        <color theme="1"/>
      </rPr>
      <t>(Bhuvaneswari)</t>
    </r>
    <r>
      <rPr>
        <rFont val="Arial"/>
        <color theme="1"/>
      </rPr>
      <t xml:space="preserve">
Posted query - 2
In progress - 4
Yet to start - 0
Completed - 0
</t>
    </r>
    <r>
      <rPr>
        <rFont val="Arial"/>
        <b/>
        <color rgb="FF0000FF"/>
      </rPr>
      <t xml:space="preserve">Daily task - 6
</t>
    </r>
    <r>
      <rPr>
        <rFont val="Arial"/>
        <color theme="1"/>
      </rPr>
      <t xml:space="preserve">Cleanup - 0 
</t>
    </r>
    <r>
      <rPr>
        <rFont val="Arial"/>
        <b/>
        <color theme="1"/>
      </rPr>
      <t>Est -  4 Hrs</t>
    </r>
  </si>
  <si>
    <t>Booked  - 4.55hrs</t>
  </si>
  <si>
    <r>
      <rPr>
        <rFont val="Arial"/>
        <b/>
        <color rgb="FF0000FF"/>
      </rPr>
      <t xml:space="preserve">Total Monthly Files - 6 </t>
    </r>
    <r>
      <rPr>
        <rFont val="Arial"/>
        <b/>
        <color theme="1"/>
      </rPr>
      <t>(Bhuvaneswari)</t>
    </r>
    <r>
      <rPr>
        <rFont val="Arial"/>
        <color theme="1"/>
      </rPr>
      <t xml:space="preserve">
Posted query - 2
In progress - 4
Yet to start - 0
Completed - 0
</t>
    </r>
    <r>
      <rPr>
        <rFont val="Arial"/>
        <b/>
        <color rgb="FF0000FF"/>
      </rPr>
      <t xml:space="preserve">Daily task - 6
</t>
    </r>
    <r>
      <rPr>
        <rFont val="Arial"/>
        <color theme="1"/>
      </rPr>
      <t xml:space="preserve">Cleanup - 0 
</t>
    </r>
    <r>
      <rPr>
        <rFont val="Arial"/>
        <b/>
        <color theme="1"/>
      </rPr>
      <t>Est -  4 Hrs</t>
    </r>
  </si>
  <si>
    <t>Booked  -  3.22 hrs</t>
  </si>
  <si>
    <r>
      <rPr>
        <rFont val="Arial"/>
        <b/>
        <color rgb="FF0000FF"/>
      </rPr>
      <t xml:space="preserve">Total Monthly Files - 6 </t>
    </r>
    <r>
      <rPr>
        <rFont val="Arial"/>
        <b/>
        <color theme="1"/>
      </rPr>
      <t>(Bhuvaneswari)</t>
    </r>
    <r>
      <rPr>
        <rFont val="Arial"/>
        <color theme="1"/>
      </rPr>
      <t xml:space="preserve">
Posted query - 2
In progress - 4
Yet to start - 0
Completed - 0
</t>
    </r>
    <r>
      <rPr>
        <rFont val="Arial"/>
        <b/>
        <color rgb="FF0000FF"/>
      </rPr>
      <t xml:space="preserve">Daily task - 6
</t>
    </r>
    <r>
      <rPr>
        <rFont val="Arial"/>
        <color theme="1"/>
      </rPr>
      <t xml:space="preserve">Cleanup - 0 
</t>
    </r>
    <r>
      <rPr>
        <rFont val="Arial"/>
        <b/>
        <color theme="1"/>
      </rPr>
      <t>Est -  4 Hrs</t>
    </r>
  </si>
  <si>
    <t>Booked  -  4.48hrs</t>
  </si>
  <si>
    <r>
      <rPr>
        <rFont val="Arial"/>
        <b/>
        <color rgb="FF0000FF"/>
      </rPr>
      <t xml:space="preserve">Total Monthly Files - 6 </t>
    </r>
    <r>
      <rPr>
        <rFont val="Arial"/>
        <b/>
        <color theme="1"/>
      </rPr>
      <t>(Bhuvaneswari)</t>
    </r>
    <r>
      <rPr>
        <rFont val="Arial"/>
        <color theme="1"/>
      </rPr>
      <t xml:space="preserve">
Posted query - 2
In progress - 4
Yet to start - 0
Completed - 0
</t>
    </r>
    <r>
      <rPr>
        <rFont val="Arial"/>
        <b/>
        <color rgb="FF0000FF"/>
      </rPr>
      <t xml:space="preserve">Daily task - 6
</t>
    </r>
    <r>
      <rPr>
        <rFont val="Arial"/>
        <color theme="1"/>
      </rPr>
      <t xml:space="preserve">Cleanup - 0 
</t>
    </r>
    <r>
      <rPr>
        <rFont val="Arial"/>
        <b/>
        <color theme="1"/>
      </rPr>
      <t>Est -  4 Hrs</t>
    </r>
  </si>
  <si>
    <t>Booked  -  2.98hrs</t>
  </si>
  <si>
    <r>
      <rPr>
        <rFont val="Arial"/>
        <b/>
        <color rgb="FF0000FF"/>
      </rPr>
      <t xml:space="preserve">Total Monthly Files - 6 </t>
    </r>
    <r>
      <rPr>
        <rFont val="Arial"/>
        <b/>
        <color theme="1"/>
      </rPr>
      <t>(Bhuvaneswari)</t>
    </r>
    <r>
      <rPr>
        <rFont val="Arial"/>
        <color theme="1"/>
      </rPr>
      <t xml:space="preserve">
Posted query - 2
In progress - 4
Yet to start - 0
Completed - 0
</t>
    </r>
    <r>
      <rPr>
        <rFont val="Arial"/>
        <b/>
        <color rgb="FF0000FF"/>
      </rPr>
      <t xml:space="preserve">Daily task - 6
</t>
    </r>
    <r>
      <rPr>
        <rFont val="Arial"/>
        <color theme="1"/>
      </rPr>
      <t xml:space="preserve">Cleanup - 0 
</t>
    </r>
    <r>
      <rPr>
        <rFont val="Arial"/>
        <b/>
        <color theme="1"/>
      </rPr>
      <t>Est -  4 Hrs</t>
    </r>
  </si>
  <si>
    <t>Booked  -  1.82hrs</t>
  </si>
  <si>
    <r>
      <rPr>
        <rFont val="Arial"/>
        <b/>
        <color rgb="FF0000FF"/>
      </rPr>
      <t xml:space="preserve">Total Monthly Files - 6 </t>
    </r>
    <r>
      <rPr>
        <rFont val="Arial"/>
        <b/>
        <color theme="1"/>
      </rPr>
      <t>(Bhuvaneswari)</t>
    </r>
    <r>
      <rPr>
        <rFont val="Arial"/>
        <color theme="1"/>
      </rPr>
      <t xml:space="preserve">
Posted query - 2
In progress - 4
Yet to start - 0
Completed - 0
</t>
    </r>
    <r>
      <rPr>
        <rFont val="Arial"/>
        <b/>
        <color rgb="FF0000FF"/>
      </rPr>
      <t xml:space="preserve">Daily task - 6
</t>
    </r>
    <r>
      <rPr>
        <rFont val="Arial"/>
        <color theme="1"/>
      </rPr>
      <t xml:space="preserve">Cleanup - 0 
</t>
    </r>
    <r>
      <rPr>
        <rFont val="Arial"/>
        <b/>
        <color theme="1"/>
      </rPr>
      <t>Est -  Nil Hrs</t>
    </r>
  </si>
  <si>
    <t>Booked - Nil</t>
  </si>
  <si>
    <r>
      <rPr>
        <rFont val="Arial"/>
        <b/>
        <color rgb="FF0000FF"/>
      </rPr>
      <t xml:space="preserve">Total Monthly Files - 6 </t>
    </r>
    <r>
      <rPr>
        <rFont val="Arial"/>
        <b/>
        <color theme="1"/>
      </rPr>
      <t>(Bhuvaneswari)</t>
    </r>
    <r>
      <rPr>
        <rFont val="Arial"/>
        <color theme="1"/>
      </rPr>
      <t xml:space="preserve">
Posted query - 2
In progress - 4
Yet to start - 0
Completed - 0
</t>
    </r>
    <r>
      <rPr>
        <rFont val="Arial"/>
        <b/>
        <color rgb="FF0000FF"/>
      </rPr>
      <t xml:space="preserve">Daily task - 6
</t>
    </r>
    <r>
      <rPr>
        <rFont val="Arial"/>
        <color theme="1"/>
      </rPr>
      <t xml:space="preserve">Cleanup - 0 
</t>
    </r>
    <r>
      <rPr>
        <rFont val="Arial"/>
        <b/>
        <color theme="1"/>
      </rPr>
      <t>Est -  1Hrs</t>
    </r>
  </si>
  <si>
    <t>Booked - 2.81</t>
  </si>
  <si>
    <r>
      <rPr>
        <rFont val="Arial"/>
        <b/>
        <color rgb="FF0000FF"/>
      </rPr>
      <t xml:space="preserve">Total Monthly Files - 6 </t>
    </r>
    <r>
      <rPr>
        <rFont val="Arial"/>
        <b/>
        <color theme="1"/>
      </rPr>
      <t>(Bhuvaneswari)</t>
    </r>
    <r>
      <rPr>
        <rFont val="Arial"/>
        <color theme="1"/>
      </rPr>
      <t xml:space="preserve">
Posted query - 2
In progress - 4
Yet to start - 0
Completed - 0
</t>
    </r>
    <r>
      <rPr>
        <rFont val="Arial"/>
        <b/>
        <color rgb="FF0000FF"/>
      </rPr>
      <t xml:space="preserve">Daily task - 6
</t>
    </r>
    <r>
      <rPr>
        <rFont val="Arial"/>
        <color theme="1"/>
      </rPr>
      <t xml:space="preserve">Cleanup - 0 
</t>
    </r>
    <r>
      <rPr>
        <rFont val="Arial"/>
        <b/>
        <color theme="1"/>
      </rPr>
      <t>Est -  1Hrs</t>
    </r>
  </si>
  <si>
    <t>Booked - 3.13</t>
  </si>
  <si>
    <r>
      <rPr>
        <rFont val="Arial"/>
        <b/>
        <color rgb="FF0000FF"/>
      </rPr>
      <t xml:space="preserve">Total Monthly Files - 6 </t>
    </r>
    <r>
      <rPr>
        <rFont val="Arial"/>
        <b/>
        <color theme="1"/>
      </rPr>
      <t>(Bhuvaneswari)</t>
    </r>
    <r>
      <rPr>
        <rFont val="Arial"/>
        <color theme="1"/>
      </rPr>
      <t xml:space="preserve">
Posted query - 0
In progress - 4
Yet to start - 0
Completed - 2
</t>
    </r>
    <r>
      <rPr>
        <rFont val="Arial"/>
        <b/>
        <color rgb="FF0000FF"/>
      </rPr>
      <t xml:space="preserve">Daily task - 6
</t>
    </r>
    <r>
      <rPr>
        <rFont val="Arial"/>
        <color theme="1"/>
      </rPr>
      <t xml:space="preserve">Cleanup - 0 
</t>
    </r>
    <r>
      <rPr>
        <rFont val="Arial"/>
        <b/>
        <color theme="1"/>
      </rPr>
      <t>Est -  1Hrs</t>
    </r>
  </si>
  <si>
    <t>Booked - 1.40</t>
  </si>
  <si>
    <r>
      <rPr>
        <rFont val="Arial"/>
        <b/>
        <color rgb="FF0000FF"/>
      </rPr>
      <t xml:space="preserve">Total Monthly Files - 6 </t>
    </r>
    <r>
      <rPr>
        <rFont val="Arial"/>
        <b/>
        <color theme="1"/>
      </rPr>
      <t>(Bhuvaneswari)</t>
    </r>
    <r>
      <rPr>
        <rFont val="Arial"/>
        <color theme="1"/>
      </rPr>
      <t xml:space="preserve">
Posted query - 0
In progress - 4
Yet to start - 0
Completed - 2
</t>
    </r>
    <r>
      <rPr>
        <rFont val="Arial"/>
        <b/>
        <color rgb="FF0000FF"/>
      </rPr>
      <t xml:space="preserve">Daily task - 6
</t>
    </r>
    <r>
      <rPr>
        <rFont val="Arial"/>
        <color theme="1"/>
      </rPr>
      <t xml:space="preserve">Cleanup - 0 
</t>
    </r>
    <r>
      <rPr>
        <rFont val="Arial"/>
        <b/>
        <color theme="1"/>
      </rPr>
      <t>Est -  1Hrs</t>
    </r>
  </si>
  <si>
    <t>Booked - 1.97</t>
  </si>
  <si>
    <r>
      <rPr>
        <rFont val="Arial"/>
        <b/>
        <color rgb="FF0000FF"/>
      </rPr>
      <t xml:space="preserve">Total Monthly Files - 6 </t>
    </r>
    <r>
      <rPr>
        <rFont val="Arial"/>
        <b/>
        <color theme="1"/>
      </rPr>
      <t>(Bhuvaneswari)</t>
    </r>
    <r>
      <rPr>
        <rFont val="Arial"/>
        <color theme="1"/>
      </rPr>
      <t xml:space="preserve">
Posted query - 0
In progress - 4
Yet to start - 0
Completed - 2
</t>
    </r>
    <r>
      <rPr>
        <rFont val="Arial"/>
        <b/>
        <color rgb="FF0000FF"/>
      </rPr>
      <t xml:space="preserve">Daily task - 6
</t>
    </r>
    <r>
      <rPr>
        <rFont val="Arial"/>
        <color theme="1"/>
      </rPr>
      <t xml:space="preserve">Cleanup - 0 
</t>
    </r>
    <r>
      <rPr>
        <rFont val="Arial"/>
        <b/>
        <color theme="1"/>
      </rPr>
      <t>Est -  1Hrs</t>
    </r>
  </si>
  <si>
    <t>Date</t>
  </si>
  <si>
    <t>S.No.</t>
  </si>
  <si>
    <t>File Name</t>
  </si>
  <si>
    <t>Workflow Status</t>
  </si>
  <si>
    <t>Reason</t>
  </si>
  <si>
    <t>Question Posted</t>
  </si>
  <si>
    <t>Client reply</t>
  </si>
  <si>
    <t>MP Reply</t>
  </si>
  <si>
    <t>Status</t>
  </si>
  <si>
    <t>Close date</t>
  </si>
  <si>
    <t>Molecule Design</t>
  </si>
  <si>
    <t>Not started</t>
  </si>
  <si>
    <t>need QBO access</t>
  </si>
  <si>
    <r>
      <rPr>
        <rFont val="Arial"/>
        <color theme="1"/>
      </rPr>
      <t xml:space="preserve">Could you please provide us with the access to this file in QBO. Once provided we will start processing. - </t>
    </r>
    <r>
      <rPr>
        <rFont val="Arial"/>
        <color rgb="FFFF0000"/>
      </rPr>
      <t>Posted a reminder 05/21/25, 5/26/25</t>
    </r>
  </si>
  <si>
    <t>Please check you should have access now</t>
  </si>
  <si>
    <t>Closed</t>
  </si>
  <si>
    <t>Newlife</t>
  </si>
  <si>
    <t>review</t>
  </si>
  <si>
    <t>We’ve reviewed the ADP clearing account and noticed a current balance of $1,847.79. This balance seems to be due to a mix of payroll discrepancies over the past few months.
There were times when the employee was underpaid, and other times when payments were made even though no work was done or no JE has been recorded. We have prepared an excel and highlighted the discrepancies. Could you please review and advise us on how to handle this. We have saved the report in the dropbox under Payroll</t>
  </si>
  <si>
    <t xml:space="preserve">We have reviewed the Washington State Department of Revenue account and noted a balance of $7,780.09 as of March 27, 2025, which appears to be prior-year liabilities.
 Please confirm whether we should record an adjusting journal entry (JE) to close out this balance.
Additionally, we identified two tax liabilities of $39.03 (dated March 31, 2024) and $29.86 (dated June 30, 2024) that have been recorded; however, no corresponding payments have been made. Please advise on whether these amounts are still payable or should be adjusted.
We also noticed a recurring payment of $801.99, which has since been paused after April. The related journal entry is dated March 31, 2025. Kindly confirm whether we can delete the JE. </t>
  </si>
  <si>
    <t>I had responded to this in another post. Yes, do JE in 2025 for the Dept of Revenue issues. Leave the 801.99 I need to talk to the CPA.</t>
  </si>
  <si>
    <t>Payroll</t>
  </si>
  <si>
    <t>We have reviewed the off-cycle payroll report uploaded to Dropbox; however, there is no corresponding journal entry (JE). There is a JE dated 04/11/2025, but we do not have the related payroll report for that entry. Kindly provide the payroll summary for April and individual report for the payroll JE 04/11/2025, or alternatively, grant us access to this file in Gusto.</t>
  </si>
  <si>
    <t>Molecule</t>
  </si>
  <si>
    <t>We’ve already started working on the cleanup molecule and have posted a few queries to you in Keeper. We've also requested the relevant statements. Once you’ve had a chance to review and respond to our queries, we should be able to complete the file within this week. Thank you!</t>
  </si>
  <si>
    <t xml:space="preserve">Sun </t>
  </si>
  <si>
    <t>Sakes tax</t>
  </si>
  <si>
    <t>The total sales tax liability for February is $358.45. We have recorded adjustments of $36.10 and $0.62 for penalties and interest, based on the breakdown shared via Outlook. However, a remaining difference of $42.67 was adjusted toward B&amp;O taxes. This adjustment does not align with the B&amp;O amount reported on the tax return. Please confirm if the B&amp;O tax amount is correct. Similarly, for January, there is a difference of $30.88, which we have also adjusted toward B&amp;O taxes. This adjustment likewise does not match the B&amp;O amount on the tax return. Kindly confirm whether this amount is accurate.</t>
  </si>
  <si>
    <t>The B&amp;O amount should be the amount listed on the tax return. The difference typically stems from when QB calculates the tax incorrectly and either under or overcharges tax. Sometimes there is credit as well for B&amp;O on the tax return that impacts the amount. I will need to look at the returns.</t>
  </si>
  <si>
    <t>the only statements for molecule that I have access to are the ones uploaded already on 5/4. All others need to be requested by the client.</t>
  </si>
  <si>
    <t>Sun</t>
  </si>
  <si>
    <t>FYI, the retirement 401K account still shows a balance of $440.81.</t>
  </si>
  <si>
    <t>Did you also do a search in QB to see if something was mis-categorized ? please compose an email and send to me including the clients questions. I still feel we need the reports from Betterment.</t>
  </si>
  <si>
    <t>We noticed that the payment to the vendor "Schnitzer" has increased from $2,398 to $2,518 from April 2025. Could you please confirm?</t>
  </si>
  <si>
    <t>email the client and ask it is the annual rent increase?</t>
  </si>
  <si>
    <t>categorize</t>
  </si>
  <si>
    <t>Please let us know if the purchase was only for materials or if it included both the purchase of materials and installation.</t>
  </si>
  <si>
    <t>The client confirmed that the payment was for the truck. Accordingly, we created a COA as "2020 F150 Truck" and have coded the 2024 loan repayments to this account. Once we receive the necessary documentation, we will record the appropriate journal entry.</t>
  </si>
  <si>
    <t>We have reviewed the previous Acorns expenses and coded both the round-ups and the deposit to Owner Distributions. A message has also been sent to the client regarding the deposit.</t>
  </si>
  <si>
    <t>Sky</t>
  </si>
  <si>
    <t>We noticed a refund check issued for the customer Owen Foundation, referencing "Overpayment refund – Inv #63." However, we couldn’t identify a corresponding invoice for this customer in QBO. Could you please confirm whether the invoice will be entered later or if this refund pertains to something else? This will help ensure we record the transaction accurately. FYI, as of now we have coded it to "Sales of Product income"</t>
  </si>
  <si>
    <t>You couldn’t find invoice #63 it was probably this year. Did you do a search on the amount and/or the check #?</t>
  </si>
  <si>
    <t>We searched using the amount and check number but could not find any corresponding invoice. - Rebecca's msg  - I was able to pull up the client and find Inv. 63 and send a message to the client asking about the refund. In addition, the check had the client's name which listed inv 63.</t>
  </si>
  <si>
    <t>newlife</t>
  </si>
  <si>
    <t>The depreciation information is available in the tax document, and we have recorded the corresponding journal entry dated 12/31/2024</t>
  </si>
  <si>
    <t>closed</t>
  </si>
  <si>
    <t>A/P</t>
  </si>
  <si>
    <t>We noticed that a bill for $28,490 dated 11/30/2023 is still showing as unpaid, even though a check for the same amount cleared on 12/14/2023. Could you please confirm how you'd like us to handle this open bill?</t>
  </si>
  <si>
    <t xml:space="preserve">
Regarding the $20.92, we noticed that no journal entry has been synced in QBO for this amount. Could you please advise? PFA screenshot for your reference.
We have reviewed the transaction with the memo Betterment, and it has been categorized correctly. PFA screenshot for your reference.</t>
  </si>
  <si>
    <t>JE Synced. Rebecca Reached out to the client reg. Betterment</t>
  </si>
  <si>
    <t>We noticed that the Bill.com clearing account has been zeroed out as of May 07, 2025. However, it has not zeroed out since that date and now reflects an ongoing balance. Could you please provide us with the Bill. com reports for May 2025 so we can review the transactions, identify any discrepancies, and make the necessary adjustments?</t>
  </si>
  <si>
    <t xml:space="preserve">sky </t>
  </si>
  <si>
    <t>We noticed that the Snohomish Payable account shows a negative balance of $201.04. Upon review, we observed that the tax payments are sometimes made in higher amounts and at other times in lower amounts. Additionally, there is a balance of $1,971.50 as of 2024. Please review and advise on this.</t>
  </si>
  <si>
    <t xml:space="preserve">We noticed that the transaction with the memo "WA DEPT REVENUE TAX" dated 05/28/25 for $1,666.30 was incorrectly coded to Excise Tax by Kristy. There is a liability of $946.79 in QBO for April 2025. Please confirm if we can delete the transaction, make a payment for the liability amount of $946.79, and adjust the remaining difference of $719.51 to Excise Tax.
</t>
  </si>
  <si>
    <t>Is that what the return says? If so, please correct. Thanks</t>
  </si>
  <si>
    <t>complete</t>
  </si>
  <si>
    <t>We have observed that rent was overpaid by $100 in both March and June 2025. Additionally, the memo on the June 2025 check indicates "Rent/Supplies." Could you please confirm whether we can breakdown between rent and supplies for these months, so we can allocate the expenses accurately? Alternatively, please let us know if we should reach out to the client for clarification.</t>
  </si>
  <si>
    <t>This is for rent at my clinic. I added a little extra to cover utilities and supplies that I use. Moving forward, I will be paying $1400 each month which will be strictly for rent.</t>
  </si>
  <si>
    <t>EWI</t>
  </si>
  <si>
    <t>We have noted a balance of $42,482.11 as of 2024. Kindly review and advise on this.</t>
  </si>
  <si>
    <t>Sent a reminder to the owner</t>
  </si>
  <si>
    <t>Here is an update on the income for the month of May:
We have completed the income  for the following files:
Inglewood Physical Therapy
Skyline Signs &amp; Wraps
S3 Armsec, LLC
Movement Medical
East West Interiors
Complete Acupuncture – Allocation for May has been completed. However, we need the practice management report to properly segregate the income.
New Life Interiors – Two May payments are currently in Unapplied. A query has been posted in Keeper under the respective file.
SunPath - A payment of April is in unapplied. A query has been posted.</t>
  </si>
  <si>
    <t xml:space="preserve">No Questions </t>
  </si>
  <si>
    <t xml:space="preserve">EWI </t>
  </si>
  <si>
    <t>A deposit dated 06/06/2025 in the amount of $500 has cleared. The deposit slip identifies the customer as "Lynn Burgener." There are open invoices for this customer. Can we apply the FIFO method to allocate the payment and match it with the bank feed transaction? One of the open invoices totals $575, which includes a $75 late fee. Please confirm whether we can apply a partial payment of $500 to this invoice, leaving the $75 late fee as an outstanding balance.</t>
  </si>
  <si>
    <t>Send a message to the owner asking if they want to delete the late fee. Go ahead and apply it to the $500 inv</t>
  </si>
  <si>
    <t>Complete</t>
  </si>
  <si>
    <t>We have currently coded this deposit to Product Sales, as there is no information available indicating whether it relates to Insurance Revenue or Product Sales. Could you please review and advise accordingly?</t>
  </si>
  <si>
    <t>product sales</t>
  </si>
  <si>
    <t>Upon reviewing the client's message and the QBO records, we identified that the total liability for March is $1,891.96, while the payment made toward Betterment was $1,683.50.  This results in a difference of $208.46. As per client message, the Gusto has deducted larger amount from employee , which we believe should be refunded to the respective employee. This adjustment should be made within Gusto.
Regarding the $649.27, once the above adjustment is processed, this amount reflects an overpayment to Betterment. We recommend applying this excess to the next invoice payable to Betterment. PFA screenshot for your reference.</t>
  </si>
  <si>
    <t>I sent an email to Betterment</t>
  </si>
  <si>
    <t>MM</t>
  </si>
  <si>
    <t>We have carefully reviewed Bruce Rogers' W-2, which reflects a retirement amount of $28,193.97. We also verified this amount against the liability recorded in QBO, and the related payments match accordingly.
The total retirement liability reported on the 2024 W-2s is $54,860.64, inclusive of Bruce Rogers’ amount of $28,193.97. Additionally, the 2024 Retirement Payable account has been fully zeroed out in QBO.
However, we were unable to identify the source of the $27,007.12 payment you referenced in the above message.
To facilitate your review, we have prepared an Excel file summarizing our findings. It has been saved in Dropbox at the following location:
 All Files &gt; ABS Team folder &gt; Movement Medical
Please take a moment to review the document and advise.  Thank you for your attention to this matter.</t>
  </si>
  <si>
    <t>The 401k company refunded him the money out of his 401k account.</t>
  </si>
  <si>
    <t>We We have recorded a journal entry to close out the WA Sales Tax Payable account. However, we have not yet recorded one for the Snohomish Payable account. Please let us know if we can proceed with recording the journal entry towards distribution.</t>
  </si>
  <si>
    <t>Yes, please if possible, make the account inactive.</t>
  </si>
  <si>
    <t>This receive payment remains uncleared in the Checking account. We infer that it will likely clear in the upcoming months.The transaction dated 05/01/2025 with the memo 'WA DEPT REVENUE TAX PYMT' for $11,753.56 appears to be incorrectly coded to Owners Pay &amp; Personal. Upon review, the actual sales tax liability was $9,805.36; however, the payment made was only $9,662.44. The memo on the payment specifies 'Excise Tax $2,091.12.'</t>
  </si>
  <si>
    <t>We would like to confirm if we can delete the existing tax payment and record a payment for the correct sales tax amount of $9,805.36 and adjust the difference of $142.92. Also, we will code the remaining $2,091.12 to B&amp;O Taxes.</t>
  </si>
  <si>
    <t>Please advise on this approach, and kindly provide the backup documentation for verification.</t>
  </si>
  <si>
    <t xml:space="preserve"> FYI, we have not yet received the Capital One statements for April 2025 from the client .</t>
  </si>
  <si>
    <t>We need the W-9 forms to determine the entity types. Please request the W9 from JD Siding LLC and Resendiz Painting.
Also, could you please share Medina’s W-9? We couldn’t locate it in Keeper. Could you share it in keeper.</t>
  </si>
  <si>
    <t>I'm not sure what "keeper" is. I have downloaded it into the "files" folder multiple times. And we did not do business with JD Siding LLC or Resendiz Painting in 2024 nor are we doing any business with them now. Is this still regarding 2024 or are you going back further than that?FYI, this is Christine, not John. I'm not sure how to change that either. This is a system that I have never used before and it's quite foreign to me. Sorry.I just changed the name on the file and downloaded it to the "client uploads inbox" in the files section again. I cannot find anything label "keeper" Christine again. I just sent emails to JD Siding and Resendiz Painting again pleading with them to provide their information on a W-9. I even told them that NewLife Interiors may incur penalties from the IRS if we do not  provide them with the information. I'll let you know as soon as (or if) I hear any thing.</t>
  </si>
  <si>
    <t>The Check #17057 dated 06/25/25 in the amount of $2,400 for the vendor "Home Rehab Construction, Inc." has cleared. There is a bill payment with the same amount and bill number referenced is 17059. We have updated the bill payment's reference no and  matched with the check.</t>
  </si>
  <si>
    <t>With the help of the payroll report, we have identified and segregated a portion of the reimbursement related to mileage. However, there is a miscellaneous reimbursement amount of $233.72 for which we are unsure about the appropriate coding. Could you please provide the backup documentation so we can accurately reclassify the transaction?</t>
  </si>
  <si>
    <t>The transaction with the memo "INTUIT PYMT SOLN INTUITPMTS" in the amount of $105.22, dated 06/09/2025, has cleared. We reviewed the Deposits tab in QBO, but did not find any deposit matching this amount. Additionally, we checked the Intuit Payment details and found no corresponding entry for this deposit. Please review and advise on how to proceed with this transaction.</t>
  </si>
  <si>
    <t>sun</t>
  </si>
  <si>
    <t>Could you please enter the invoice for Jeff Treistman? So we can make the payment for the deposit dated 06/10/2025 for $769.24</t>
  </si>
  <si>
    <t>IPT</t>
  </si>
  <si>
    <t>This is a gentle reminder. We are still waiting for the sweep statement for May and the US bank marked statement.  PFA screenshot for your reference.</t>
  </si>
  <si>
    <t xml:space="preserve">IPT </t>
  </si>
  <si>
    <t>Could you provide us with the Key LOC statement for 06/01/2025.</t>
  </si>
  <si>
    <t>May uploaded</t>
  </si>
  <si>
    <t>Could you please upload the sweep account statement for May 2025 to Dropbox? It hasn't been uploaded yet, and we’re unable to retrieve it from QBO.
Can we get the marked statement of US Bank? It hasn't been uploaded to Dropbox yet. PFA screenshot for your reference.</t>
  </si>
  <si>
    <t>Could let us know who these deposits are from?
06/03/2025  $338.04
06/03/2025 $52.56
06/11/2025 $332.28</t>
  </si>
  <si>
    <t>FYI, we are still waiting for the client's response regarding the Uncat transaction. A follow-up message has also been sent.</t>
  </si>
  <si>
    <t>Just following up on the loan statement of BHG loan to record interest JE.
Just following up on the van loan statement for Dec 2024.
We have uploaded the Q2 2025 distribution report to Dropbox under All files/Bookkeeping Team/Movement Medical LLC/2025. Please review the transactions  and let us know if any business expenses have been incorrectly coded.</t>
  </si>
  <si>
    <t>Could you please provide us with the purchase document and loan statement? This will allow us to accurately record the purchase entry and properly segregate the interest portion.</t>
  </si>
  <si>
    <t>Could you please confirm the coding since the amount is huge.</t>
  </si>
  <si>
    <t>We noticed that the Operating and Savings bank feed shows error. Please fix it in order to categorize the transactions.</t>
  </si>
  <si>
    <t>We have prepared and uploaded the payroll clearing report from Jan to June 2025 under All files/ABS Team Folder/Movement Medical.</t>
  </si>
  <si>
    <t>MD</t>
  </si>
  <si>
    <t xml:space="preserve">The transaction with the memo "BCF Etsy Uplift bcfny.org/EF NY" for $0.84 appears to be related to a donation. However, there is currently no COA for donations. Please confirm if we can proceed with creating a new account for donations and reclassifying this transaction accordingly. </t>
  </si>
  <si>
    <t>put it to distribution</t>
  </si>
  <si>
    <t>We have reclassified the transactions to "Owner's Distribution: Taxes Paid". Please let us know if a separate COA as "Federal Taxes Paid" under the Owner's Distribution category, should be created.</t>
  </si>
  <si>
    <t>I would change the name by adding “Federal” to the taxes paid account so we don’t have multiple.</t>
  </si>
  <si>
    <t xml:space="preserve">MD </t>
  </si>
  <si>
    <t>Could you please provide us with the loan amortization schedule for the Veicle loan, so we could record the interest JE for 2024 and to verify the balance
We noticed that the transaction with the memo "ACH CASHMERE VALLEY" for $417.48 has been stopped since November 2024. Could you please provide us with the loan amortization schedule for the Vehicle Loan – CVB to verify the transactions and prepare the necessary journal entries?
Could you please check and confirm the transactions coded to distribution and let us know if there are any business transactions coded.
We noticed that the payroll JE's has been stopped from July, however the payroll fees is being charged. Please advise.
We have reclassified the transactions to "Owner's Distribution: Taxes Paid". Please let us know if a separate COA as "Federal Taxes Paid" under the Owner's Distribution category, should be created.</t>
  </si>
  <si>
    <t>That is correct</t>
  </si>
  <si>
    <t>A transaction for $350, dated 06/30/2025, has cleared. The deposit slip lists the customer as JoyDeep Das. We also noticed a similar customer in QBO named "Joy D". Please confirm if they are the same individual. If so, kindly proceed with recording the invoice for this payment.</t>
  </si>
  <si>
    <t>FYI, we have posted a query to the client regarding the deposit dated 06/30/2025 for $350</t>
  </si>
  <si>
    <t>NL</t>
  </si>
  <si>
    <t>Any update on the $801.99 journal entry</t>
  </si>
  <si>
    <t xml:space="preserve">NL </t>
  </si>
  <si>
    <t>Please provide us with the gusto reports for 2025 or provide us with the access to this file in gusto</t>
  </si>
  <si>
    <t>We have uploaded the 2024 distribution report to Dropbox under All files/Bookkeeping Team/Molecule Design /2024. Please review the transactions  and let us know if any business expenses have been  coded.</t>
  </si>
  <si>
    <t>you need to ask the client to review.</t>
  </si>
  <si>
    <t xml:space="preserve">Complete </t>
  </si>
  <si>
    <t xml:space="preserve">Could you please provide us with the Operating account statement for June 2025.
Could you please provide us with the Savings statement for Q2 2025. </t>
  </si>
  <si>
    <t>S3</t>
  </si>
  <si>
    <t>Could you please provide the deposit slip for the $560 deposit made on 06/30/2025?</t>
  </si>
  <si>
    <t>The transactions with the memo "WA Dept. of Revenue" dated 07/02/2025 for $300.89 and $286.78 have cleared in the Umpqua Credit Card account. We noted that the total tax liability for May and June is $230.67 and $224.74, respectively. Please confirm whether we can proceed with making the tax payments and apply the difference toward the B&amp;O taxes. Additionally, please provide the excise tax return report to verify this.</t>
  </si>
  <si>
    <t>We have coded several transactions with the memo "Transfer from Loan Acct No. 7852-L" to the Owner's account. Please confirm whether these are personal transactions or let us know if they are related to a business loan.
We have attached the Owner's Distribution report. Kindly review the transactions and let us know if any business expenses have been coded.</t>
  </si>
  <si>
    <t>We have coded a few transactions with the memo "ransfer from Loan Acct No. 7852-L" to Owner's. Please confirm.</t>
  </si>
  <si>
    <t>Could you please provide us with the practice management report for June to break out the income.</t>
  </si>
  <si>
    <t>The client has informed us that this account is now being used as a personal credit card. Accordingly, we have reconciled the account up to January 2025 and zeroed out the balance. As it is no longer required for business purposes, no further action is needed. PFA screenshot for your reference.</t>
  </si>
  <si>
    <t>The journal entry dated 03/31/2025 for $801.99 appears to be unnecessary, as the B&amp;O taxes are already being accounted for as a sales tax adjustment within the tax payment itself.
Therefore, we recommend that this entry be deleted, and no further action is required from the CPA regarding this matter.</t>
  </si>
  <si>
    <t xml:space="preserve"> FYI,  the Holding for Vendor Payments account shows a balance of $4547.23 due to a JE dated 12/31/2024 has been recorded. This entry  has been recorded to address an uncleared payment in the WF Checking account for 2024. We have now recorded a JE to transfer the balance to distribution as of 01/01/2025</t>
  </si>
  <si>
    <t>As per your response in another comment, we have closed out the Holding Vendor Payment account towards the distribution and have noted it in the ongoing CPA checklist.</t>
  </si>
  <si>
    <t>The client has provided us with the loan balance report; however, we’ve identified a discrepancy of $140,255.50. Given the size of this difference, we are unable to record a journal entry to interest, as it appears unusually large.
At this point, we're unsure how best to address this discrepancy, especially since the client may not fully understand the nature of the issue. We would greatly appreciate your guidance on how to proceed.
Please let us know how you would recommend handling this. Thank you in advance for your support.</t>
  </si>
  <si>
    <t xml:space="preserve">Loan to Shareholders  - This account was zeroed out in the year 2005. Additionally, there are two journal entries dated 12/31/2019 and 12/31/2022 recorded to reclassify the distribution to the Loan to Shareholders account. Could you please provide more details and advise on this matter?  -
</t>
  </si>
  <si>
    <t>We have already made the necessary adjustments by referring to the report, and the balance now stands at $1,847.79. Please review the Excel file where we have highlighted the discrepancies. It has been saved under All Files/ Bookkeeping Files/ NewLife Interiors/ 2025/ Payroll. Kindly advise if any journal entries need to be recorded and coded to the distribution in order to close out this account</t>
  </si>
  <si>
    <t>The client uploaded the document to Keeper Client Uploads, and we have updated the W-9 information in QBO.</t>
  </si>
  <si>
    <t>Kindly review the above query and provide your guidance at your earliest convenience. Please note that this matter needs to be resolved in order to ensure timely processing of the sales tax.
Your prompt attention is appreciated.</t>
  </si>
  <si>
    <t xml:space="preserve">We’ve observed that the software subscription payment of $285.81 to Aurora Solar has been stopped since May 2025. Could you please confirm.
</t>
  </si>
  <si>
    <t>t looks like there may have been some confusion with the account. We’re referring to the "Loan to Shareholder" account (Current Asset). The information you provided seems to relate to "Shareholder Distributions," (Equity)
Just to clarify, if this were related to a profit and loss item, we wouldn't have let you know. We're pointing this out because it affects the balance sheet, and unlike P&amp;L these balances carry over year after year, so it's important to keep them accurate.</t>
  </si>
  <si>
    <t>We have reviewed both the Deposit tab and the Intuit Payment records; however, this deposit is not reflected. Kindly advise. Please find the attached screenshot for your reference.</t>
  </si>
  <si>
    <t>The transaction dated 07/11/2025, with the memo "Idaho Central Credit Union - CK-WTH Loan Payment" for $329.73, has cleared. However, we were unable to locate a corresponding loan associated with this payment. Please provide the relevant loan documentation so we can set up the COA and record the opening balance journal entry. As of now we have coded it to Uncategorized expense.</t>
  </si>
  <si>
    <t>CA</t>
  </si>
  <si>
    <t>FYI, we have recorded a JE to segregate between the product and service income, due to this JE the Product sales account shows a negative balance.</t>
  </si>
  <si>
    <t>We have prepared and uploaded the uncleared gusto transactions report for June 2025 under All files/ABS team Folder/Complete Acupuncture.</t>
  </si>
  <si>
    <t xml:space="preserve"> Regarding line item 4 ($1,100): The total reimbursement amount for Kyle Johnson is listed as $3,979.24. However, the reimbursement report only provides a breakdown totaling $2,869.24 ($2,650 + $219.24). There appears to be a discrepancy of $1,110, as the breakdown does not align with the total stated. Please advise on this. PFA screenshot for your reference</t>
  </si>
  <si>
    <t>Thank you for providing the loan purchase document.
We’ve identified two loan purchases from Toyota — one from 2021 and another from 2024. Could you please confirm whether the 2021 loan has been closed? We observed that repayments stopped as of April 2024. If the remaining balance was paid personally, kindly provide the relevant supporting documents so we can verify and record the appropriate journal entry.
Additionally, for the loan purchased in 2024, we kindly request the loan statement to proceed with recording the journal entry.</t>
  </si>
  <si>
    <t xml:space="preserve">Sky </t>
  </si>
  <si>
    <t>The bank feed issue is still unresolved. Could you please attempt to fix it again? Alternatively, if the issue persists, could you provide the bank statement for 06/21/2025 so we can manually import the transactions and proceed with reconciling the account for that month?</t>
  </si>
  <si>
    <t>Could you please review the client's communication and response? They have requested a contact phone number so they can speak with regarding payroll taxes from the State agency.</t>
  </si>
  <si>
    <t>We initially requested the 2023 depreciation schedule from the client in February 2024, while reviewing the 2024 financials. However, we have only recently received a response, and the client is unsure how to obtain this information. There are a few assets that were purchased in 2021 and 2024, but no depreciation has been recorded to date.
Additionally, we received the new loan documentation today. Since it is unclear whether the taxes have been filed, we have recorded the journal entry as of 01/01/2025 and created a new liability account in the Chart of Accounts (COA) to record the entry.
Could you please advise us on this ? Your guidance on this would be greatly appreciated.</t>
  </si>
  <si>
    <t>Olga</t>
  </si>
  <si>
    <t>It appears that we currently do not have access to the payroll information in Gusto. Could you please grant us access, or alternatively, provide the payroll summary report for 2025?</t>
  </si>
  <si>
    <t xml:space="preserve">access provided </t>
  </si>
  <si>
    <t>Moving forward, we will ensure that payroll-related questions are not marked as resolved until they are fully addressed.</t>
  </si>
  <si>
    <t>This payroll journal entry remains uncleared in the checking account. Once we receive the payroll reports, we will verify the details and take the necessary action. (</t>
  </si>
  <si>
    <t>The Retirement Plan Payable account reflects a balance of $3,916.66 due to the transition journal entry dated 03/31/2025. We will review and resolve this once the payroll report is received.</t>
  </si>
  <si>
    <t>We noticed a difference between the QBO balance and the 2024 loan statement. So, we recorded a journal entry on 01/01/2025 for $155.75 to interest to match the balance with the loan statement.</t>
  </si>
  <si>
    <t>olga</t>
  </si>
  <si>
    <t>Could you please confirm if we can record a journal entry dated 01/01/2025 to close out the distribution for 2024?</t>
  </si>
  <si>
    <t xml:space="preserve">We have prepared and uploaded the distribution report in the dropbox under All files/ABS Team folder/Olga. Please check and confirm the transactions of 2025 and let us know if any business transactions are coded. </t>
  </si>
  <si>
    <t>EE benefits - This account currently reflects a negative balance. We will review it upon receiving the payroll reports.</t>
  </si>
  <si>
    <t>The client has indicated that this check relates to a patient’s insurance reimbursement. Can we create a COA as Reimbursement and reclassify accordingly?</t>
  </si>
  <si>
    <t>SKY</t>
  </si>
  <si>
    <t>Could you please check with the CPA if the depreciation schedule is available? Additionally, please let us know whether the 2024 taxes have been filed, so we can record the depreciation accordingly.</t>
  </si>
  <si>
    <t>We have coded the transaction with the memo "ZEN PAYROLL" $200 transaction to Payroll Expenses:Payroll Taxes, as it was specified in the Gusto report as a 'Credit tax penalty.'</t>
  </si>
  <si>
    <t>New life</t>
  </si>
  <si>
    <t>The transaction with the memo "ZEN PAYROLL" for $200 has cleared it was specified in the Gusto report as a 'Credit tax penalty. As of now we have coded it to Uncat. income. Could you please let us know whether we can create a COA as "Tax Penalty Refund" under other income and reclassify accordingly.</t>
  </si>
  <si>
    <t>The client mentioned they do not have any information regarding the Loan to Shareholder account balance. Could you please review the client’s message and advise whether we need to close out this account? If so, please let us know which account to use for closing. Alternatively, please advise if we should leave the balance as it is.</t>
  </si>
  <si>
    <t>We were unable to match the wages and taxes for 2025 due to a journal entry dated 03/31/2025. After verifying the reports and confirming that the entry was not reflected, we proceeded to delete the journal entry.</t>
  </si>
  <si>
    <t>t appears that the two attachments relate to the same tax amount of $286.78. Could you please provide the excise tax report for the amount of $300.89?</t>
  </si>
  <si>
    <t>The following invoice needs to entered in QBO
Travis Clark - $150
Pacific Northwest Chapter of the American Fence Association - $491.85</t>
  </si>
  <si>
    <t>Payments toward the Lease Toyota Tacoma ended as of April 2024, and the account currently shows a balance of $23,547.44. The client has confirmed that the vehicle was acquired under a lease agreement in 2021. Given the significant balance, would you prefer to record a journal entry on 01/01/2025 to close it out to the Lease Expense account or to the Member’s Draw account?
If you opt to record it as a lease expense, please confirm whether we can set up a COA titled "Lease."</t>
  </si>
  <si>
    <t xml:space="preserve">s3 </t>
  </si>
  <si>
    <t>We noticed that the payment of $500 towards the vendor "Thomas Swanson" has stopped from April 2025. Please confirm.</t>
  </si>
  <si>
    <t>We’ve reached out to the client again, but we’re still awaiting a response.</t>
  </si>
  <si>
    <t>We were unable to locate any open invoices for the customer, Joy D, in QBO, aside from an invoice from FY2021, which has already been paid. Please find the attached screenshot for your reference.</t>
  </si>
  <si>
    <t>We have reviewed the Excise Tax report and the corresponding liability recorded in QuickBooks Online (QBO). The total liability amounts to $942.84, with an adjustment of $440.71.
Upon review, we observed a discrepancy in the WOODINVILLE RTA location: a tax payment of $113.49 is recorded in QBO, whereas the tax return report reflects $113.57, resulting in a difference of $0.08. Please advise.
Additionally, the total State Sales and Use Tax reported is $858.40, while the WA State Tax recorded in QBO is $658.89, leading to a difference of $199.51.
Could you please confirm if this variance is in any way related to interest or penalties? The report does not appear to indicate any such charges</t>
  </si>
  <si>
    <t>IC* COSTCO BY INSTACAR888-2467822CA -  This transaction is a purchase from Costco made through Instacart. Currently, we have categorized as an Office Business Expense. Please confirm if this classification is accurate or if it should be updated.</t>
  </si>
  <si>
    <t>We typically categorize all Venmo transactions under $50 as tips and those over $50 under the shipping account. In this case, we assume the payment was a refund related to a customer return and have coded it to sales. Please confirm if this is correct</t>
  </si>
  <si>
    <t>Regarding line item 12: The Disputes_One-Time Adj tab indicates that the $6,056 amount relates to an "Innoved invoice", as referenced in a previous transaction. We have coded this under Advertising &amp; Marketing – Trade Show Expenses. Kindly confirm if this classification is appropriate.
Regarding line item 13: The Disputes_One-Time Adj tab specifies that the $4,945 is a "credit for ProMade commissions related to the sale of $21,500 under reference DT LIMA052925JLS-1, dated 05/29/2025, which is not currently in the system. This credit has been approved by Cathy". We have coded it to Sales Commission Income. Please confirm if this classification is appropriate.</t>
  </si>
  <si>
    <t>We have coded this to the Audi loan.
It appears that the monthly payment of $1,094.73 for Audi Loan #1857 was discontinued as of November 2024. Kindly provide the loan purchase agreement and the loan amortization schedule so we can record the opening balance journal entry and verify the payment details accurately.</t>
  </si>
  <si>
    <t>Oregon business form CMS 105 laser  - We have coded this transaction to Office supplies as per previous. Please confirm,</t>
  </si>
  <si>
    <t>We have noticed that several transactions with the memo "BILL PAY" have cleared. We found three bills related to these payments uploaded by the client in Dropbox, which we have now attached to QBO. Kindly confirm if we will receive similar bills to categorize the remaining transactions.
Additionally, the bills uploaded to Dropbox include shipping charges. Kindly confirm whether we need to segregate these charges in QBO.
Please find the attached screenshot for your reference.</t>
  </si>
  <si>
    <t>Could you please confirm whether the invoice for the customer "Joy Deep" has been created in QBO? If not, kindly generate the invoice so we can proceed with the payment.
For your information, as mentioned earlier, we are not seeing any invoice in QBO for the customer "Joy Deep."</t>
  </si>
  <si>
    <t>We noticed that the US bank marked statement for 07/14/2025 has not yet been uploaded to the Dropbox. Could you kindly check on this? Please find the screenshot attached for your reference</t>
  </si>
  <si>
    <t>Could you please confirm whether this should be classified as a fixed asset purchase, or if it can be coded under COGS: Tools?</t>
  </si>
  <si>
    <t>Fixed assets</t>
  </si>
  <si>
    <t>Regarding the deposit dated 07/14/2025 for $2,180.91, the deposit slip lists the customer as "Leslie E Correll," and the memo references Invoice #20201590. However, upon review, we found that this invoice had already been matched with an Intuit deposit dated 06/17/2025 for $2,180.91. Please advise on how to proceed.</t>
  </si>
  <si>
    <t>Could you please provide the excise tax report for May 2025, totaling $300.89? The one which is shared via Outlook appears to be the report for June 2025</t>
  </si>
  <si>
    <t>We have currently coded the $199.59 difference to Uncategorized Expense. To ensure more accurate financial reporting, would it be appropriate to create a "Sales Tax Rounding/Adjustment" account? If so, please confirm whether we can proceed with creating a new COA and reclassifying this transaction accordingly. Alternatively, if you have a preferred account for this type of variance, kindly advise.
Additionally, the total Local City tax reported is $133.57, whereas the recorded tax payment is $133.49. Could you please review this discrepancy? With this adjustment, the updated difference would now be $199.51. (</t>
  </si>
  <si>
    <t>We noticed that the Bill. com clearing account reflects a balance of $6,239.39 as of June 2025. Could you please provide the Bill. com report so we can verify the payment details and make the necessary adjustments?</t>
  </si>
  <si>
    <t>The journal entries from Bill. com are still syncing to the main Bank/Merchant Fees account instead of the Merchant Fees sub-account. As a result, the main account is showing a negative balance. Please advise whether we can record a journal entry to reclassify the balance to the appropriate sub-account.</t>
  </si>
  <si>
    <t>Snohomish Payable – FYI, this account is currently showing a negative balance due to an overpayment. We assume this will be adjusted during the year-end process.</t>
  </si>
  <si>
    <t xml:space="preserve">We have both a debit and a credit of $16.08. We have created a COA for "Reimbursement" and reclassified these transactions accordingly. </t>
  </si>
  <si>
    <t>There doesn’t appear to be an account set up for Sales Tax Over/Under in QBO. Please advise on this.</t>
  </si>
  <si>
    <t>Could you please confirm whether we can adjust this to the Sales Tax Over/Short account, as we did in Skyline? If so, can we set up this account in Qbo?</t>
  </si>
  <si>
    <t>We have reviewed the transactions in QBO but were unable to identify the payment made to Jerry Pan via Venmo on April 10th. Could you please confirm the amount of this payment?.
EWI -  We are assuming this will clear in the upcoming month. Once it does, we will match it with the payment accordingly.</t>
  </si>
  <si>
    <t>We have recorded the transaction dated 07/10/2025, with the memo "BUSINESS TO BUSINESS ACH INTUIT PYMT SOLN INTUITPMTS" in the amount of $770.59 to Accounts Receivable (AR), as it represents a return of the payment originally received from the customer "Kapil Arvind Patil" on 07/07/2025.</t>
  </si>
  <si>
    <t>There is a transaction dated 07/17/2025 for $171.00 with the memo "ZELLE FROM SIDDHI PATHAK ON 07/16 REF # JPM99BFZT8V0 JAIVI SHOPPING NIKE." Kindly confirm who this payment was received from.</t>
  </si>
  <si>
    <t>The client has provided a screenshot showing a $0 balance of the prior year's taxes. Could you please confirm if you can request the payment details from the client? If not, kindly let us know whether we can reach out to the client to obtain these details and make the necessary adjustments.</t>
  </si>
  <si>
    <t>The only document we have received is the purchase document for the Ford F-150 truck. Please confirm whether this is related to the loan payment, as it was not mentioned in the purchase document. Additionally, the memo on the transaction differs from the typical loan repayment memo. Kindly advise</t>
  </si>
  <si>
    <t>Please let us know if the funds ($50000) were received through your personal account, as we do not see any corresponding transaction in the business account records.
Also, could you provide us with the line of credit statement from the beginning?</t>
  </si>
  <si>
    <t xml:space="preserve"> Could you please provide us with the loan statement for 2024? To verify the transaction and to match the balance.</t>
  </si>
  <si>
    <t>Could you please share the documents related to the sale of the fixed assets? We also didn’t see any large deposit recorded in QBO related to the sales of an asset. If you received the payment in your personal account, please let us know. We’ll create a journal entry for it to close out the Fixed assets and the related loan account as necessary.</t>
  </si>
  <si>
    <t>We have completed the reconciliation of the bank and credit card accounts through December 2024. We’ve also sent a few queries to the client regarding uncategorized transactions and requested some supporting documents.</t>
  </si>
  <si>
    <t>FYI, the client has confirmed that the BOA Alaska #5470 account is no longer active. Hence we have deleted the recurring question template related to this account from the Keeper client communication.
10:33
MM - Could you please provide us with the deposit slip dated 07/24/2025 for $22,624.69 .</t>
  </si>
  <si>
    <t xml:space="preserve">  Regarding the deposit dated 07/31/2025 for $3,191.25 — the deposit slip references Invoice #20201679, which has a total amount of $3,370.54. Please confirm if the late fees should be removed. If so, the adjusted invoice total would be $3,295.54.
Kindly confirm if we can apply a partial payment to this invoice and match it with the cleared deposit.</t>
  </si>
  <si>
    <t xml:space="preserve">Yes, this question relates to the truck he sold. We had sent this message earlier, before the client mentioned the asset sale. We've now requested the fixed asset sale document and will delete this question from the keeper.
</t>
  </si>
  <si>
    <t xml:space="preserve"> Regarding the deposit dated 07/17/2025 for $5,000 and $3039 — the deposit slip lists the customer as "Andrew Clark Latham." We've verified the customer, but there are no open invoices associated with them. Please review and advise on how we should proceed. 
</t>
  </si>
  <si>
    <t xml:space="preserve">Regarding the deposit dated 07/28/2025 for $840.87 — the memo indicates the customer as "McJunkin Nancy." Upon review, we noticed a deposit is available for $800.25 dated 07/25/2025 for the same customer. Please advise on how to handle the remaining difference of $40.62.
</t>
  </si>
  <si>
    <t>The transaction with the memo 'WA DEPT' dated 07/28/2025 for $1,050.37 has cleared. The total liability recorded in QBO is $563.99, resulting in a difference of $486.38. Please provide the excise tax report so we can verify the amount and process the necessary adjustment entries."</t>
  </si>
  <si>
    <t>Gabrielle</t>
  </si>
  <si>
    <t>Sure, we will make the necessary updates.
We have reclassified the transaction by referring the excel.
In the provided Excel file, under the Wild Tuna tab, the $10,000 entry dated 05/06/2024 was originally recorded as a journal entry: Dr Owner Draw, Cr Loan from Partners. However, since we have been notified that the red highlighted transactions and qualifies as a Capitalized, we have reclassified it under  Tools, Machinery &amp; Equipment. Please confirm.</t>
  </si>
  <si>
    <t xml:space="preserve">Can you make the changes based on the clients notes
Did they say to put it to Tools, Machinery...?
</t>
  </si>
  <si>
    <t>skyline</t>
  </si>
  <si>
    <t>This payment is in unapplied since the payment is made in higher than the invoice amount. The invoice amount is $1.09, while the payment is $1 which is excess of $0.09. Also, the payment is in Undeposited funds.</t>
  </si>
  <si>
    <t>Could you please provide us with the Excise tax return report for August?</t>
  </si>
  <si>
    <t xml:space="preserve">08/2025 - it was saved maybe it us a different folder I can look tomorrow. FYI His new system isn’t recording sales tax In QuickBooks so we had to it a round about way and will amend once they fix it.
09/2025 - It won't sync correctly. You need to look at the report he uploaded last month. 
09/2025 - Correct, this has been going on for a couple of months. It is adding the entire invoice as revenue. 
11/2025 - We need to record the income and the sales tax expense in QB from the reports, then apply the pmt to Excise and Sales Tax. 
11/2025 -  The tax entry does not match the payment made, which is why the expense is not reconciling. Can you review the invoices in the Snohomish payable and see if they are manually adding that to the invoice? Everything should be pushing through to WA Sales Tax Payable
12/2025 - 1. Please do not touch the sales tax I am in the middle of fixing it.  2. Yes, as I mentioned in the past sales tax is not being segregated. Invoices should not have been added to QB after September; but, his wife continued to do so; thus overstating revenue. 3. There is a big misunderstanding going on.  WA Stales Tax Payable was NEVER supposed to be closed, Snohomish Payable was. You stated you were going to zero out Snohomish Payable by creating a journal entry and moving to WA Sales Tax Payable.  I am not sure why anyone on the team would have started using Snohomish payable, I thought the client was doing it so it every so often we had to go in and fix it.  4. As mentioned, the Sales Tax is incorrect, and I am in the middle of fixing it thus reversing your entry. 
</t>
  </si>
  <si>
    <t xml:space="preserve">09/2025 - We noticed that the Sales tax has not yet synced with QBO, and we are currently unable to process tax payment
10/2025 - We have reviewed the report uploaded to the Dropbox folder. As you mentioned earlier — "FYI, his new system isn’t recording sales tax in QuickBooks, so we had to do it a roundabout way and will amend once they fix it" — this appears to be the reason why the sales tax liability shows as $346.73 instead of $3,209.86 as per the report.
It seems that due to the new system, most invoices do not have sales tax recorded in QBO. Could you please check and advise on this? Also, let us know what steps we need to take to fix the issue, as we don’t have invoice backups available to verify each sales tax and sales amount.
A screenshot is attached for your reference.
Thank you.
11/2025 -  Can we temporarily code the transaction with the memo “WA Dept Revenue Tax” to the Snohomish Payable account until it is resolved? This will allow us to complete the reconciliation.
11/2025 - We have recorded the tax amount of $3,372.42 for July 2025 in the journal entry by crediting Snohomish Payable and debiting Sale of Product Income. As a result of this entry, the total income now shows as $28,514.17.
Could you please review this journal entry and advise whether we are on the right track?
While allocating the WA department revenue expenses, we will split them accordingly and show the Excise Tax as per the report. Once you confirmed, will go and record for remaining months.
11/2025 Gentle reminder, Please check the above query and respond to us. 
12/2025 - 1.) Yes, we entered the tax amount of $3,321.07. The original tax amount of $51.35 was already recorded. To match the total tax as per the report provided, we recorded a journal entry, and the total tax in QBO now matches the report ($51.35 + $3,321.07 = $3,372.42).
We are unsure why you mentioned that the “tax entry does not match the payment made,” as it is now matching after the JE was recorded.
2.) We reviewed the invoices and confirmed that all invoices (except two or three) are directly coded to the Income account, with no sales tax segregated. As previously communicated, sales tax is not being segregated in QBO and is not being manually added to the invoices.
3.) We stopped using the “WA Sales Tax Payable” account and closed it effective 01/01/2024. For 2025, all sales tax is being recorded only in the “Snohomish Payable” account.
4.) We noticed that a journal entry was edited by your end, crediting Snohomish Payable and debiting WA Sales Tax Payable. As a result, the WA Sales Tax Payable account now shows a negative balance. Please review this and advise how you would like us to reclassify.
Thank you, and we look forward to your guidance.
01/30/2026 We understand that you are in the process of fixing the sales taxes from August 2025. Please let us know if we can assist you in completing this process.
Kindly also inform us once it is complete so that we can proceed with the reconciliation of the operating account and the review process, as we noticed the sales tax entries are currently excluded in QBO and are required to complete the reconciliation. Thankyou.
01/31/2026 - Sure, we will start working on it and will let you know if we need any clarification.
</t>
  </si>
  <si>
    <t xml:space="preserve">MM </t>
  </si>
  <si>
    <t>We do not have any supporting documentation for the Affirm loan, as the client did not provide it. Additionally, we noted that the Affirm loan balance was closed out against bank charges as of 12/31/2023. However, a journal entry dated 12/31/2024 was recorded by Cody Martin for $1,058.76, also posted to bank charges, with the memo stating "To adjust Short Term Loan to zero per N1." As a result, this account now reflects an outstanding balance.</t>
  </si>
  <si>
    <t>Can we create a COA entry called "Prior Year Adjustment" under the Equity section and allocate the  difference to this account? This would allow us to properly account for the adjustment.</t>
  </si>
  <si>
    <t>GAB</t>
  </si>
  <si>
    <t>We did not mark the comments as resolved because we were either awaiting additional documents from the client or had posted queries to you. To ensure no information was overlooked, we left a few client replies unresolved. Thank you for checking. While our team does not have direct experience working with a fishing boat, we are confident that we can manage and address the requirements effectively. We’ll make sure to research thoroughly and work closely with you to resolve any technical questions that may come up.</t>
  </si>
  <si>
    <t>We have verified the currency conversion rate for October 9, 2024, using the OANDA currency conversion website. Please find attached an Excel file comparing our rate with your exchange rate calculations. Kindly review the file and provide your feedback.</t>
  </si>
  <si>
    <t>inglewood</t>
  </si>
  <si>
    <t>We have uploaded the uncleared gusto transactions report for Jan to Aug 2025 under All files/ABS Team Folder/Inglewood.</t>
  </si>
  <si>
    <t>We have reviewed the client upload the made the necessary updates in the file.</t>
  </si>
  <si>
    <t>Please review client's upload for 2024
If it is complete is should be marked closed.</t>
  </si>
  <si>
    <t>Skyline</t>
  </si>
  <si>
    <t>This payment is in unapplied since the payment is made without applying it to an invoice.  Also, this payment is in Undeposited funds</t>
  </si>
  <si>
    <t>Was the time sheet emailed to me? With the exception of recoding revenue please do not work on any other accounts only the clean-up. For the clean-up are you almost done?</t>
  </si>
  <si>
    <t>We will email you the timesheet for September up to 19, 2025.
Reg. Clean-ups - We are almost done with 2024, but we are still waiting for client responses on a few transactions. Once we receive their replies, we will continue working on the clean-up tasks.
For 2025, we have tasks in Keeper and have been processing from January 2025 onward. The client has also responded on a few transactions, so we will proceed accordingly. We will strive to complete the  clean up work within 80 hours; if not, we will update you on the status.
As you mentioned, we will focus solely on recording revenue across all files and the clean-up files this month. We will not work on any other accounts and will resume the other monthly/daily tasks starting October 1, 2025.
Regarding recording revenue, we will still need deposit slips. We will review the files and update you on the status shortly.</t>
  </si>
  <si>
    <t>Can you please provide Snapshot deposit for this deposit ?</t>
  </si>
  <si>
    <t xml:space="preserve">Gabrielle </t>
  </si>
  <si>
    <t>Which bank statements do you need for each company? All TB bank stmts have been uploaded the only ones missing was Sept. 2025</t>
  </si>
  <si>
    <t>Could you please provide us with the Snapshot deposit slip for September 9, 2025? Additionally, we would appreciate it if you could share the deposit slip details for the transactions with the memos "MERCHANTSERVICES CR CD DE ACH" and "ACH REMOPTICALCO8568 CORP PAY ACH REMOPTICALCO" that have cleared in the bank. This will help us accurately match them with the corresponding payments.</t>
  </si>
  <si>
    <t>We have reviewed the report uploaded to the Dropbox folder. As you mentioned earlier — "FYI, his new system isn’t recording sales tax in QuickBooks, so we had to do it a roundabout way and will amend once they fix it" — this appears to be the reason why the sales tax liability shows as $346.73 instead of $3,209.86 as per the report.
It seems that due to the new system, most invoices do not have sales tax recorded in QBO. Could you please check and advise on this? Also, let us know what steps we need to take to fix the issue, as we don’t have invoice backups available to verify each sales tax and sales amount.
A screenshot is attached for your reference.
Thank you.</t>
  </si>
  <si>
    <t xml:space="preserve">Correct, this has been going on for a couple of months. It is adding the entire invoice as revenue.  </t>
  </si>
  <si>
    <t>Gabriella</t>
  </si>
  <si>
    <t>Could you please review the client communication and share the email that was sent by the client.</t>
  </si>
  <si>
    <t>He is trying to find out the yellow highlighted</t>
  </si>
  <si>
    <t>We have reviewed the report uploaded to the Dropbox folder. As you mentioned earlier — "FYI, his new system isn’t recording sales tax in QuickBooks, so we had to do it a roundabout way and will amend once they fix it" — this appears to be the reason why the sales tax liability shows as $346.73 instead of $3,209.86 as per the report.
It seems that due to the new system, most invoices do not have sales tax recorded in QBO. Could you please check and advise on this? Also, let us know what steps we need to take to fix the issue, as we don’t have invoice backups available to verify each sales tax and sales amount.
A screenshot is attached for your reference.
Thank you</t>
  </si>
  <si>
    <t xml:space="preserve">We have been paid through the end of October. Please update when you can. </t>
  </si>
  <si>
    <t>We are working on the files. We will try to complete it by today.
We will post the questions to the client. Also, we will send you an overview before the end of the day.
We have allocated and reconciled the Wild Tuna Fishing till current. For Alessia Fishing we have allocated and requested statements to the client. Currently we are working on Gabrielle Fishing. Also, we are in the process of matching the intercompany balances. We will let you know once we complete it.
We have completed the allocation and reconciliation for Gabrielle Fishing LLC, Alessia Fishing LLC, and WildTuna. We are currently working on resolving the client responses to the queries posted yesterday. We will complete it by today and let you know. Thank you!</t>
  </si>
  <si>
    <t>We have been paid through the end of October. Please update when you can.
They are meeting with the bank Sunday my time (they are in another country) to get a loan and need to have the financials up to date. This is something that can not put off. I am seeing questions answered by the client; but, not marked off as complete. Can you tell me where you are with this account and if it will be done today?
thank you! If you have any questions please send them to the client ASAP and make sure they are easy to understand. He has struggled a couple of times trying to understand the question. I will not be able to answer questions at this point; so please ask Thierry. Before you are done for the day can you give me an overview in case I need to speek with the CPA or Thierry? Thanks! 
Where are you on this?  They are trying to get a loan for the Gabrielle ASAP.</t>
  </si>
  <si>
    <t>We are unable to locate the previously sent email. Could you kindly resend the document to our email?</t>
  </si>
  <si>
    <t>He answered this in the notes and attachments he sent over a week ago.
You need to reword the question as the client is confused as to what you are asking.</t>
  </si>
  <si>
    <t>Sure, we will reword the question more clearly.
Referring to the conversation with the client, they have uploaded seven documents, out of which only one has cleared in QBO — the transaction for $380,420.11 dated 05/08/2025.
As the client is now requesting a Zoom call, please help explain the situation to them or assist us in resolving this issue accordingly.
Thank you for your support.
We were working on another cleanup task response and missed rewording it. Going forward, we’ll ensure that all comments from you and the client are addressed and that the file is updated before your meeting with them.
We’re also continuing to work on the cleanup open items and will provide you with a summary of all outstanding items at the earliest, so you can review them and discuss them with the client during the meeting.
Thank you for your understanding and support.
I didn't respond here since I responded to your email yesterday. 
Has everything been updated?</t>
  </si>
  <si>
    <t>This I replied to a month ago asking to reword it, why are you just responding to this?  Before I have any meeting with the client, I need to make sure you reviewed the notes from my meeting with him and make sure everything has been updated. 
We have prepared a Word document explaining the issues that are preventing us from closing the financials. Some of the questions have already been posted in Double (Keeper) for the client’s response, and we are currently waiting for their feedback. This document is for your reference, as it contains all the outstanding questions for which we are awaiting responses.
We are sharing the document in the outlook for your review and verification of the open points that are delaying the process. In the meantime, we have also received a few emails regarding other items — we are working on those and will update you once they are resolved and completed.
Your response to the questions listed in the attached document would be greatly appreciated. (Document name: Gabrielle, Alessia, Wild Tuna Fishing - Open points)
We can address this once the client provides the invoice details referenced in the transaction questions. Both items are related to Trimarine, so we will be able to fix and resolve the issue as soon as the client responds.</t>
  </si>
  <si>
    <t>The clients don't know what Double (Keeper) is, they just know it as a portal. So, this is confusing him.</t>
  </si>
  <si>
    <t>I understand the confusion! Thanks for clarifying it to the client.</t>
  </si>
  <si>
    <t>Make sure to send the client an email right away if you still need something. They are very stressed about the financials taking so long. Please give me a detailed update of when is done and what still needs answers before you leave. Please try and get everything for this account complete today</t>
  </si>
  <si>
    <t>Wild Tuna</t>
  </si>
  <si>
    <t>Thierry is now added as a contact in all three companies
Yes, please do.  Did you know that they could have one user with multiple companies and toggle between them?</t>
  </si>
  <si>
    <t>Good! Great to hear. Going forward, can we post our questions in the respective file in Keeper?
Yes — you’re right, one user can access and toggle between multiple companies (client files) under the same login.</t>
  </si>
  <si>
    <t>Thank you for providing the PNG. We have successfully reconciled this account through November 2025 with the help of the attached document. It appears there have been no transactions incurred in this account for Dec 2025 also. Moving forward, we will continue to monitor the Key Bank LOC account for any future transactions. Should there be any, we will request the relevant statement for further review and reconciliation.</t>
  </si>
  <si>
    <t>Movement Medical</t>
  </si>
  <si>
    <t>Just a heads-up — I’ve sent the client questions regarding the deposit.                                                                                                                                                                                                           When there is a difference in the commissions received and what is on the commission statement it is usually put in the Under/Over Commission account for the client to review.                                                                                                                                                                                                                                                             The Sept commission statement was due in October for September commissions. If the payment was off was is this just being brought up?                                                                                                                                                                                                                                    The commission statement attached here is for a total amount of $440,397, and the corresponding deposit was cleared in QBO on 10/21/2025 (436,422.53).
Thank you for confirming that the difference should be recorded to the Under/Over Commission account. Since that account is not currently available in QBO, we have recorded the difference to the Commission Variance account instead. Typically, we only post smaller variances to this account, but given that this variance is relatively large ($3,974), we requested clarification to ensure the books remain accurate and consistent.
Additionally, we are still waiting on the client for clarification regarding the loan.</t>
  </si>
  <si>
    <t>NO QUESTIONS</t>
  </si>
  <si>
    <t>Cleanup</t>
  </si>
  <si>
    <t xml:space="preserve">1. We need Loan statement for the Trimarine $1M Loan. To match the loan open balance. We can resolve this questions once we receive the loan statement and match the open balance.
Non-transaction questions tab:
2. We have posted the below ques to client regarding the vendor “Perone Travel”.
a) We noticed the following expenses are cleared for “Perone Travel.” Please provide the supporting documents or related bills paid with these payments so we can create the corresponding bill payments and match them with the expenses in QBO: 
Expense dated 02/13/2025 for $12,108.98 
Expense dated 02/14/2025 for $6,965.11 
Expense dated 07/11/2025 for $11,381.40 
Expense dated 08/25/2025 for $10,000.00 
Expense dated 09/11/2025 for $12,276.26 
b) Please provide the receipt for #0088095. 
c) We noticed the following bills are available but not yet recorded in QBO. Please confirm if we should record them: 
Bill #87999 – $2,629.62 
Bill #88015 – $388.00 
Bill #88014 – $939.50 
Bill #88121 – $1,016.83 
Bill #88131 – $1,754.86 
Bill #88130 – $4,796.96 
Bill #88092 – $1,442.61 
d) Additionally, we noticed the following bills for Thierry Marcel appear to have been paid through credit card billing. As these amounts are not cleared in the bank accounts, please confirm whether they were paid through a personal credit card. If these are business expenses, kindly let us know so we can record the bills accordingly in QBO. 
Bill #7008666 dated 06/30 for $9,666.84 
Bill #7009030 dated 05/04 for $7.60
3. Client requested for Zoom call to explain about the deposit uploaded in the double(Keeper). Please check the conversation and help us to resolve this. 
4. We noticed few expense of 2024 for the vendor “Adriatic Agencia Naviera” and JE are coded to the prepaid expense account and it shows balance of $359803.74. We checked whether it is duplicated but it is not. Please advise whether we shall ques this to client. 
</t>
  </si>
  <si>
    <t>Alessia</t>
  </si>
  <si>
    <t>We need account coding for the deposit dated 10/1/25 for $248,460 with the memo “Transmarina Del”.</t>
  </si>
  <si>
    <t>We are still waiting on the client for the deposit slip. I followed up with them again today. For now, the amount has been coded to Uncategorized Income.</t>
  </si>
  <si>
    <t>Please put it in Uncategorized Income next time if they don't respond by the 10th of the month.</t>
  </si>
  <si>
    <t>We have categorized all the deposits. However, we are still waiting on information from the client regarding the following: 1. Deposit – We are still waiting for the deposit slip for $25,338.46. I followed up with the client again today. For now, it has been coded to Uncategorized Income. 2. Enovis – We have not yet received a response from the client. This has been coded to AMA for the time being. Note: This is an overview to make you aware of what is preventing us from completing the income for October 2025. We have provided individual comments for both deposits—please review those for a clearer understanding</t>
  </si>
  <si>
    <t>I understand exactly what is going on; but, when taxes are due and the client isn't responding I would send an email every other day and specify this could result in taxes not being filed on time.</t>
  </si>
  <si>
    <t>High Interest Savings - Oct statement is not available in QBO.
Thanks for letting us know. We will check and proceed with reconciliation.</t>
  </si>
  <si>
    <t>Correct, that is the statement the client uploads and she uploaded under the BOA by accident. Is someone new working on the account?
Right now I just need income entered and then you can reconcile.</t>
  </si>
  <si>
    <t>Please provide Out of Pocket report for this expense to record JE. - Double</t>
  </si>
  <si>
    <t xml:space="preserve">Please let us know if there is anything that needs to be done on our side regarding this matter.
We've successfully logged into Expensify, but noticed that it's currently not connected to QuickBooks Online (QBO). Additionally, there are a few Out-of-Pocket (OOP) reports available under the Reports tab.
To proceed, could you please specify which of the following reports should be pulled
</t>
  </si>
  <si>
    <t>You need to log into Expensify and pull the reports. As mentioned in the past the UN is the support email address and then the code will be sent to the support address. I can make a video tomorrow if it doesn't work.</t>
  </si>
  <si>
    <t>Hi Thierry,
With the response updated in the excel "Gabrielle Fishing Uncleared" we have fixed most of unclear items. However few left. We also added additional comments in the excel "MPLLC New Comments". Please check and address.</t>
  </si>
  <si>
    <t xml:space="preserve">Make sure to send the client an email right away if you still need something. They are very stressed about the financials taking so long.  Please give me a detailed update of when is done and what still needs answers before you leave. Please try and get everything for this account complete today </t>
  </si>
  <si>
    <t xml:space="preserve">We’ve coded most of the “Merchant Service CR CD” deposits to the Uncategorized Income account for now. Could you please provide the deposit slips so we can identify the correct invoices or receive payments needed to match these deposits accurately in QBO?
We have reviewed the report, and unfortunately, it is not helpful. There are more than 30 deposits categorized under Uncategorized Income, which are related to Merchant Services. Additionally, we have noticed several Receive Payments still in the Undeposited Funds account.
If we were to code all merchant service deposits to the Sales Income account, it would overstate income and result in incorrect financials.
To proceed with the analysis and accurately identify the corresponding invoices or receive payments related to these cleared deposits, we request the login details for the merchant account.
If the login details are not available, please confirm so that we can proceed by selecting the receive payments using the FIFO method and coding any difference amount to Merchant Fees.
Your guidance on this matter will help ensure accurate reconciliation.
</t>
  </si>
  <si>
    <t>There is a report save in 2025 Tax; but, it is not very good. The merchant service deposit is Product Sales income and could be coded to income and the Gateway DR is merch service fee</t>
  </si>
  <si>
    <t>Monthly</t>
  </si>
  <si>
    <t>QBO automatic - 10/16 for $2650 is Kyle Johnston's rent reimbursement
10/17 for $1000 is *more info needed to research*
10/23 for $1500 is *more info needed to research*
10/30 for $1525 is Bruce Rogers flight reimbursement
11/6 for $1913.55 is for Brit Forbes $1590.33 in commissions and 323.22 was a reimbursement for Mariner's tickets for a game with a surgeon</t>
  </si>
  <si>
    <t>Why was this sent to the client? All of these are in the payroll files in DropBox.</t>
  </si>
  <si>
    <t>We wanted to let you know that we did not work on Saturday. Even during the weekdays, we have been focusing on the cleanup files, so we did not send this email to the client.
After checking the audit log for confirmation—since emails are sent through QBO—we noticed that the message was sent from your end. Please find the attachment for your reference.</t>
  </si>
  <si>
    <t>Here’s an update on the income for the month of October 2025:
We have completed the income for the following files:
Inglewood Physical Therapy
Sun Path
East West Interiors
Complete Acupuncture
New Life Interiors
We are still awaiting responses for the following:
Skyline Sign &amp; Wrap
Posted query and waiting for response regarding the Snapshot deposit slip for October 06, 2025.
Also awaiting clarification on deposits with the memos "MERCHANTSERVICES CR CD DE ACH" and "ACH REMOPTICALCO8568 CORP PAY ACH REMOPTICALCO".
Movement Medical
Waiting for response regarding the bank feed error.
Sent query for Enovis.
Requested deposit slip and class creation for Bio Composites.</t>
  </si>
  <si>
    <t>I was able to get access and have connected the accounts.</t>
  </si>
  <si>
    <t>Thanks for letting us know. We will start working on and let you know the status by end of the day.</t>
  </si>
  <si>
    <t>We've successfully logged into Expensify, but noticed that it's currently not connected to QuickBooks Online (QBO). Additionally, there are a few Out-of-Pocket (OOP) reports available under the Reports tab.
To proceed, could you please specify which of the following reports should be pulled</t>
  </si>
  <si>
    <t>Movement Medical has a meeting with the bank tomorrow to get logged in. Did she get back to you on Enovis. Re: Bio Composites. We don't text this client about class creation.  There is another new company that you will see commissions coming in for as well...I will send the name tomorrow. 
Skyline: This is the income coming in from their portal and the later is the fees. Also awaiting clarification on deposits with the memos "MERCHANTSERVICES CR CD DE ACH" and "ACH REMOPTICALCO8568 CORP PAY ACH REMOPTICALCO"</t>
  </si>
  <si>
    <t xml:space="preserve">Movement medical:
1. We are aware of the process to create a class, but unfortunately, we are currently unable to do so. We have already posted this below message in double for your attention. 
"We attempted to create a new class named “Bio Composites,” but received the prompt: “You’ve outgrown your plan.” Please advise on how you’d like us to proceed, or if we should forward this issue to the client for resolution. Please check the attached snap."
2. No response from the client for Enovis and deposit slip.
Skyline Sign &amp; Wrap:
We have requested clarification from the client regarding the Snapshot deposit dated 10/06/2025 for $673.72. We referred the deposit slip available in the Dropbox, but we noticed that this income is from the new customer, Hope Lake Stevens, and no invoice has been created in QBO for this customer.
We have reached out to the client for confirmation on this matter and have also mentioned you in the comments for your reference.
       b) Additionally, thank you for updating us about your ongoing follow-up with the client regarding the Merchant Service and Remoptical deposits. </t>
  </si>
  <si>
    <t>We noticed that the “Interest Expense” chart-of-accounts category is not available in QBO for Gabrielle’s books. Please let us know if you would like us to create this account in QBO to record the interest of this loan.</t>
  </si>
  <si>
    <t>The Sept commission statement was due in October for September commissions. If the payment was off was is this just being brought up? When there is a difference in the commissions received and what is on the commission statement it is usually put in the Under/Over Commission account for the client to review.</t>
  </si>
  <si>
    <t>The commission statement attached here is for a total amount of $440,397, and the corresponding deposit was cleared in QBO on 10/21/2025 (436,422.53).
Thank you for confirming that the difference should be recorded to the Under/Over Commission account. Since that account is not currently available in QBO, we have recorded the difference to the Commission Variance account instead. Typically, we only post smaller variances to this account, but given that this variance is relatively large ($3,974), we requested clarification to ensure the books remain accurate and consistent.
Additionally, we are still waiting on the client for clarification regarding the loan.</t>
  </si>
  <si>
    <t>Skyline sign &amp; Wrap</t>
  </si>
  <si>
    <t>We’ve coded most of the “Merchant Service CR CD” deposits to the Uncategorized Income account for now. Could you please provide the deposit slips so we can identify the correct invoices or receive payments needed to match these deposits accurately in QBO?</t>
  </si>
  <si>
    <t>There is a report save in 2025 Tax; but, it is not very good. The merchant service deposit is Product Sales income and could be coded to income and the Gateway DR is merch service fee.</t>
  </si>
  <si>
    <t>We have reviewed the report, and unfortunately, it is not helpful. There are more than 30 deposits categorized under Uncategorized Income, which are related to Merchant Services. Additionally, we have noticed several Receive Payments still in the Undeposited Funds account.
If we were to code all merchant service deposits to the Sales Income account, it would overstate income and result in incorrect financials.
To proceed with the analysis and accurately identify the corresponding invoices or receive payments related to these cleared deposits, we request the login details for the merchant account.
If the login details are not available, please confirm so that we can proceed by selecting the receive payments using the FIFO method and coding any difference amount to Merchant Fees.
Your guidance on this matter will help ensure accurate reconciliation.</t>
  </si>
  <si>
    <t>Hi Thierry,
Could you please provide us with the payment details for Clipper Oil Inc.? Specifically, we would appreciate it if you could include the following:
The date when the bill for Clipper Oil Inc. was paid.
The total amount paid.
The specific bills that were covered by the payment.</t>
  </si>
  <si>
    <t>Hi Thierry,  We were able to locate the Trimarine deposit by referring to the reports you provided and have attached the corresponding deposit slips with the deposit transactions in QBO. However, we’re unsure about one particular slip, which we’ve attached below.  Based on our review, we infer that it is related to Clipper expenses. Could you please confirm when the payment was incurred?</t>
  </si>
  <si>
    <t>We have updated the comments for Zunibal and Seawide in the attached Excel file. Please review and address accordingly. Almost all the uncleared transactions have been fixed now, except for those two. Thankyou.</t>
  </si>
  <si>
    <t>Can we temporarily code the transaction with the memo “WA Dept Revenue Tax” to the Snohomish Payable account until it is resolved? This will allow us to complete the reconciliation.</t>
  </si>
  <si>
    <t>We need to record the income and the sales tax expense in QB from the reports, then apply the pmt to Excise and Sales Tax.</t>
  </si>
  <si>
    <t xml:space="preserve">We have recorded the tax amount of $3,372.42 for July 2025 in the journal entry by crediting Snohomish Payable and debiting Sale of Product Income. As a result of this entry, the total income now shows as $28,514.17.
Could you please review this journal entry and advise whether we are on the right track?
While allocating the WA department revenue expenses, we will split them accordingly and show the Excise Tax as per the report. Once you confirmed, will go and record for remaining months. </t>
  </si>
  <si>
    <t>The tax entry does not match the payment made, which is why the expense is not reconciling. Can you review the invoices in the Snohomish payable and see if they are manually adding that to the invoice? Everything should be pushing through to WA Sales Tax Payable</t>
  </si>
  <si>
    <t xml:space="preserve"> We wanted to provide you with a quick update on the progress made with the unclear vendor transactions:
1. Zunibal
We noticed that some of the Zunibal bills have been duplicated in the system. We are currently working on resolving this issue and will let you know once it has been fixed.
2. Seawide
We’ve addressed the issue with Seawide by creating a Chart of Accounts (COA) Shareholder’s Distribution to correctly reflect the payment. This adjustment has been made, and the transaction is now reconciled.
3. Clipper Inc.
We are still awaiting a response from client end regarding the outstanding bills for Clipper Inc. We’ve posted a follow-up message, as soon as we receive the necessary information, we’ll be able to finalize the reconciliation.</t>
  </si>
  <si>
    <t>Posted regarding wating on Clipper</t>
  </si>
  <si>
    <t>Please give me an update on Gabrielle. I would expect most of the old 2025 unreconciled expenses in the WF bank account have been reversed or removed as they were duplicates. </t>
  </si>
  <si>
    <t>We provided our update in Slack on December 3rd. For your reference, below is the same message that was posted:
EOD status: We wanted to provide you with a quick update on the progress made with the unclear vendor transactions:
1. Zunibal - We noticed that some of the Zunibal bills have been duplicated in the system. We are currently working on resolving this issue and will let you know once it has been fixed.
2. Seawide - We’ve addressed the issue with Seawide by creating a Chart of Accounts (COA) Shareholder’s Distribution to correctly reflect the payment. This adjustment has been made, and the transaction is now reconciled.
3. Clipper Inc. -We are still awaiting a response from client end regarding the outstanding bills for Clipper Inc. We’ve posted a follow-up message, as soon as we receive the necessary information, we’ll be able to finalize the reconciliation.
We have completed the Zunibal and are now waiting for the client's response regarding the vendor, Clipper Inc. All unreconciled expenses have been resolved, and the bill payments and JEs for Trimarine and Seawide are in and out entries. We can now include these in the upcoming reconciliation.
Additionally, we are currently focusing on the Perone vendor, as we’ve received the client's response for this.</t>
  </si>
  <si>
    <t>I understand you provided an update on the 3rd, but it is now the 5th (your 6th). Requesting another update is reasonable, especially considering how this account has been handled. I’ve also stressed multiple times how important this account is — they are experiencing financial issues and urgently need a loan, which they cannot move forward with until the financials are completed.</t>
  </si>
  <si>
    <t xml:space="preserve">We understand your frustration and appreciate your patience. All open points have now been addressed. We are currently awaiting your response on the Expensify items (a reminder has been posted in double). Please review and advise so we can move forward.
</t>
  </si>
  <si>
    <t>Response from Rebecca:  In your example, you’re searching under my name — I wouldn’t have any expenses. When you log in using the support email address, everything is visible, but you need to select Thierry’s name instead of mine. It seems you may be logging in with the wrong email address, or you’re not filtering by the correct person once logged in.</t>
  </si>
  <si>
    <t>I wanted to confirm the process for handling Out-of-Pocket (OOP) expenses moving forward. Currently, we are logging in through the Support mail ID and are able to view the OOP expenses without any issues.
As part of our procedure, whenever an OOP expense appears in QuickBooks Online (QBO), we will check Expensify for the corresponding report, download the necessary documentation, and record the journal entry (JE) accordingly.</t>
  </si>
  <si>
    <t>Yes, as long as the correct expense reports are entered to the correct company in QB. He is using folders for the different companies in Expensify. Thank you</t>
  </si>
  <si>
    <t>It looked like the Sept and Oct WF aren't complete. Sept was done before. Can you please make sure to get those done today. I really need to get these financials out.</t>
  </si>
  <si>
    <t>Thank you for confirming the Expensify question, we will mark it resolve and we have reconciled the checking account through October 2025.
Could you please provide the Terra Bank statement for account #3106 for October 2025 so we can finalize the reconciliation. We would also like to inform you that we are currently in the review process. Thankyou.</t>
  </si>
  <si>
    <t>Movement medical</t>
  </si>
  <si>
    <t xml:space="preserve">Please update and reconcile Movement Medical before end of day. </t>
  </si>
  <si>
    <t>We are pausing the cleanup for now and will begin working on the Movement Medical tasks. We are not certain we will be able to complete the books through November 2025 today, as we still need to work on the reconciliation from October. However, we will do our best. We will update you on the status by EOD. Thank you.                                                                                      We have processed the deposits for November and have posted a few questions regarding the new deposits. We will work on the expenses tomorrow and keep you updated. Thank you.</t>
  </si>
  <si>
    <t>No Questions</t>
  </si>
  <si>
    <t>Movement Medical – Below are the questions that were sent to the client. Nov 2025 Income reconciliation:
1. Sanara Medtech – We noticed two new deposits from Sanara Medtech dated 11/2/2025 for $270 and 11/26/2025 for $549. Please advise on the appropriate account coding for these transactions. 2. We noticed a new deposit from Adyen Inc dated 11/4/2025 for $1,696. Please advise on the appropriate account coding for this transaction. Please advise whether the above should be classified as commission income.</t>
  </si>
  <si>
    <t>We identified several rules set-up incorrectly, particularly with the auto-add function. Specifically, transactions with a memo starting with "Banco", followed by the vendor's name, were being misclassified. Upon reviewing the 2025 transactions, we found that all transactions with the "Banco" memo were mistakenly assigned to Jhonny Jefferson, rather than to the correct vendors. As a result, we have deleted the problematic rule and are in the process of correcting the 2025 transactions.
Please find attached the details of the affected rules using the auto-add function, along with the transactions that were incorrectly coded.</t>
  </si>
  <si>
    <t>Inglewood Physical</t>
  </si>
  <si>
    <t>Please provide us with the Key Bank LOC statement for Nov 2025.</t>
  </si>
  <si>
    <t>I will check again; but Monday it still wasn't posted.
12/2025 The balance has been zero since October. So, it looks like QB needs to be fixed.  I saved a PNG of the balance for backup; but, they do not have any statements after Oct.</t>
  </si>
  <si>
    <t>01/14/2026 Thank you for providing the PNG. We have successfully reconciled this account through November 2025 with the help of the attached document. It appears there have been no transactions incurred in this account for Dec 2025 also. Moving forward, we will continue to monitor the Key Bank LOC account for any future transactions. Should there be any, we will request the relevant statement for further review and reconciliation</t>
  </si>
  <si>
    <t>Can you please look at Gabrielle, there are still uncleared transactions on the books, that are old and should not be. The balance sheet needs to be reviewed as there several items of concern: Unapplied Cash Bill Payment Expense ($115k).  He really needs these financials and right now any bank would be questioning the financials. 
*Reclass negative “due from/due to/advance payment” balances
*Fix current vs long-term loan classification
*Insurance negative expense support/reclass
*Payroll tax tie-out
*Fishing license roll-forward</t>
  </si>
  <si>
    <t>Yes, we are yet to review the balance sheet accounts. As previously informed, we noticed that many transactions were auto-added. We prioritized reviewing these first, as this is a primary area of focus and may also impact the balance sheet. Please find the attached snapshot for your reference. There are no unclear transactions in either the Checking or Terra Bank accounts. As discussed, we will now shift our focus from the auto-added transactions to reviewing the balance sheet.</t>
  </si>
  <si>
    <t xml:space="preserve">
We have addressed all the open questions. Please advise on the above so we can proceed and complete the books. </t>
  </si>
  <si>
    <t xml:space="preserve">Merchant Services pushing through from their sales software. All deposits are saved in DB. </t>
  </si>
  <si>
    <t>Thank you for the report. After reviewing the "Skyline Invoice List" saved in Dropbox, we found that the deposits with the memo "Merchant Services" are processed through the software Torq. Additionally, the invoices related to these deposits have not been recorded in QuickBooks Online.
As a result, we will now code these deposits, with the "Merchant Services" memo, to the "Sales of Product Income" account with the customer name "Torq Merch Services" in QBO, as previously done. This approach will ensure that the income is not double-counted (overstated) in QBO, as no invoices have been entered for the deposits cleared in the bank.
Going forward, we will no longer request deposit slips for these deposits cleared in QBO.
Please confirm if this understanding is correct, and let us know if anything else is needed.</t>
  </si>
  <si>
    <t>Please do not ask me for each individual deposit. The report gets sent to me from the bank and at times they are late. These have all been saved to DropBox and the pw is their zip code. Thanks!</t>
  </si>
  <si>
    <t>We’ll need to enter the sales tax/excise tax, as the August–November payments have been sitting in the bank feed and haven’t been applied yet. I believe revenue is being double counted. All sales are being recorded in the sales software, and in some cases are also being entered directly into QBO, which they are not supposed to do. Since invoices are not being pushed into QBO, revenue should be recorded via a journal entry based on the reports we receive from the sales software and reconciled to the amounts deposited through the merch account.</t>
  </si>
  <si>
    <t>Gab</t>
  </si>
  <si>
    <t>Please remember to only work through October. November and December are on pause until I let you know. This doesn't mean to stop cleaning historical data up.</t>
  </si>
  <si>
    <t xml:space="preserve">We noticed that the bank feeds for Operating account #1754 and Elan CC are showing errors. Please check and fix the issue, or let us know if we need to reach out to the client.
Thanks for letting us know. Going forward, we will ask the client to fix any bank feed errors and provide the statements.
</t>
  </si>
  <si>
    <t>The feed for the operating is fixed. The cc looks fine. FYI the owner provides the statement for that account and is the only one that can reconnect if need be.
He only fixes the cc bank feed. I can fix the Ops and saving accounts.</t>
  </si>
  <si>
    <t>We noticed that the deposit with the memo “UChoose Cash Redemption” cleared on 11/3/2025 for $48. We have coded this to Other Income—please confirm if this is correct. Since this is a redemption, we did not apply a tag. Please let us know if you would like us to add one.</t>
  </si>
  <si>
    <t>Yes, no tag is necessary. They should have a cash rewards account or something similar. If not, other income is find.</t>
  </si>
  <si>
    <t xml:space="preserve">Skyline </t>
  </si>
  <si>
    <t>If there is a small difference it is usually due to tax or a late fee. In this case we make an adjustment depending on what the difference is from. Late fees are obvious one the diff is the amount of the late fee you can delete the late fee. If is a small diff for other reasons, go ahead and add a line item with a -/+ amount and put it to undercharged sales tax or sale of product income (if it looks like the tax changed).</t>
  </si>
  <si>
    <t>Thanks for letting us know. We will do the remaining Part. 
We have done Back Out Employer Portion of Insurance till Nov 2025 and currently working on Reclassification of Reimbursement.</t>
  </si>
  <si>
    <t>I reconciled the bank account yesterday; but I didn't break the payroll rec out (medical, retirement, etc.</t>
  </si>
  <si>
    <t>As of now, we’ve been focusing on the Gabrielle cleanup, but from now we will be prioritizing the Movement Medical and let you know the status by end of the day.</t>
  </si>
  <si>
    <t>Instead of asking for each deposit for the particular client you just need create a comment under one of them and let me know you don't see the deposits. I cannot get them to you until they are sent to me from the bank.</t>
  </si>
  <si>
    <t>NO Questions</t>
  </si>
  <si>
    <t>This account has shown a balance of $4,133.34 since 2001. Do we need to record a journal entry to clear this? If yes, please let us know which account we should use to offset it.</t>
  </si>
  <si>
    <t>01/22/2026 His CPA leaves it on there for his Rent deposit</t>
  </si>
  <si>
    <t>01/22/2026 Thanks for letting us know.</t>
  </si>
  <si>
    <t xml:space="preserve">We have recorded the tax amount of $3,372.42 for July 2025 in the journal entry by crediting Snohomish Payable and debiting Sale of Product Income. As a result of this entry, the total income now shows as $28,514.17.
Could you please review this journal entry and advise whether we are on the right track?
While allocating the WA department revenue expenses, we will split them accordingly and show the Excise Tax as per the report. Once you confirmed, will go and record for remaining months.
Gentle reminder, Please check the above query and respond to us. </t>
  </si>
  <si>
    <t xml:space="preserve"> Can you please provide Snapshot deposit for this deposit ?</t>
  </si>
  <si>
    <t xml:space="preserve">Please remember that this comes from the client's banker as I do not have access. </t>
  </si>
  <si>
    <t>Can you save BB operating #3161 for Nov 2025?</t>
  </si>
  <si>
    <t>I am locked out of the bank and will need to call them.  Also, I have emailed the banker that send the deposits/checks over - I think he forgot; but, is quick to back to me. 
It is their zip code, I believe 98258; but, you will want to double check.It is their zip code, I believe 98258; but, you will want to double check.It is their zip code, I believe 98258; but, you will want to double check.</t>
  </si>
  <si>
    <t>We attempted to reclassify the snap deposits using the document you uploaded to Dropbox; however, the file is password-protected. Could you please advise or share the password so we can proceed?</t>
  </si>
  <si>
    <t>Movement Medicals</t>
  </si>
  <si>
    <t>As of now, we’ve been focusing on the Gabrielle cleanup, but from now we will be prioritizing the Movement Medical and let you know the status by end of the day.
We have reconciled the Operating Account for October and are currently working on the Amex 1008 and Savings accounts for the month of October.Tomorrow, we will continue working on the Movement Medical and aim to complete the file for November 2025. Thankyou.</t>
  </si>
  <si>
    <t>Please update the account today before EOD, they are trying to meet with their CPA and questions answered by the client have not been addressed. THanks!</t>
  </si>
  <si>
    <t>Gabrielle Fishning</t>
  </si>
  <si>
    <t>This should not be negative</t>
  </si>
  <si>
    <t>No</t>
  </si>
  <si>
    <t>Yes, we are yet to review the balance sheet accounts. As previously informed, we noticed that many transactions were auto-added. We prioritized reviewing these first, as this is a primary area of focus and may also impact the balance sheet.
Please find the attached snapshot for your reference. There are no unclear transactions in either the Checking or Terra Bank accounts. As discussed, we will now shift our focus from the auto-added transactions to reviewing the balance sheet.</t>
  </si>
  <si>
    <t xml:space="preserve">If there is a small difference it is usually due to tax or a late fee. In this case we make an adjustment depending on what the difference is from. Late fees are obvious one the diff is the amount of the late fee you can delete the late fee. If is a small diff for other reasons, go ahead and add a line item with a -/+ amount and put it to undercharged sales tax or sale of product income (if it looks like the tax changed). </t>
  </si>
  <si>
    <t>Did you ask the client?</t>
  </si>
  <si>
    <t xml:space="preserve"> PFA, of unclear transactions.
We have fixed all the unclear transactions for the Wells Fargo and Terra Bank accounts. However, several transactions are still appearing as unreconciled in the Books Review tab under Account reconciliation. We are not certain why these transactions continue to show there; however, there are no transactions left unclear in the books.
Additionally, could you please provide a brief description of the Fishing License roll-forward, including the steps that need to be performed and whether there are any supporting documents available to reconcile this balance?
We are currently working on the other accounts and will update you once they are fixed.</t>
  </si>
  <si>
    <t>I don't know the fishing license roll-forward</t>
  </si>
  <si>
    <t>East west interiors</t>
  </si>
  <si>
    <t>Transaction question - Was this expense for business or personal purpose? If it was for business, was it related to employees or a client...?</t>
  </si>
  <si>
    <t>We noticed that the Gusto JE dated 12/19/25 includes a reimbursement amount of $50.05 for Ariona Bergstraesser. Upon review, we observed that:
$29.45 is for Mileage
$20.60 is for Overlake Laundromat (laundry shop)
Kindly advise whether we should code the $20.60 portion to the Reimbursable Expense account or if a specific COA should be used. As of now we have coded it to Ask My Accountant account. 
Please find the snapshot attached for your reference.</t>
  </si>
  <si>
    <t>FYI, we noticed that the commission statement shows a total commission amount of $5,080. However, only $2,580 has been cleared in QBO. Could you please check whether the saved report is correct and let us know.</t>
  </si>
  <si>
    <t>Thanks for confirming. We will wait for the response regarding Adyen.</t>
  </si>
  <si>
    <t>Waiting on client for the password to open the excel.</t>
  </si>
  <si>
    <t>waiting</t>
  </si>
  <si>
    <t xml:space="preserve">FYI, we posted questions to Katie regarding the attachment attached for Nov 2025. </t>
  </si>
  <si>
    <t>02/18/2026 Did she every respond?</t>
  </si>
  <si>
    <t>02/19/2026 She hasn’t responded to the question yet.</t>
  </si>
  <si>
    <t>Complete accupunture</t>
  </si>
  <si>
    <t>Could you please provide us with the Square report to segregate the fees for December'25?</t>
  </si>
  <si>
    <t xml:space="preserve"> I saved the deposit in DB for you; so, you would have the insurance company's name.
01/22/2026 Here you go, I also saved in the client banking </t>
  </si>
  <si>
    <t>01/22/2026 We have reviewed the deposits available in Dropbox and noted that the 10/10/2025 deposit for $250 is included in the document - Bank&gt;Operating - People's Bank. However, we are requesting the deposit dated 11/17/2025 for $250.
Could you please provide the deposit slip for November 2025 at your convenience.</t>
  </si>
  <si>
    <t>01/006/2026</t>
  </si>
  <si>
    <t>we noticed that the snapshot deposits for November 2025 have been coded to Uncategorized Income, as we were unable to find matching invoices in QBO for the customers listed in the snapshot reference image.
Please find the attachment for your reference and let us know whether the corresponding invoices have already been created or are still pending in QBO.
We look forward to your clarification so we can update the records accordingly.</t>
  </si>
  <si>
    <t>Commission Variance is the correct account until we can get a good answer. I would put a note in the transaction, so the CPA sees it when reviewing.</t>
  </si>
  <si>
    <t>We have reviewed the deposits available in Dropbox and noted that the 10/10/2025 deposit for $250 is included in the document - Bank&gt;Operating - People's Bank. However, we are requesting the deposit dated 11/17/2025 for $250.
Could you please provide the deposit slip for November 2025 at your convenience.</t>
  </si>
  <si>
    <t>All Snapshots were uploaded a while ago, can this be closed?</t>
  </si>
  <si>
    <t>The balance has been zero since October. So, it looks like QB needs to be fixed. I saved a PNG of the balance for backup; but, they do not have any statements after Oct.</t>
  </si>
  <si>
    <t xml:space="preserve">He emailed them to me as he doesn't use the portal. I have saved them in DropBox
01/10/2026 FYI I forwarded December a couple of days ago. </t>
  </si>
  <si>
    <t xml:space="preserve">Thanks for letting us know. </t>
  </si>
  <si>
    <t xml:space="preserve">We have posted a query to the client, as we were unable to locate the corresponding invoices in QBO. Additionally, Please upload the snapshot for the December 2025. </t>
  </si>
  <si>
    <t>The bank has not sent the snapshots as of yet. I will send another request. Please note I cannot get these online the bank makes a special exception, downloads and sends them to me every month. 
01/21/2026 The snapshot was uploaded on 1/9
I posted an SOP for handling their revenue in the Customer's Notes section: 
01/27/2026 I have to make a slight change to this. For now I will get 2025 Torq info into QBO and I can give you the updates for January revenue due in February 
02/26/2026 It looks like the difference is using undeposited funds (if they are adding the deposits for the checks) vs using the cash clearing for the checks. Depending on how checks are handeled that would make the difference. Since they get cash and checks which way would you like to handle it?</t>
  </si>
  <si>
    <t>01/08/2026 Yes, we understand. We were just reminding you about the snapshot. Please upload it once it is available and keep us updated. Additionally, we have not yet received a response from the client regarding the question we raised. Could you please follow up and let us know if there's anything we can do to address the point? Thankyou.
01/21/2026 Thanks for the snapshot. We will start working on. 
01/27/2026 Thanks for letting us know. We will wait for the updated notes. FYI, We have now focused on 1099 eligible vendor. We will review the file for 2025 once it is completed. 
01/30/2026 We reviewed your Torq monthly sales procedure and also noted that a December 2025 journal entry (JE) has been recorded in QuickBooks Online.
Our understanding is that, after recording the JE as per the procedure, the related bank feed transactions should be coded to the card or cash clearing accounts according to the mode of deposit received, which would then clear the balances created by the JE.
We also understand that you are still working on reconciling the income and related JEs. However, we would like to confirm whether this process is still in progress, as we noticed that a few deposits from November and December are still posted to the Uncategorized Income account.
Please confirm and advise if we can assist you in completing this process.
02/05/2026 Hi @Rebecca Inman ,
We have categorized the deposits for January 2026 as follows:
Deposits with the memo “Snapshot” have been coded to the Cash Clearing Account.
Deposits with the memo “Merchant Services” have been coded to the Card Clearing Account.
Please share the login details for Torq so we can generate the required reports and record the journal entries for January 2026.
Also, please confirm if there are any updates or changes required to the current procedure.
Thank you.
02/26/2026 Thank you for your response. We will review the details carefully and provide the best option by tomorrow
02/27/2026  Hi,
There are two ways we can handle this going forward:
Option 1 – Preferred (If TORQ Sync with QBO Is Available)
If we have the option to sync TORQ directly with QBO, this would be the best approach. The invoices would then be recorded accurately and cleanly as per the TORQ report, with sales tax properly segregated. This would allow us to verify the sales tax amounts directly against the TORQ report for accuracy.
The next step would be to receive payments in QBO, code them to Undeposited Funds, and match them to the bank feed during allocation.
The only additional requirement would be obtaining deposit slips that clearly show which invoices were paid, so we can properly match deposits and ensure bank feed transactions are recorded correctly.
Under this approach, a clearing account would not be required.
Option 2 – If Sync Is Not Available
If syncing TORQ to QBO is not possible, it would be best to use a clearing account since the invoices are not directly reflected in the books.
In this case:
Snap deposits can be categorized to a Cash Clearing account.
Merchant service deposits can be categorized to a Card Clearing account.
A journal entry would then be recorded to reflect sales, sales tax, and debit the respective clearing account.
With this method, we would not use Undeposited Funds. Instead, we would rely on the Cash/Card Clearing account for tracking and reconciliation.
Additionally, we suggest merging the Cash Clearing and Card Clearing accounts into one single "Cash/Card clearing account". Both merchant service deposits and Snap deposits can be coded to this account, and journal entries can be recorded against the same account. This will make the process clearer and more streamlined.
We have also fixed the October 2025 journal entry. Please review and confirm so we can proceed with the remaining months and work toward closing out 2025.
Thank you.</t>
  </si>
  <si>
    <t>Payroll Reconciliation:
We have deleted the journal entry dated 04/07/2025 for $1,049.29, as this entry was automatically recorded by Gusto for an Auto Wage Correction payroll. This adjustment did not result in any bank clearance and therefore was not required to be recorded.
After deleting the entry, the Payroll Tax and Payroll Clearing accounts are now correctly stated.
Bank and Credit Card Reconciliation:
We have completed the Chase Ink credit card reconciliation through December 2025.
For the BB Operating account ending 3161, we noticed that sales tax payments from August 2025 are still sitting in the bank feed. We have not worked on these transactions, as you mentioned that you are currently in the process of fixing them. Thankyou.</t>
  </si>
  <si>
    <t>No reply</t>
  </si>
  <si>
    <t>The Payroll Wages and Tax figures for 2025 are matching. However, there is a discrepancy of $29.21 in the Payroll Tax due to an expense of $630.94 for "Labor &amp; Industries" on 3/3/2025, and a deposit of $601.73 for "Gusto TLR" on 3/14/2025.</t>
  </si>
  <si>
    <t>01/22/2026 OK, thank you</t>
  </si>
  <si>
    <t>Please provide us with the payroll report for Nov and Dec 2025 to match the wages and taxes.</t>
  </si>
  <si>
    <t>These have been uploaded
01/21/2026 please make sure to mark these off once you have read them so I know you saw them</t>
  </si>
  <si>
    <t xml:space="preserve">East West </t>
  </si>
  <si>
    <t>Could you please upload the individual employee payroll reports and the Contractor Payment Report for the period January to December 2025?
FYI, at present, only the monthly payroll reports are available in Dropbox. 
Thank you for your support. Please let me know once the uploads are completed.</t>
  </si>
  <si>
    <t>01/22/2026 Hi these have been saved under the Tax folder. They did not pay any contractors through Gusto so you it is only W2's
01/22/2026 sorry about that I moved some of the YE back-up in the CPA Folder since we give them a package.</t>
  </si>
  <si>
    <t xml:space="preserve">01/19/2026 A kind reminder to please upload the individual employee payroll reports and the Contractor Payment Report for the period January to December 2025.
At present, only the monthly payroll reports are available in Dropbox.
We also noted that the variance of $1.45 is attributable to the Tax Reconciliation Report for the payday dated March 31, 2025, which is currently not available in Dropbox. Please note that this difference has already been cleared in QBO.
To enable us to properly scrutinize and reconcile the variance, we kindly request that you provide the Tax Reconciliation Report for the full year 2025 at your earliest convenience. Also uploaded the Payroll reconciliation report in dropbox
01/22/2026 Thanks for savings report. We could find them in the CPA&gt;2025&gt;YE Payroll Back-Up in dropbox. </t>
  </si>
  <si>
    <t xml:space="preserve">Sun Path </t>
  </si>
  <si>
    <t>01/23/2026 We have completed the payroll reconciliation, and there are no unclear Gusto transactions for 2025. The reconciliation has also been uploaded to Dropbox for your reference. As a kind reminder, please provide the individual employee payroll reports and the Contractor Payment Report, as we do not have access to the Gusto login. Once these are provided, we will proceed with preparing the W-2s and 1099 contractor payments and complete the entire process.</t>
  </si>
  <si>
    <t>Please do not do any work on this account until I hear back from the client. Thanks
01/22/2026 Will do.</t>
  </si>
  <si>
    <t>01/22/2026 Thanks for letting us know. We will stop working on this client for now.
Please let us know once you hear back from the client, and we’ll resume work accordingly.</t>
  </si>
  <si>
    <t xml:space="preserve">A kind reminder to please upload the individual employee payroll reports and the Contractor Payment Report for the period January to December 2025.
At present, only the monthly payroll reports are available in Dropbox.
We also noted that the variance of $1.45 is attributable to the Tax Reconciliation Report for the payday dated March 31, 2025, which is currently not available in Dropbox. Please note that this difference has already been cleared in QBO.
To enable us to properly scrutinize and reconcile the variance, we kindly request that you provide the Tax Reconciliation Report for the full year 2025 at your earliest convenience. Also uploaded the Payroll reconciliation report in dropbox. </t>
  </si>
  <si>
    <t>The client answered several of the questions in Dec. Can you please review and update QBO once when you get a chance? After you review Vendors (double check none of them are related to a vendor that needs a 1099.)</t>
  </si>
  <si>
    <t>Sure, we have started reviewing this file. Will address the client responses thankyou.</t>
  </si>
  <si>
    <t xml:space="preserve">Please mark these closed once you view and there is nothing more to do. </t>
  </si>
  <si>
    <t xml:space="preserve">Sure, we have started reviewing this file. Will address the client responses thankyou. </t>
  </si>
  <si>
    <t xml:space="preserve">Inglewood </t>
  </si>
  <si>
    <t>The fixed asset shows a balance of $253.30. Please let us know whether we can record this amount as depreciation expense and fully write off the asset.</t>
  </si>
  <si>
    <t>01/27/2026 Next time can you link it to the account?  Thanks!</t>
  </si>
  <si>
    <t>NO QUESTION</t>
  </si>
  <si>
    <t xml:space="preserve">This account can now be worked on again; but we are only working on finishing 2025.
02/03/2026 The issue is she moves revenue around on her taxes; so, it is hard to get QBO to match with what she is filing.
</t>
  </si>
  <si>
    <t>02/02/2026 We have completed the books for 2025 and have posted a few questions regarding tax-related transactions.
As you mentioned earlier, we have not yet started working on the 2026 transactions. Please let us know how you would like us to proceed
02/25/2026 Can you please confirm weather we shall work on 2026 books. 
02/26/2026  We have completed our review up to December 2025 and confirm that there are no open points pending at our end.</t>
  </si>
  <si>
    <r>
      <rPr>
        <rFont val="Arial"/>
        <color theme="1"/>
      </rPr>
      <t xml:space="preserve">We infer that this vendor is related to health insurance based on the communication we have reviewed in the transaction questions for this vendor.
Please confirm whether this understanding is correct. If this is related to insurance the vendor is not eligible for 1099. PFA snap for your reference.
</t>
    </r>
    <r>
      <rPr>
        <rFont val="Arial"/>
        <b/>
        <color theme="1"/>
      </rPr>
      <t>Evergreen Security Services LLC - Vendor name</t>
    </r>
  </si>
  <si>
    <t>01/31/2026  correct this is health insurance and they do not need one</t>
  </si>
  <si>
    <t xml:space="preserve">Need W9 - OSM Real Estate Holdings LLC </t>
  </si>
  <si>
    <t xml:space="preserve"> 01/31/2026  -please submit the request to client</t>
  </si>
  <si>
    <t>Need W9 -Equitable</t>
  </si>
  <si>
    <t>Need W9 - Overtuff LLC</t>
  </si>
  <si>
    <t>02/18/2026 I sent the 1099 out; but, we are still waiting for the new one as the original I believe was filled out wrong.</t>
  </si>
  <si>
    <t>Need W9 - Patrick Casey &amp; Co. LLP</t>
  </si>
  <si>
    <t xml:space="preserve"> 01/31/2026 they don’t need one</t>
  </si>
  <si>
    <t>Need W9 - Sterling Storage</t>
  </si>
  <si>
    <t xml:space="preserve">01/31/2026  i believe we already have this in Double 
</t>
  </si>
  <si>
    <t>01/31/2026 We have checked all possible locations in Double, Dropbox, and QBO; however, the W9 is not available.
Please advise the pathway to locate it, and we will update the Tax ID in QBO and Double accordingly.</t>
  </si>
  <si>
    <t>We have prepared the eligible vendor list and need W9 for the below vendor's:
1. Evergreen Security
2. OSM Real Estate
3. Equitable
4. Overturff LLC
5. Patrick Casey &amp; Co. LLP
6. Sterling Storage
01/31/2026
Please let us know whether we can go ahead and request the W-9 from the client.</t>
  </si>
  <si>
    <t>01/ 31/2026 these have already been requested</t>
  </si>
  <si>
    <t>Need W9 - Lake Stevens Industrial Park</t>
  </si>
  <si>
    <t>01/31/2026 Lake Stevens Industrial Park - they don’t get one</t>
  </si>
  <si>
    <t>Need W9 -Bristol Roberson Finnacial Services</t>
  </si>
  <si>
    <t>Need W9 -Trent Kosters</t>
  </si>
  <si>
    <t>Need W9 for the below vendors:
1. Bristol Roberson Financial Services
2. Lake Stevens Industrial Park
3. Trent Kosters
01/31/2026
Please let us know whether we can go ahead and request the W-9 from the client for "Bristol Roberson Financial Services".</t>
  </si>
  <si>
    <t>01/31/2026 i already requested Bristol’s w9 you should be able to see the request in Double.</t>
  </si>
  <si>
    <t>01/31/2026 Yes, we can see. It was requested from the vendor, and we infer that you reached out to them as the email is available. However, we thought we could also check with the client in case they would send it directly.</t>
  </si>
  <si>
    <t>Reconciliation</t>
  </si>
  <si>
    <t>Please provide us the Global Credit Union Savings statement for the quarter 4 (Oct to Dec 2025) to complete the reconciliation.</t>
  </si>
  <si>
    <t>01/31/2026 i will check if there is one posted in the morning.
02/06/2026 The checking and savings are on the same stmt. I just posted the Jan Stmt. You should have Nov and Dec but I believe Oct was the month the bank converted.</t>
  </si>
  <si>
    <t>02/06/2026 Gentle reminder, Please provide us the Global Credit Union Savings statement for the quarter 4 (Oct to Dec 2025) to complete the reconciliation.
02/06/2026 Thanks for providing the January bank statement. We have reconciled the savings account.</t>
  </si>
  <si>
    <t>Please provide us the BOA CC statement for Dec 2025.</t>
  </si>
  <si>
    <t>Please provide us the W-9 for the following vendors: Carl Cosgrove Horizon House Anchor Accounting</t>
  </si>
  <si>
    <t>01/31/2026 - Anchor is agreement/payment software; so those expenses would have been from me. 
02/12/2026 Please enter the W-9 info in the Vendor file in Double. I transferred the actual forms the client uploaded to the vendor file in Double
02/13/2026 I took care of this.</t>
  </si>
  <si>
    <t>We have requested W9 for the following vendors:</t>
  </si>
  <si>
    <t>Need W9 - Anchor Accounting</t>
  </si>
  <si>
    <t>Need W9 - Horizon House</t>
  </si>
  <si>
    <t>01/31/2026 I asked client - Horizon House</t>
  </si>
  <si>
    <t>Need W9 - Carl Cosgrove</t>
  </si>
  <si>
    <t>01/31/2026 Sorry, I misunderstood the message in Slack I thought you had requested the W9 from the client not me. I have requested from the client. 
02/01/2026 - I asked him regarding the W9 request, I also need to get permission from him to do the 1099's.</t>
  </si>
  <si>
    <t>01/31/2026 We can reach out to the client directly if you’d like. Please confirm, and we’ll make a note of it to avoid a last-minute rush in the future.</t>
  </si>
  <si>
    <t>New Life Interiors</t>
  </si>
  <si>
    <t>We noticed that a few expenses with the vendor names Chase CC, Capital One, and Bank of America are classified to 1099-eligible accounts, such as contractors and equipment rentals. However, upon review, we observed that each of these transactions is tagged directly to customers. We therefore infer that these expenses are related to the respective tagged customers.
Based on this, we did not include these transactions for 1099 issuance. Please let us know if this treatment is appropriate.
Additionally, we have requested W-9 forms from the following vendors:
Unique Floors Company
Scrivanich Natural Stone
Performance Business
PB Structures PLLC
Mr. Tile
Adan Acuna-Miramontes
Thank you.</t>
  </si>
  <si>
    <t xml:space="preserve">
02/01/2026 - Yes, I requested from the client last week</t>
  </si>
  <si>
    <t>Need W9 - Adan Acuna - Miramontes</t>
  </si>
  <si>
    <r>
      <rPr>
        <rFont val="Arial"/>
        <b/>
        <color theme="1"/>
      </rPr>
      <t xml:space="preserve">01/31/2026 </t>
    </r>
    <r>
      <rPr>
        <rFont val="Arial"/>
        <color theme="1"/>
      </rPr>
      <t xml:space="preserve"> the request has been sent</t>
    </r>
  </si>
  <si>
    <t>Need W9 - PB Structure PLLC</t>
  </si>
  <si>
    <t>02/01/2026 Yes, I requested from the client</t>
  </si>
  <si>
    <t>Need W9 - Mr.Tile</t>
  </si>
  <si>
    <t>Need W9 - Performance Business</t>
  </si>
  <si>
    <t>01/31/2026Performance Business - i sent requests for this already. To the owner</t>
  </si>
  <si>
    <t>Need W9 - Scrivanich Natural Stone</t>
  </si>
  <si>
    <t>01/31/2026 Scrivanich Natural Stone this has already been requested to the client</t>
  </si>
  <si>
    <t>Need W9 - Unique floors company</t>
  </si>
  <si>
    <r>
      <rPr>
        <rFont val="Arial"/>
        <b/>
        <color theme="1"/>
      </rPr>
      <t xml:space="preserve"> 01/31/2026 Unique floors company</t>
    </r>
    <r>
      <rPr>
        <rFont val="Arial"/>
        <color theme="1"/>
      </rPr>
      <t xml:space="preserve"> I sent requests earlier</t>
    </r>
  </si>
  <si>
    <t>1. We noted that the deposits dated 12/13/2025 from ROM Technologies in the amount of $11,854.50 and 12/22/2025 from Checkpoint Surgical in the amount of $25,095.00 were not reflected in the bank feed at the time we were processing the Movement Medical deposits.
As the bank statement was not available at that time, the deposits were accepted through the bank feed and the revenue was updated accordingly in the revenue-by-state report. However, during the bank reconciliation process, we identified that these deposits were missing from the bank feed.
Accordingly, the above entries were recorded to properly reflect the deposits and completed the bank reconciliation.
2. The P&amp;L for this month comparatively shows a higher interest amount, as the year-end interest has been fully recorded through a journal entry in December 2025.</t>
  </si>
  <si>
    <t xml:space="preserve">01/31/2026 how would they not pull in from the bank feed? 
02/18/2026 Strange - This still doesn't make sense since I downloaded all transactions at the end of the month which had all deposits, so even if the bank was disconnected at any moment all of the transactions were in the spreadsheet and would have or should have been entered  </t>
  </si>
  <si>
    <t>01/31/2026 We are not certain how this was missed; it is possible that the bank feed disconnected and reconnected, during which time one or two transactions may not have been captured.
At the time of processing the income reconciliation, we did not have the bank statement available to verify the deposits. The issue was identified during the subsequent reconciliation and review process.
Going forward, we will make it a mandatory step to review the bank statement and match all deposits before proceeding with the income reconciliation to ensure this does not happen again.
02/19/2026 We understand your concern. We will ensure that all deposits are reconciled before preparing the Revenue by State report. This issue will not occur again. Thank you.</t>
  </si>
  <si>
    <t>Assets: Current Assets : Loan to Shareholder - This account shows balance of $61425 since 2022. Please check.</t>
  </si>
  <si>
    <t>02/03/2026  Please review the non-transaction questions from earlier last year, I believe the client explained this.  The previous person working on the account was supposed to make a list of issues that were found when taking this client on that we could give to the CPA.</t>
  </si>
  <si>
    <t xml:space="preserve"> 02/03/2026  Yes, we have reviewed the historic communication. However, the client has mentioned that they do not have any information regarding the Loan to Shareholder account balance.
Could you please review the client’s message and advise whether this account needs to be closed out? If so, kindly let us know which account should be used for closing the balance.
We will also reopen this particular previous communication and tag you there for better understanding.</t>
  </si>
  <si>
    <t>Assets: Current Assets :Other current Assets : WIP- Vashon - All the sub accounts of WIP-Vashon shows balance since 2022. Please check and advise.</t>
  </si>
  <si>
    <t xml:space="preserve">02/03/2026 Please review the non-transaction questions from earlier last year. I believe the client explained this. </t>
  </si>
  <si>
    <t>We noticed that the Tesla transactions were reclassified to the Fuel – Electric account (set up as a credit card account) by client end. 
Would you like us to reclassify these transactions to Car &amp; Truck: Maintenance/Repair to match the previous coding, or should we keep them in the Tesla account ? As a result of the current classification, the Fuel – Electric account shows a negative balance.</t>
  </si>
  <si>
    <t>We noticed that this transaction was added by the client and coded directly to Excise Taxes.
Upon reviewing the Excise Tax return report in Dropbox, we noted that the entire amount does not relate to excise tax. Additionally, in the Washington State Department of Revenue payable account, there is a sales tax liability for August 2025 of $414.
Could you please make the sales tax payment and let us know once it is completed so that we can match it with the cleared transaction?</t>
  </si>
  <si>
    <t>The client has added this transaction to Excise Tax, and we do not have the report to verify it.
Could you please check and confirm whether this classification is correct?</t>
  </si>
  <si>
    <t>I sent her a message</t>
  </si>
  <si>
    <t xml:space="preserve"> 01/31/2026 - The client wouldn't be adding the depreciation. He uploaded his taxes from the previous year, I would look in there for a schedule.
 01/31/2026 - The taxes were uploaded to Double by the client so you should have access to them
02/02/2026 - You can use the 2024 tax return to build the 2025 depreciation schedule, and the CPA can make any adjustments as needed.
02/03/2026 normally most companies expense anything under $2500</t>
  </si>
  <si>
    <t>01/31/2026 -Thanks for the update. Once you receive the schedule, please provide it to us so that we can go ahead and record the depreciation JE.
01/31/2026 - Yes, we can see the 2024 tax return in client uploads. However, we had requested the depreciation schedule to record the 2025 depreciation journal entry.
For now, we will wait and record the journal entry once the 2025 tax return is filed, using the 2025 tax return document.
02/02/2026 - We referred to the 2024 depreciation schedule and noted that depreciation for the 2020 Ford F-150 is calculated using the straight-line method (SLM) as reported in the 2024 tax return. Accordingly, we recorded a journal entry for $6,422.00.
During 2025, new equipment and tools were purchased for $800.00. However, accumulated depreciation has previously been calculated only for the Ford F-150 and not for the equipment and tools; therefore, we did not include this new equipment in depreciation.</t>
  </si>
  <si>
    <t>East West</t>
  </si>
  <si>
    <t>Depreciation JE for the year 2025 is yet to record.</t>
  </si>
  <si>
    <t>Thanks. We have addressed the client regarding the schedule</t>
  </si>
  <si>
    <t xml:space="preserve">We understand that you are in the process of fixing the sales taxes from August 2025. Please let us know if we can assist you in completing this process.
Kindly also inform us once it is complete so that we can proceed with the reconciliation of the operating account and the review process, as we noticed the sales tax entries are currently excluded in QBO and are required to complete the reconciliation. Thankyou.
</t>
  </si>
  <si>
    <t>02/01/2026 if you can help it would be welcomed. All the Torq spreadsheets are saved in DB under taxes
02/12/2026  Yes, this is the same sales tax issue that we noticed when they first started using Torq. It made a big mess. Now that they fixed their reporting I will see if I rerun July - Sept if it will run correctly. In July I believe they were still entering both in Torq and QB, which made a mess as well. 
02/19/2026  All the reports I had saved in the tax rec folder are correct and show sales tax. 
I have a workbook saved to the tax folder with the JE's please take a look and compare Nov to your JE.
https://www.dropbox.com/scl/fi/0wbf3019722n1sn4rtl88/Skyline_Torq_JE_Workbook_Aug-Nov_2025.csv?rlkey=409dexzxzize9mlnijajgy0i0&amp;st=xqwpwe3g&amp;dl=0</t>
  </si>
  <si>
    <t xml:space="preserve">02/02/2026 Sure, we will start working on it and will let you know if we need any clarification.
02/04/2026 After analysing the Torq report invoices and the QBO invoices, we noted the following:
1. In QBO, the total invoice value is reflected in the income account instead of segregating the sales tax separately.
2. However, upon comparing both reports, we noticed that a few invoices are recorded only in the Torq report and are not reflected in QBO. Similarly, a few invoices are recorded in QBO but are not reflected in the Torq report. Please advise on these differences.
We have attached the Excel working in dropbox for your reference, where the missing invoices are highlighted in yellow. If an invoice is highlighted in yellow in the Torq report, it indicates that it is missing in QBO, and vice versa.
3. We also observed that the sales tax as per Torq for July is $2,635.01, whereas a payment of $3,321.07 has been made. Please let us know if the sales tax should be reported as per the Torq report and, if so, whether the difference will be adjusted against an upcoming tax payment or refunded.
Please advise on the above points so that we can proceed further.
Once you advise on the point mentioned above, we are planning to correct the July sales tax payment first as per the Torq report and will inform you accordingly. Once this adjustment is confirmed, we will proceed with the remaining months.
02/13/2026  Thank you for letting us know.
Kindly inform us once you have reviewed the above points and advise on how to proceed with correcting the sales tax for the period of July to December.
02/19/2026 Thanks for sharing. We will refer and let you know for any clarifications. </t>
  </si>
  <si>
    <t>We checked the January Operating Account statement in Double, Dropbox, and QBO; however, it is not available on any of these platforms at this time.
We understand that the bank statement may not yet be available since it is still the first week of the month. In the meantime, we have accepted the January deposit transactions and posted a few questions regarding the commission statement. However, we have not yet prepared the revenue-by-state report.
Once the January bank statement is available, we will double-check the deposit transactions, prepare the report, and save it to Dropbox.</t>
  </si>
  <si>
    <t xml:space="preserve">02/03/2026 Hi yes, this bank is very slow to get the stmts out. I just uploaded the transactions in the 2025 folder so you be able to do the income by state. </t>
  </si>
  <si>
    <t>02/04/2026 Thank you for providing the Operating Account report. We have completed the revenue-by-state report and saved it in Dropbox.</t>
  </si>
  <si>
    <t>Close</t>
  </si>
  <si>
    <t>WF savings #0756 - It looks like this one hasn't been reconciled or it could be a QB update issue. The savings stmt is on the checking stmt.</t>
  </si>
  <si>
    <t>We have reconciled the WF savings account through 01/31/2026 per the bank statement. However, we noticed an unclear transaction related to a manual transfer. We expect this unclear transaction to be reflected and clarified in the following month’s statement. 
Snapshot attached for your reference.</t>
  </si>
  <si>
    <t>Here is the previous communication related to the "Loan to Shareholder" account. Please review the communication and advise which account should be used to close this balance.</t>
  </si>
  <si>
    <t>I think there is some other communication. Let me see if I can find more info.</t>
  </si>
  <si>
    <t>sales tax</t>
  </si>
  <si>
    <t xml:space="preserve">We noticed a sales tax payment of $9,967.19 dated 01/29/2026 that has cleared in the Checking account, with the memo “WA Dept Revenue tax payment.”
Upon review, we observed that the total tax due for December 2025 is $10,725.42, which includes B&amp;O Tax of $438.94. However, the tax payment recorded on 01/26/2026 is for $9,967.19, consisting of two amounts: $9,881.51 and $85.68 (Sales tax payment of "City of Bellevue").
At this time, the $85.68 portion has not yet cleared in the Checking account, and we are unsure why this amount was included as part of the payment.
Please let us know what the $85.68 represents and why it was included. Additionally, please advise.
For your reference, after reflecting only the $9,881.51 payment, an outstanding balance of $843.91 would remain overdue ($10,725.42 total due for December 2025 less $9,881.51 paid).
Please find this Snapshot for your reference.
</t>
  </si>
  <si>
    <t xml:space="preserve"> This was the amount that was in the Sales Tax Liability Report</t>
  </si>
  <si>
    <t>WF credit card #4416 - We have reconciled the account from 01/15/2025 through 07/15/2025. Bank statements for the period from 07/16/2025 to 12/14/2025 were not available, which prevented us from completing the reconciliation.
Kindly provide the required statements so we can proceed with the reconciliation.</t>
  </si>
  <si>
    <t xml:space="preserve">I apologize, I thought they came through in QBO like the checking stmt does. I will get those today.
I completed the reconciliations for the rest of 2025 and Jan of 2026. I also added the CC to QBO so the stmt should automatically pull in. </t>
  </si>
  <si>
    <t>02/04/2026 Thank you for letting us know. We noticed that the CC#4416 account is connected to the QBO bank feed. Going forward, we will handle the allocation and reconciliation on a regular basis. We will reach out if any queries arise in the future.</t>
  </si>
  <si>
    <t>loan</t>
  </si>
  <si>
    <t>We noticed a difference in the United Wholesale Mortgage loan balance between QuickBooks Online (QBO) and the loan statement provided.
The closing balance reflected in QBO is $452,710.24, whereas the balance shown on the client-provided loan statement is $607,683.13. Based on this difference, we infer that an additional loan amount may have been added but not recorded in QBO. So kindly advise whether we can request client for any additional loan details or any supporting documentation so we can update the records accordingly and ensure both balances match.
Please advise on how you would like us to proceed. 
Please find this Snapshot for your reference.</t>
  </si>
  <si>
    <t>02/12/2026 I will send my conversation with the owner tomorrow.
02/26/2026 The Plaud recording didn't come out clearly. 😦 I do know it was a loan that he used for both personal (80%) and business (20%) with a 4% interest rate. His previous Bookkeeping/Tax firm told him it was ok to do.
03/02/2026 Let's go with option 2. just make sure to make detailed notes so the CPA knows what transpired. thanks</t>
  </si>
  <si>
    <t>02/13/2026 Thank you for letting us know.
We will wait for any further response and proceed accordingly.
Please keep us posted if there are any updates.
02/28/2026 If that is the case, we would like to suggest the following two options. Please confirm which option you are comfortable proceeding with:
Option 1:
The closing balance reflected in QBO is $452,710.24, whereas the balance shown on the client-provided loan statement is $607,683.13, resulting in a difference of $154,972.89.
We can record a journal entry for $154,972.89 from Shareholder Distribution to the United Loan Mortgage account to adjust the balance so it matches the loan statement and reflects the correct outstanding balance.
Option 2:
Alternatively, we can treat $607,683.13 as the total loan balance, including 80% personal use and 20% business use. Under this approach, we would:
Record only 20% of the outstanding loan balance in QBO (business portion).
Allocate the interest expense based on the same 80/20 split.
Exclude the personal portion from the company’s books by recording JE and code it to shareholder distribution account.
Please let us know which option you prefer so we can proceed accordingly.
03/05/2026  Thanks. We have recorded the JE and matched the outstanding balance.</t>
  </si>
  <si>
    <t>The client has responded to the questions you posted regarding the W-9. Please review and let us know whether it is complete so that we can resolve it.</t>
  </si>
  <si>
    <t>02/12/2026 This should be marked complete if it hasn't already. There is one that is still open as he did not receive a w-9 (the floor company)</t>
  </si>
  <si>
    <t>Inglewood</t>
  </si>
  <si>
    <t xml:space="preserve">Please provide us the checking statement for Jan 2026 to match the qbo deposits with the statement. </t>
  </si>
  <si>
    <t xml:space="preserve">02/12/2026 That was already saved to dropbox, I went in and double checked again today and it is there </t>
  </si>
  <si>
    <t>02/12/2026 I will get this one tomorrow as I am having issues with the bank</t>
  </si>
  <si>
    <t>Please provide us the checking statement for Jan 2026 to match the qbo deposits with the statement.  - W9 for Trent Kosters</t>
  </si>
  <si>
    <t>Please advise on this, as the client has indicated that they do not have any information regarding it.
Date           July 8, 2025
Vendor         Anthony Pellegrini 
Description  
Type            Payment (1085)
 Account     BB Operating 3161
Split           Accounts Receivable
Amount       $847.07
02/23/2026 Please advise on the above.</t>
  </si>
  <si>
    <t>Please let you know that you have checked the comments. So that we can resolve this.</t>
  </si>
  <si>
    <t xml:space="preserve"> 02/12/2026 We don't need one from Trent. Please mark No we don't need one and marked closed.</t>
  </si>
  <si>
    <t>We noticed that this payment has been categorized as a "Sales Return" from your end. However, the client has responded that it should be categorized as "Furniture Rental".
We infer that the client may have provided the same response as they did for the earlier Refurnish transactions we inquired about. Kindly confirm whether the current categorization as "Sales Return" is appropriate, or if it should be updated to "Furniture Rental" as per the client’s response.
Please advise on how we should proceed.</t>
  </si>
  <si>
    <t>the payment was returned or did not go through</t>
  </si>
  <si>
    <t>02/14/2026 Thank you for your response. We have left the transaction in the Sales Return.</t>
  </si>
  <si>
    <t>We have raised a query with the client regarding this Intuit expense $1,000 dated 09/25/2025. However, the client has responded that the transaction should be categorized as "Furniture Rental".
We infer that the client may have provided the same response as they did for the earlier Refurnish transactions we inquired about. Kindly confirm whether the transaction should be updated to "Furniture Rental" as per client’s response.</t>
  </si>
  <si>
    <t>02/12/2026  I just sent another message to the client</t>
  </si>
  <si>
    <t>The client has responded to your request for the W-9 and has shared the email address accordingly. Please confirm whether you have addressed the response and advise whether this matter can now be resolved.
02/13/2026 We noticed that the address listed on the provided W-9 does not match the address currently recorded for the vendor in Double and QBO.
Could you please confirm whether we should update the address in both Double and QBO as per the W-9?</t>
  </si>
  <si>
    <t xml:space="preserve">02/18/2026 It isn't unusual to have the company have a different address. </t>
  </si>
  <si>
    <t>02/19/2026 Thank you. We have updated QBO with the W9 address.
We have also noted the address which is previously recorded in the QBO (not an W9 address) in the notes section for future reference.</t>
  </si>
  <si>
    <t xml:space="preserve"> We have coded this transaction to "Auto Maintenance/repairs". Please confirm as the amount is significant. </t>
  </si>
  <si>
    <t xml:space="preserve"> 02/12/2026 Since it is a large amount, we should ask the client</t>
  </si>
  <si>
    <t>We noticed that the Enovis loan and the bridge loan have been reclassified to the same loan account, and the interest has not been segregated from the amounts cleared.
Could you please confirm whether we may request the client to provide loan statements showing the principal balance and interest separately?
Additionally, the client provided an Excel file with the closing balance of the bridge loan; however, it does not include any details regarding the interest amount.
Please advise on how you would like us to proceed.</t>
  </si>
  <si>
    <t>02/18/2026 do you mean they combined the loans on the commission statement, the year-end doc, or someone made an entry in QBO? Is the interest listed on the original loan documents in DB?  Can you look at the 2024 YE loan doc has interest and principal, that way we can go back to them and show what we are looking for?</t>
  </si>
  <si>
    <t>02/19/2026 We have reviewed Dropbox for any loan statements to reconcile the outstanding balances and have also checked the 2024 year-end loan documentation; however, no loan statements are currently available.
Bridge Loan:
The client provided an Excel file reflecting the closing balance as of 12/31/2025. The file does not include any interest component; therefore, we have assumed the loan is zero-interest.
Enovis Loan:
We require the loan statement showing the closing balance to reconcile the outstanding balance with the QBO records. We have requested the loan statement from the client reflecting the outstanding balance for the Enovis loan to match the 2025 balance.</t>
  </si>
  <si>
    <t xml:space="preserve"> We have coded the transactions for Innomed Inc to this account as per the historical coding.
Could you please confirm whether this should remain as the main account, or let us know if we should create a sub-account and reclassify the transactions accordingly?</t>
  </si>
  <si>
    <t xml:space="preserve"> 02/18/2026 I reclassed this to COGS tools</t>
  </si>
  <si>
    <t>Please see client's question and fix and respond. Thanks!</t>
  </si>
  <si>
    <t>FYI, we have reclassified the Harter-Ryan reimbursement of $748 to Taxes &amp; Licenses: Credentials for the vendor Intellicentrcs as per the reimbursement report.
Please let us know if you have any questions or would like us to make any further adjustments.</t>
  </si>
  <si>
    <t>Please see if the client uploaded the missing w-9's. If she uploaded to the portal add them to the Vendor is Double which will upload to QB as well. Also, make sure the data is entred in Double. If only the email address was given enter that into the vendor and send the vendor a w-9 request. Thanks!</t>
  </si>
  <si>
    <t xml:space="preserve">We have checked the W9 responses and posted few queries. Please check and address. </t>
  </si>
  <si>
    <t>We requested the W-9 for Equitable Properties, but the document provided is for Western State Industries LLC.
Could you please confirm whether both entities are the same, or if we should request the correct W-9 for Equitable Properties?</t>
  </si>
  <si>
    <t>02/18/2026 Equitable is part of Western States Industries</t>
  </si>
  <si>
    <t>Can you please take care of this Today?  Thanks!</t>
  </si>
  <si>
    <t>We have included the customer name on the original deposit entry. As a result, the $17,619.14 has been both credited and debited, bringing the net effect to zero. We have also responded to the client’s message accordingly.</t>
  </si>
  <si>
    <t>We noticed that the US bank marked statement for 01/13/2026 has not yet been uploaded to the Dropbox. Could you kindly check on this? Please find the screenshot attached for your reference.</t>
  </si>
  <si>
    <t xml:space="preserve">02/19/2026 DB isn't working for him. Let me reach out to him'
02/25/2026 This was emailed to you the other day. </t>
  </si>
  <si>
    <t>Could you please provide us with the Key Bank Line of Credit statement for January 2026? We have noticed that transactions were incurred during January and February. Once we receive the statement, we will review, accept the transactions, and proceed with the reconciliation.</t>
  </si>
  <si>
    <t>02/19/2026 This is now saved</t>
  </si>
  <si>
    <t xml:space="preserve">We have recorded the journal entry for November 2025. Please review and confirm at your convenience.
For October 2025 deposits, we will correct them by editing the received payments for all invoices and posting them to the Cash Clearing account. We will then code the income received through the bank to the Cash Clearing account and record a journal entry for the remaining balance amount.
We will inform you once the October 2025 adjustments have been recorded. Upon your confirmation of the October 2025 journal entry, we will proceed with the adjustments for the other months. </t>
  </si>
  <si>
    <t>All the reports I had saved in the tax rec folder are correct and show sales tax. I have a workbook saved to the tax folder with the JE's please take a look and compare Nov to your JE.
03/02/2026  It is hard when there are multiple questions in one comment. 1. Thanks; but this normally would be a liability - we should double check these are being paid to the employees 2. Answered in other message. 3.Great! 4. Is the difference B&amp;O by chance? 5. Answered in other message</t>
  </si>
  <si>
    <t xml:space="preserve"> @Rebecca Inman We have updated the October journal entry and corrected the sales tax entry and total income account. We would appreciate your confirmation on the following:
1. We created a separate Tips Income account and segregated the tips amounts for October and November 2025.
2. To reconcile total income per the Torq report, we updated the payment method for each Receive Payment transaction to the Cash/Credit Clearing account (which is previously coded to Undeposited funds account) and recorded the corresponding Torq journal entry to the same account instead of using Undeposited Funds. As a result, the Undeposited Funds account no longer reflects any open amounts for October 2025. This approach allowed us to clear all Receive Payments and Torq journal entries entered by us, rather than leaving them outstanding in Undeposited Funds.
3. The total income per the Torq report is $38,170.91 (including tips), and this matches with QBO.
4. For sales tax, we recorded a manual check and segregated the B&amp;O tax payment and sales tax payment. These were matched with the Revenue tax payments cleared in the bank feed. However, the WA State Payable account is currently showing a negative balance of $243.46 for October 2026. It is because the total sales tax due as per the Torq report is $3,307.62 and we have paid $3,551.08. We can further scrutinize and reconcile this once the period from July to December 2025 has been fully reviewed and corrected.
5. The Cash and Credit Clearing account for October 2025 currently shows a balance of $7,785.12. We will be able to fully identify and reconcile this difference after completing the review and corrections for July through December 2025. Kindly confirm whether we should proceed using the same method applied for October 2025 for the remaining months. 
Please let us know how you would like us to proceed.
Thank you.</t>
  </si>
  <si>
    <t>Can you confirm you updated the Income by state report after you received the Enovis commission stmt? 
Thanks! Since January wasn't marked-off I thought I would double check</t>
  </si>
  <si>
    <t>FYI, the statement named “Enovis Statement January 2026” reflects that the deposit amount $339,485 was cleared in February 2026.
Please note that we have already completed the January Income by State report and saved it in Dropbox for your reference.
For February, the deposit transaction is still appearing in the bank feed. We are yet to allocate the bank feed and proceed with preparing the February Income by State report. We will update you once this has been completed. Thank You.
03/06/2026  Please refer to the communication with client. Based on the information provided, we have currently coded the charge to Consignment Charges.
Could you please confirm if this. Alternatively, we can create a new Chart of Accounts (COA) under COGS titled “Loaner Fees” and code these charges there. Kindly advise your preference</t>
  </si>
  <si>
    <t>This wasn't marked off. The Jan as for Dec income and the Feb is for Jan income. Both of these should have been completed already, can you confirm?</t>
  </si>
  <si>
    <r>
      <rPr>
        <rFont val="Arial"/>
        <color theme="1"/>
      </rPr>
      <t xml:space="preserve">Please make an adjusting entry in Jan 2025 and a detailed note so the CPA can see. As well as attach the spreadsheet.
</t>
    </r>
    <r>
      <rPr>
        <rFont val="Arial"/>
        <b/>
        <color theme="1"/>
      </rPr>
      <t>LIABILITIES AND EQUITY : Liabilities : Current Liabilities : Other Current Liabilities : Enovis Loan</t>
    </r>
  </si>
  <si>
    <t>02/19/2026  Thanks. We have recorded the JE dated 1/1/2025 for $16,251.68 (69,250.08-52,998.40) and added a detailed note and attached the spreadsheet.</t>
  </si>
  <si>
    <t>Balance sheet</t>
  </si>
  <si>
    <r>
      <rPr>
        <rFont val="Arial"/>
        <color theme="1"/>
      </rPr>
      <t xml:space="preserve">This account shows balance of $2729.82 from May 2025 still the payment with the memo "Matrix" is not cleared in bank feed. Please advise.
</t>
    </r>
    <r>
      <rPr>
        <rFont val="Arial"/>
        <b/>
        <color theme="1"/>
      </rPr>
      <t>LIABILITIES AND EQUITY : Liabilities : Current Liabilities : Other Current Liabilities : Retirement Payable</t>
    </r>
  </si>
  <si>
    <t>allocation</t>
  </si>
  <si>
    <t>We have coded this transaction to "Rebate income" Please confirm as the amount is huge.
Date             January 15, 2026
Vendor         Chase
Description   STATEMENT CREDIT
Type             Credit Card Credit
Account        Chase Ink CC
Split             Rebate Income
Amount        $1,091.21</t>
  </si>
  <si>
    <t>02/26/2026  I would double check with the client since it doesn't say what the credit is for. I believe you are correct; but, please double check with him</t>
  </si>
  <si>
    <t>Unclear transactions</t>
  </si>
  <si>
    <t>This transactions is left unclear and it was manually entered on your end. Please advise.
Date  - 01/22/2026
Vendor - Morgan Stanley Wealth Mgt.
Description - BILL PAY:MORGAN STANLEY WEA MICHEL 6BG1EKM9
Type - Expenses 
Account - 10000 Inglewood pt sweep acct
split - 23500 retirement payable 
Amount - $505.43</t>
  </si>
  <si>
    <t>For your reference, the Payroll Clearing account shows a balance of $0.92 for 2025, which is due to the journal entry related to April 2025.
We have updated the Unclear Gusto Transaction Report for 2025 and uploaded it to the following location:
Dropbox &gt; All Files &gt; ABS Team Folder &gt; Inglewood.
Please review the report to see the exact transaction details. Let us know if you need any further clarification.</t>
  </si>
  <si>
    <t>03/10/2026  Ok, thank you</t>
  </si>
  <si>
    <t xml:space="preserve">FYI, This account shows balance of $4,133.34 since 2001. </t>
  </si>
  <si>
    <t xml:space="preserve">This has been brought up multiple times. 😃 Please make a note that it is deposit on rent and the CPA would like it to stay there. </t>
  </si>
  <si>
    <t>Overstuff LLC
The client has posted the W9, and we have updated the W9 details in QBO.
Please review and confirm if everything is in order so that we can proceed to resolve this.</t>
  </si>
  <si>
    <t>Langer Family
The client has posted the W9, and we have updated the W9 details in QBO.
Please review and confirm if everything is in order so that we can proceed to resolve this.</t>
  </si>
  <si>
    <t xml:space="preserve">We have prepared the excel for CPA Questions and saved it in the dropbox All files/ABS Team Folder/New Life Interiors/CPA Ques &amp; City Of Bellevue account 2025. Please check and address. </t>
  </si>
  <si>
    <t>I figured out what happened with the sales tax and city of Bellevue account. They switched from Desktop to online and it was not done properly; so all sales that would normally go to Washington State Dept of Revenue Payable are going to Bellevue account and cannot be changed. The payable account should look better after today.</t>
  </si>
  <si>
    <t>02/28/2026 Thank you for letting us know.
We will monitor the City of Bellevue Tax payable account for any changes and will inform you if the negative balance continues to appear.</t>
  </si>
  <si>
    <t>There are two ways we can handle this going forward:
Option 1 – Preferred (If TORQ Sync with QBO Is Available)
If we have the option to sync TORQ directly with QBO, this would be the best approach. The invoices would then be recorded accurately and cleanly as per the TORQ report, with sales tax properly segregated. This would allow us to verify the sales tax amounts directly against the TORQ report for accuracy.
The next step would be to receive payments in QBO, code them to Undeposited Funds, and match them to the bank feed during allocation.
The only additional requirement would be obtaining deposit slips that clearly show which invoices were paid, so we can properly match deposits and ensure bank feed transactions are recorded correctly.
Under this approach, a clearing account would not be required.
Option 2 – If Sync Is Not Available
If syncing TORQ to QBO is not possible, it would be best to use a clearing account since the invoices are not directly reflected in the books.
In this case:
Snap deposits can be categorized to a Cash Clearing account.
Merchant service deposits can be categorized to a Card Clearing account.
A journal entry would then be recorded to reflect sales, sales tax, and debit the respective clearing account.
With this method, we would not use Undeposited Funds. Instead, we would rely on the Cash/Card Clearing account for tracking and reconciliation.
Additionally, we suggest merging the Cash Clearing and Card Clearing accounts into one single "Cash/Card clearing account". Both merchant service deposits and Snap deposits can be coded to this account, and journal entries can be recorded against the same account. This will make the process clearer and more streamlined.
We have also fixed the October 2025 journal entry. Please review and confirm so we can proceed with the remaining months and work toward closing out 2025.
Thank you.</t>
  </si>
  <si>
    <t xml:space="preserve">03/02/2026 Syncing isn't an option as it was a big mess before when the invoices/payments did not come across correctly. Thanks for the suggestion - I would like to stick with the summary JE + clearing account setup, but let’s keep Cash Clearing and Card Clearing – Torq separate. I don’t want to merge them into one account since it makes reconciliation harder and reduces visibility. 
Since we’re not using QBO invoices/payments for this client, we won’t use Undeposited Funds. Deposits should just be coded directly to the appropriate clearing account, and the monthly JE should hit those same accounts.
Go ahead and fix the remaining months.  Thanks!
03/05/2026  Feb has been uploaded, thanks!  Can you ask the client how he is paying the tips?
</t>
  </si>
  <si>
    <t xml:space="preserve">03/04/2026 We have reconciled the operating account through January 2026 and recorded a journal entry to match the total income paid as per the Torq report, referring to the November 2025 JE recorded by your end.
Additionally, we have prepared an Excel summary showing the total income as per QBO and the total income paid as per the Torq report. The file has been uploaded in dropbox in the Sales tax rec folder "Summary of QBO and Torq income" for your reference to provide an overall picture. Please review the JEs and let us know if any changes are required.
We also analyzed the tips to determine whether they were paid through Gusto; however, we could not find any tip-related transactions in the Gusto login. Could you please confirm how the tips are being paid to employees? Once we receive this information, we will proceed with reclassifying the tips income account to a tips payable liability account and complete the necessary steps accordingly.
Furthermore, please share the February 2026 Torq report so we can record the corresponding JE for income.
Looking forward to your confirmation.
03/05/2026   Thanks, we requested the client regarding the Tips. </t>
  </si>
  <si>
    <t>I believe his wife made a mistake and this was supposed to be reversed. Please delete the payment and reverse the invoice
Date - 07/08/2025
vendor - Anthony pellegrini
type - Payment (1085)
account - BB Operating 3161
split - accounts receivable
amount -$ 847.07</t>
  </si>
  <si>
    <t>03/05/2026  Thanks, we have recorded the credit memo and reversed the entry on 04/30/2025. Please confirm.</t>
  </si>
  <si>
    <t>Feb 2026 Income:
We noticed a deposit of $2,283.14 from Ossio Inc dated February 25, 2026. Could you please provide more details about this transaction?</t>
  </si>
  <si>
    <t xml:space="preserve">All of the sales tax filings should be saved in their DB folder. Please make sure all are entered so account can be reconciled. 
03/04/2026 Great, thank you! I just saved it in DB. </t>
  </si>
  <si>
    <t xml:space="preserve">03/03/2026 We are still working on resolving the sales tax reconciliation and ensuring all related entries are accurate. We will keep you updated on our progress.
03/04/2026 We have matched the check payments with the sales tax payments for all remaining months from July 2025 through January 2026.
The only exception is the November 2025 liability, which was due in December 2025. Please provide us the  sales tax report to proceed. And we are currently working on other liability and clearing account. </t>
  </si>
  <si>
    <t>Can this be closed?
Date - July 29 2026
Vendor -  Breant knott
Type - payment 
account - undeposited funds
split - accounts receivable
Amount - $1.09</t>
  </si>
  <si>
    <t>There isn't a purchase and sale agreement in the transaction, do you remember receiving one?</t>
  </si>
  <si>
    <t>03/05/2026  No, we don’t receive any. We got the response from the client that it is a company car purchase; hence, we have coded it to the Vehicles account.</t>
  </si>
  <si>
    <t xml:space="preserve">The client has provided the purchase document for the Idaho Nissan van. We already have this document and it has been attached in QBO for reference. Please check and confirm so that we can resolve it. </t>
  </si>
  <si>
    <t xml:space="preserve">Yes, if you received everything you need you could have resolved it. </t>
  </si>
  <si>
    <t>East west</t>
  </si>
  <si>
    <t>FYI - client is requesting YE financials by Monday. I realize she has taken a long time to get the stms. and finally uploaded yesterday. Is there anything else for 2025 that you need from her? Thanks!</t>
  </si>
  <si>
    <t>Sure, we will prioritize it and will keep you updated. Also we will check and let you know if anything required.</t>
  </si>
  <si>
    <t>Could you please provide the payroll summary for February 2026? We have the reports for each pay period, and after reviewing them, we’ve noticed a discrepancy. A consolidated summary of the payroll data for February will help us confirm and address any issues.</t>
  </si>
  <si>
    <t>Kindly share the image of check #5751 so we can proceed with the allocation.</t>
  </si>
  <si>
    <t>03/10/2026   This has been taken care of</t>
  </si>
  <si>
    <t xml:space="preserve">Please check the response received from the client and advise. </t>
  </si>
  <si>
    <t xml:space="preserve">03/10/2026  Many CPA's don't give us the depreciation schedule so we will let the CPA complete. </t>
  </si>
  <si>
    <t>I reconciled this today.
10000 Inglewood Pt Sweep Acct</t>
  </si>
  <si>
    <t>I do not see any pending questions. Can I review?
03/11/2026 I meant so I could give her the YE information 😃</t>
  </si>
  <si>
    <t xml:space="preserve">Sure, We had been waiting for the payroll summary, and we noticed that it was uploaded to Dropbox today. We will go ahead and update and finalize the payroll for February.
Other than that, there are no open points, and the books are ready for review.
03/11/2026 Thanks for the report. We have matched the payroll for Feb 2026. 
All points are addressed. The book is ready for your review. Thankyou. </t>
  </si>
  <si>
    <t>Please email me a list of anything from 2025 the client still has not provided to you that the CPA needs to know about.</t>
  </si>
  <si>
    <t xml:space="preserve">Sure, we will work on it and let you know. </t>
  </si>
  <si>
    <t>Did you see these?
About - June 24, 2025
 Q: Van Loan - Loan statement for December 2024 so I can record the interest.</t>
  </si>
  <si>
    <t xml:space="preserve">Thanks. We will work on it. </t>
  </si>
  <si>
    <t>The 2025 loan stmt shouldn't have been asked on the 2024 question. If you have not received it please make a separate question.
About   Jan 25, 2025
Q: 2024 YE - Can you please upload the LightStream Loan(s) Stmt reflecting the balance as of December 31, 2024
Q: Lightstream Loan -  Loan statement for December 31, 2024 and 2025?  I need to record the interest.</t>
  </si>
  <si>
    <t>consignment fee is fine.
About  Feb 10, 2026
Q: Income: Enovis Commission Statement - (coded to Consignment Charges confirmation)</t>
  </si>
  <si>
    <t>Make a note in the transaction and attached the stmt. and close this out.
About Dec 10, 2025
Q: Income: Orthalign Commission Statement</t>
  </si>
  <si>
    <t>New life interiors</t>
  </si>
  <si>
    <t>This is to inform you that we noticed the bank feed has been in error for WF Savings #0756 and WF Checking #4025 since 03/12/2026. Additionally, WF CC #4416 bank account has been disconnected. Kindly check and fix the issue at your earliest convenience.
Please let us know once it has been resolved.</t>
  </si>
  <si>
    <t>Today is the 12th. I will try and fix it but it might require the owner. I disconnected the cc as it was causing issues with the owner.</t>
  </si>
  <si>
    <t>Hi! I need you to delete any entries you entered for the credit card in 2026 ASAP.  The owner doesn't like that I added the credit card to QBO as it is causing issue with their workflow. The ones I added in Nov. or Dec will probably need to be deleted as well; but I need to talk to the owner tomorrow. 
03/25/2026  I will go through these tomorrow</t>
  </si>
  <si>
    <t>Sure, we will delete the transactions for January and February 2026. Once that is done, we will inform you. After receiving your confirmation, we will proceed with deleting the transactions for November or December 2025.
We noticed that a few transactions were deleted on your side, and we have deleted the remaining transactions for January and February 2026.
Please confirm from which month of 2025 the transactions should be deleted so that we can proceed further.
03/25/2026   Thank you. We will wait for your response.</t>
  </si>
  <si>
    <t>We received a response from the client stating that they have a new Chase credit card and have requested us to create a new task for requesting statements.
However, we noticed that the Chase Credit card is not yet connected in QBO. Please coordinate with the client to connect the card in QBO so that we can proceed with requesting the statements. If the statements are not automatically pulled after the connection, we will request them manually.
Please find the attached screenshot for your reference.</t>
  </si>
  <si>
    <t xml:space="preserve"> Yes, I set a request up last week. I will ask her to connect it.
03/20/2026   She added it today</t>
  </si>
  <si>
    <t>03/16/2026  We will wait until the Chase credit card is connected to QBO. If it is not connected, we will remind you again. Thank You.
03/20/2026  Thank you. We noticed that transactions from January 2025 are connected. Accordingly, we have started categorizing these transactions and have also requested the client to provide statements for the period from January 2025 to February 2026.</t>
  </si>
  <si>
    <t>ASSETS : Current Assets : Other Current Assets : Loan to Shareholder
The Loan to Shareholder account still shows an open balance of $61,425.46. However, based on our review of the previous communications, the client mentioned that "they do not have any information regarding the Loan to Shareholder account balance".
Could you please review the client’s message and advise whether this account should be closed out? If so, kindly confirm whether we can record a JE and move the balance to “Distribution Shareholder.”</t>
  </si>
  <si>
    <t>03/20/2026  Please make detailed notes on the CPA list so he has any information we have.
03/25/2026  Great, thank you!</t>
  </si>
  <si>
    <t>03/21/2026  We have updated the CPA questions in Dropbox under “ABS Team Folder: New Life Interiors: CPA Questions.”
In our upcoming review, we will not raise these questions again and will instead wait for any updates from you. Kindly let us know if you receive any response from CPA.
If the matter remains unresolved, we will follow up and remind you after our Mar 2026 review.</t>
  </si>
  <si>
    <t>ASSETS : Current Assets : Other Current Assets : WIP-Vashon
This is a reminder that this sub-account still shows a balance. We understand that it may be intended to remain untouched; however, please confirm if this is correct.
If not, kindly let us know how you would like us to proceed with this balance.
Thank you.</t>
  </si>
  <si>
    <t>03/20/2026  Please leave it untouched until I talk to the CPA. This should be on the list to the CPA. Please make detailed notes on the CPA list so he has any information we have.</t>
  </si>
  <si>
    <t>03/26/2026   Sure, we have prepared detailed notes and updated them in the CPA list, which is available in Dropbox under the following path: ABS Team Folder &gt; New Life Interiors &gt; CPA Ques &amp; City of Bellevue Account 2025.</t>
  </si>
  <si>
    <t>We are currently reviewing the books for February 2026 and are awaiting clarification and supporting documentation related to the 2025 transactions outlined below:
Uncategorized Income
A deposit from Adyen Inc. dated 11/04/2025 for $1,696 has been temporarily coded to Uncategorized Income, as we have not yet received clarification on its nature. Please advise on the appropriate classification.
Uncategorized Expenses
A miscellaneous transaction of $736.61 dated 04/22/2025 (per the Enovis spreadsheet) does not have any supporting documentation in the "Misc Adj" tab and has been recorded as Uncategorized Expense. Please advise on the correct classification.
A transaction of $982.90 dated 09/19/2025 with memo "Requested info from client - DESC NO-1700 BEAVERTON OR XXXX3021" has also been recorded under Uncategorized Expense pending further details. Please provide guidance on this item.
Loan and Liability Documentation Requests
To ensure accurate reconciliation and proper accounting treatment, we request the following:
Enovis (Arvis Loan): Loan statement reflecting the outstanding balance for payments of $9,416.70 and $6,833.30 to reconcile with QBO records.
Lightstream Loan: 2025 loan statement for payments of $710.46 to properly allocate interest and principal.
Nissan Car Loan (Idaho Central): Loan statement for payments of $329.73 to verify interest and outstanding balance.
Rivian Loan: Purchase/replacement documentation related to the BMW to determine and validate the asset value.
Van Loan: Outstanding loan balance statement for 2025 for payments of $420.68 to correctly segregate principal and interest.
Nissan Lease Liability: Lease statement for payments of $493.80 to reconcile the outstanding lease balance.
Please let us know if you need any additional information from our end.</t>
  </si>
  <si>
    <t>We noticed a discrepancy in the operating account related to the deposit dated 04/22/25. It appears that the amount was updated from a negative value to a positive value on your end, and we are unsure of the reason for this change.
To address the issue, we have adjusted the entry by recording the expense as a negative value instead of a positive value within the deposit. This correction has resolved the discrepancy.
Please let us know if any further clarification is needed</t>
  </si>
  <si>
    <t xml:space="preserve">03/20/2026 how is this just getting noticed and wouldn't the bank rec be off?
I realize it says my name there, but I don't remember doing this. It is so strange. </t>
  </si>
  <si>
    <t xml:space="preserve">03/20/2026  We reconciled the operating account for February 2026 on March 6, 2026. However, we later identified that changes had been made on March 13, 2026. During our review on March 19, 2026, we noticed this discrepancy, corrected it, and have now notified you. PFA snap for your reference. </t>
  </si>
  <si>
    <t>This is to inform you that we noticed the US Bank Visa marked statement for the period 02/11/2026 through 03/11/2026 has not yet been uploaded to Dropbox. We understand, as of today it has been 9 days since 03/11/2026. We kindly request you to please share the marked statement at your earliest convenience</t>
  </si>
  <si>
    <t xml:space="preserve"> 03/25/2026  The owner has been emailing them and then I forward to you. I will check my email again.
I just asked him to send.</t>
  </si>
  <si>
    <t>As you know, the Chase credit card account is connected to the QBO bank feed for the period January 2025 through February 2026.
The client has only provided the February 2026 and March 2026 statements. We attempted to proceed with the reconciliation; however, we noticed that the transactions in the QBO bank feed do not match the statements shared (Chase CC #2023).
Could you please review this and confirm whether the correct credit card account (Chase CC #2023) is linked to the QBO bank feed?
Please advise on how you would like us to proceed. Please find the QBO snapshot for your reference.
Also, please find the statement snapshot for your reference.</t>
  </si>
  <si>
    <t>03/25/2026  Please check now, she said she fixed it.
Yes, delete anything that was entered for the incorrect CC
03/31/2026   are you still seeing the wrong account?</t>
  </si>
  <si>
    <t xml:space="preserve"> 03/25/2026   Yes, we have noted this and checked; however, we are still seeing that the Chase credit card bank feed connected to QBO remains unchanged from the previous setup.
We would also like to inform you that we had already accepted a few transactions earlier while reviewing the feed.
Could you please advise whether we should delete the transactions that were already added, since the bank account currently connected in QBO appears to be incorrect? We want to ensure there is no confusion when adding transactions from the correct account.
Please advise on how we should proceed.
03/26/2026  As mentioned, we have deleted all transactions from the Chase CC account since it was an incorrect account connected to QBO. There are currently no transactions remaining in QBO.
We are awaiting the client’s action to reconnect the correct credit card account. Please confirm if we should proceed with contacting the client to have the correct account reconnected so we can move forward.
03/30/2026   Yes, we are still seeing that the Chase CC bank feed connected to QBO remains unchanged. Please find the attached snapshot for your reference.</t>
  </si>
  <si>
    <t>Unclear transaction</t>
  </si>
  <si>
    <t>We noticed an unclear transaction of $936.11 dated 01/31/2026. While reviewing it, we found that it appears to be a manually recorded expense created on your end. We infer it will clear in an upcoming month.
Thank you.</t>
  </si>
  <si>
    <t xml:space="preserve">03/25/2026  Correct, he was having some cash flow issues, so I waited to receive payment. </t>
  </si>
  <si>
    <t>We have identified a few invoices from 2021–2024 that remain open, along with certain customer payments that are currently unapplied.
We are considering recording journal entries effective 01/01/2025 to clear these balances. Our proposed approach is as follows:
Apply the unapplied payments to the relevant open invoices by posting the necessary journal entries, where appropriate
For any remaining outstanding invoices deemed uncollectible, record them as bad debts
Before proceeding, could you please confirm if this treatment is appropriate? Additionally, please advise whether we shall reach out to the client to confirm the status of these invoices and payments prior to making any adjustments.</t>
  </si>
  <si>
    <t>03/25/2026   See answer in prior question</t>
  </si>
  <si>
    <t xml:space="preserve"> 03/26/2026  Thank you. We have closed the historical balance of Bill.com and Accounts Receivable by recording a journal entry dated 1/1/2026, as per your instructions.</t>
  </si>
  <si>
    <t>While reviewing the entries, we noticed that the rent segregation amount of $4,870.24 dated 02/01/2026 has been split into three parts on your end:
1.65210 Rent &amp; Lease: Rent
2.65220 Rent &amp; Lease: CAM Charges
3.68050 Utilities: Electric/Water/Sewer/Gas
However, the rent segregation is typically divided into four parts:
1.65210 Rent &amp; Lease: Rent
2.65220 Rent &amp; Lease: CAM Charges
3.68050 Utilities: Electric/Water/Sewer/Gas – NUD
4.68050 Utilities: Electric/Water/Sewer/Gas – PSE
Could you please confirm whether the current three-part split is correct and if the allocated amounts are accurate?
Additionally, please note that we had already raised this query via Outlook on 03/09/2026 requesting the rent segregation details.</t>
  </si>
  <si>
    <t xml:space="preserve"> 03/25/2026   It isn't always in four parts it depends when the prop manager gives the documents. I will separate out on Friday.</t>
  </si>
  <si>
    <t>The amount of $382.55 is not reflected in the report you provided from Bill.com. However, it is recorded in QBO, which is why it appears as due and the payment is not cleared in the bank.
Additionally, the amount of $675.47 for “Brian Lewandowski” is available in both Bill.com and QBO. However, the payment for this customer has also not been cleared in the bank.
As a result, both amounts remain outstanding, showing a total balance of $1,058.02.
Could you please advise on how to proceed?</t>
  </si>
  <si>
    <t>03/25/2026 Do not reach out to him, he had already stated he didn't know. Yes, please apply any unapplied payments and write the historical amounts off to bad debt I would do it as of 1/1/26 since he may have already done his taxes</t>
  </si>
  <si>
    <t>FYI, we have recorded "incremental commissions" of $1,661 from the Enovis statement dated 03/16/2026 under "Sales: Commission Income: Bonus" in QBO, as this represents additional commission earned. Please confirm if this is correct.</t>
  </si>
  <si>
    <t>I would create an account Commission – Incremental</t>
  </si>
  <si>
    <t xml:space="preserve"> Thank you for the update. We have created the Chart of Accounts (COA) for "Incremental Commission" and reclassified it as per your instructions</t>
  </si>
  <si>
    <t>Complete Accupuncture</t>
  </si>
  <si>
    <t>We noticed a deposit in the amount of $365 dated March 23, 2026. The associated deposit slip references the name “Andrea C. Sledge, 900 University Way.”
Typically, deposits are classified under insurance revenue when the customer is an insurance company. However, this customer does not appear to be related to insurance. At present, the amount has been temporarily coded to “Uncategorized Income.”
Could you please advise on the appropriate account coding for this deposit? PFA snap for your reference.</t>
  </si>
  <si>
    <t>This is the same answer as the last question.</t>
  </si>
  <si>
    <t xml:space="preserve"> We noticed a deposit in the amount of $110 dated March 23, 2026. The associated deposit slip references the name “Andrea C. Sledge, 900 University Way.”
Typically, deposits are classified under insurance revenue when the customer is an insurance company. However, this customer does not appear to be related to insurance. At present, the amount has been temporarily coded to “Uncategorized Income.”
Could you please advise on the appropriate account coding for this deposit? PFA snap for your reference</t>
  </si>
  <si>
    <t>04/04/2026   There should be a patient revenue or something like that in the account.
04/08/2026  Sorry, patient revenue is in IPT. Either way this is not insurance revenue (there isn't an insurance company listed, that is patient's name. It should go to the account all other revenue is going for consultation fees, please reclass.</t>
  </si>
  <si>
    <t xml:space="preserve"> 04/06/2026   We inferred that the deposit should be classified under the "Insurance Revenue" COA. As mentioned, we reviewed the Patient Revenue accounts but did not find a corresponding COA, so we proceeded with recording the deposit under "Insurance Revenue" and added the customer name as "Andrea C Sledge." Could you please confirm whether this classification is appropriate.
04/08/2026   Thank you for the update. As per your instruction, we have reclassified the accounts to “Consultation Fees” for both the deposits of $110 and $365.</t>
  </si>
  <si>
    <t xml:space="preserve"> We checked the March Operating Account statement in Double, Dropbox, and QBO; however, it is not available on any of these platforms at this time.
We understand that the bank statement may not yet be available since it is still the first week of the month. In the meantime, we have accepted the March deposit transactions. However, we have not yet prepared the revenue-by-state report.
Once the March bank statement is available, we will double-check the deposit transactions, prepare the report, and save it to Dropbox</t>
  </si>
  <si>
    <t>We noticed that the expense of $182.17 dated 03/23/2026, with the memo "BILL PAY: SUMMIT TECH SOLUTI N/A MBY1EL3F," does not have a corresponding bill to match.
Accordingly, we have categorized this expense under "62210 – Office Expenses: Software/Computer Subscriptions." Please advise if this classification is appropriate.</t>
  </si>
  <si>
    <t>Sorry about that this is his new tech support company. Just forwarded the emails</t>
  </si>
  <si>
    <t>Thank you for the update. We have created the bill and matched the payment accordingly.</t>
  </si>
  <si>
    <t>We noticed that the "Key Bank LOC" statement saved in Dropbox under the document name "2026-03 - IPT-LOC Bank Stmt" appears to be February’s statement rather than March’s.
Could you please review and provide the March statement so we can complete the reconciliation?</t>
  </si>
  <si>
    <t>Sorry about that I grabbed the most recent one on the website. It looks like March is not out yet.</t>
  </si>
  <si>
    <t xml:space="preserve"> Thank you. We will wait for the Mar 2026 Key Bank LOC statement. Please let us know once the statement has been uploaded to Dropbox so we can proceed with completing the reconciliation.</t>
  </si>
  <si>
    <t>Kindly share the image of check #5755 for our reference so we can allocate the transactions accurately. Also, we have currently coded this expense under "79999 – Ask My Client."</t>
  </si>
  <si>
    <t xml:space="preserve"> This is patient reimbursement</t>
  </si>
  <si>
    <t>Thank you for the update.
We have recorded the amount under the vendor “Patient Refund” and coded it to the COA “49000 Sales: Less Discounts/Refunds.”</t>
  </si>
  <si>
    <t>Make a footnote in the financials
Van Loan</t>
  </si>
  <si>
    <t>04/06/2026 Following our continuous requests, the client has shared the loan agreement. However, it does not include details of the interest component required for our verification.
Therefore, we have raised a follow-up query with the client requesting the  van loan statement to proceed further.
We will keep you updated once we receive the required information.</t>
  </si>
  <si>
    <t>Ugh! I sent her another message
There aren't that many transactions I would enter them by hand.
(Chase CC account new)
04/07/2026  the wrong account should be disconnected removed
04/08/2026  since we stopped breaking out travel expenses a while ago you can just put in travel</t>
  </si>
  <si>
    <t>We infer that the new Chase CC #2023 account was started in February 2026, as the previous balance for February 2026 is $0. Since we have the February and March 2026 statements available, we will create a new COA in the books and proceed with entering the transactions manually for both months, followed by completing the reconciliation. We will keep you updated once this process is completed.
Additionally, we noticed that transactions from an incorrect Chase credit card account are still being synced to QBO and are currently appearing in the bank feed. Please let us know if we should proceed with disconnecting this account, or advise how you would like us to handle this.
04/07/2026   We noticed a credit transaction dated 02/11/2026 for $300 with the memo “TRAVEL CREDIT $300/YEAR.” Based on the memo, it appears this credit relates to transactions coded under the Travel account and its sub-accounts. We understand that it may be appropriate to allocate this credit across the relevant sub-accounts.
Could you please advise on the correct approach to coding this transaction? For now, we have temporarily recorded it under a refund account.
04/08/2026   Thank you for the update. As per your instruction, we have coded this transaction to the “Travel” account.</t>
  </si>
  <si>
    <t>We noticed that Check #188 issued to Isaiah Perez, dated 03/09/2026 for $1,050, has cleared in the operating account. However, the memo on the check image is unclear, and there have been no previous transactions recorded under this vendor name. We’ve temporarily coded this transaction  to “Ask My Client”. Could you please advise on how this expense should be coded? 
Please find attached the snapshot of Check #188 for your reference.</t>
  </si>
  <si>
    <t>04/08/2026   Isaiah is an employee but also invested in the company and the memo says profit sharing 2025
04/09/2026  It needs to be separate, so his CPA knows it isn't for Brendan</t>
  </si>
  <si>
    <t>04/08/2026  Thank you for the update. We have currently coded this transaction to the “Member’s Draw” account. Alternatively, please let us know if you would prefer us to create a separate “Profit Sharing” account under equity and code it there.
04/09/2026  Thank you for the update. We have created a separate “Profit Sharing” account as a sub-account of Members Draw under equity and have coded the transaction accordingly.</t>
  </si>
  <si>
    <t>Could you please share the March 2026 Torq report so we can record the corresponding JE for income.</t>
  </si>
  <si>
    <t xml:space="preserve">04/10/2026  This was saved the other day. I saved two different reports. I am concerned the wrong report is being used or something as there shouldn't be a discrepancy </t>
  </si>
  <si>
    <t>04/10/2026  Thanks for keeping us updated. The income journal entry has been recorded in accordance with the March 2026 report.</t>
  </si>
  <si>
    <t>movement medical</t>
  </si>
  <si>
    <t xml:space="preserve"> FYI, we noticed that you had requested a W-9 or email address for this transaction. The client has provided the email address, and we have also saved the email address in the “Wallabi” vendor details in QBO.</t>
  </si>
  <si>
    <t xml:space="preserve"> Could you please share image of check 5753 for our reference? This will help us allocate the transactions accurately.
For now, the expense has been coded to 79999 – Ask My Client.</t>
  </si>
  <si>
    <t xml:space="preserve"> Could you please share image of check 5754 for our reference? This will help us allocate the transactions accurately.
For now, the expense has been coded to 79999 – Ask My Client.</t>
  </si>
  <si>
    <t xml:space="preserve"> Could you please share image of check 5757 for our reference? This will help us allocate the transactions accurately.
For now, the expense has been coded to 79999 – Ask My Client.</t>
  </si>
  <si>
    <t>This is to inform you that we have coded the April transactions with the memo “Bill Pay” followed by the respective vendor under Patient Refunds and 49000 Sales: Less Discounts/Refunds accounts.
Please review and confirm if this is appropriate or let us know if you would prefer each transaction to be tagged individually in double for easier verification.</t>
  </si>
  <si>
    <t>We noticed that the bank feeds for Amex CC #1008 and #1009 are showing an error. Could you please look into this and resolve it so we can proceed with categorizing the transactions?
Please find the attached screenshot for your reference.</t>
  </si>
  <si>
    <t>complete Accup</t>
  </si>
  <si>
    <t xml:space="preserve"> We noticed a deposit of $713.87 dated April 13, 2026, with the deposit slip referencing “Alicia Kikuchi Law Firm, PLLC.”
Typically, we classify deposits under insurance revenue when the customer is an insurance company. Since this customer is not an insurance company, we have temporarily recorded the deposit as “Consultation Fees” and assigned the customer name as “Alicia Kikuchi Law Firm.”
Could you please confirm if this classification is appropriate?
Please find the attached screenshot for your reference.</t>
  </si>
  <si>
    <t>The employee loan account balance, which reflects an outstanding amount of $9,500 since July 2025. Please note that there have been no transactions recorded in this account since that time.
Kindly review and confirm the balance or advise if any adjustments are required.</t>
  </si>
  <si>
    <t xml:space="preserve"> We noticed that the Gusto journal entry dated February 18, 2026, for $2,500 has been coded to the Payroll Advance account. Upon review, it appears to relate to a reimbursement for Kyle Johnston.
However, the corresponding reimbursement support file is not available in Dropbox. Could you please check and share the relevant documentation or advise accordingly?
Please find the snapshot attached for your reference.</t>
  </si>
  <si>
    <t>We would like to bring to your attention that this account has shown a negative balance since October 2025.
Kindly review and confirm if this is correct or advise if any adjustments are required.</t>
  </si>
  <si>
    <t>Client reply date</t>
  </si>
  <si>
    <t>Response / Action</t>
  </si>
  <si>
    <t>All Pest</t>
  </si>
  <si>
    <t>Bookeeping</t>
  </si>
  <si>
    <t xml:space="preserve">I called Intuit about the payroll transactions not matching in the bank feed &amp; found that QBO had created a new bank account called "Business Checking" and posted all the payroll transactions to that account. Because they are Payroll, we can't move them to the correct 9547 account. 
Please enter journal entries to debit "Business Checking" and credit "103 ANBTX- APS Main 9547" on the given dates of each transaction. Then, you should be able to match the transactions in the bank feed to these JEs. </t>
  </si>
  <si>
    <t>We have matched the payroll transactions by recording JE also the balance of $100.04 in the Business checking account is the payroll check 7/3/2025 of "Salvador Santana". We will record a JE after receiving the transaction in the bank feed and match with it.</t>
  </si>
  <si>
    <t xml:space="preserve">J and F </t>
  </si>
  <si>
    <t>Questions to GRA</t>
  </si>
  <si>
    <t>Please fix the bank feed error of Savings #5773. Which is last updated on 6/3/2025.
Need check image for WF Checking #3366 from Apr 21 2025.</t>
  </si>
  <si>
    <t>A kind reminder, please check the below points and address, to proceed with the monthly bookkeeping.</t>
  </si>
  <si>
    <t>Alliance</t>
  </si>
  <si>
    <t>We noticed the invoice 7751 is updated with the additional the janitorial service payment for $161.60. However, only $2,475.20 is paid with the below remittance. Hence, we partially paid it in QBO and updated the spreadsheet as "$2475.20-7/7/2025" on the date paid column to avoid confusion when the remaining balance $161.60 is paid.</t>
  </si>
  <si>
    <t>Thanks - I've updated the invoice to the original amt and sent a separate invoice #7777 for the $161.60 balance. No need to add another line; I just added the invoice number to the existing line. </t>
  </si>
  <si>
    <t>We have already created bills in QBO for the following invoices:
Invoice #18747480
Invoice #19129947
However, when attempting to create a new invoice (#19171723) for $8.33 in QBO, we referenced the corresponding BWI order to create a bill and to match it with the payment, but we are unable to locate this order in the BWI login.
Could you please review and confirm whether this order exists in BWI or provide further guidance on how to proceed?</t>
  </si>
  <si>
    <t>I'm getting an error message when I log in. As it's only $8.33, it's not material so you can just add an invoice for that amount without the BWI invoice from their website.</t>
  </si>
  <si>
    <t>Thanks. We have created a bill and made a payment for $8.33.</t>
  </si>
  <si>
    <t>We noticed the invoice #7771 is paid with $1,282.40. However, invoice is recorded in QBO for $1,271.84. The difference is $10.56. Please check and advise.  Also, we infer the following invoices #7778, #7779, #7780 are one time invoices and it is not entered in the alliance billing spreadsheet. Please confirm. </t>
  </si>
  <si>
    <t>Yes - I have updated the invoice, received the payment &amp; recorded the deposit. </t>
  </si>
  <si>
    <t>VCH</t>
  </si>
  <si>
    <t>We noticed the below prompt (refer the attachment) while trying to download mortgage statement from the Lakeview login. Please check and update the details and let us know to download statements to match the balance. </t>
  </si>
  <si>
    <t>That’s fine </t>
  </si>
  <si>
    <t xml:space="preserve">Payroll - 2Q:
We have identified a mapping issue involving tax payments that were posted to the general Payroll Liabilities account instead of the appropriate sub-accounts.
Specifically, the tax payment dated 01/24/2025 for $3.90 appears to be related to Federal Unemployment (Form 940) and should be reclassified accordingly.
Additionally, the Texas Unemployment Tax account continues to reflect a negative balance carried over from 2024. As of June 2025, the balance stands at -$2,750.18. Please check and advise. 
Allocation:
We have identified that July 2025 payroll-related transactions — including Direct Deposit (DD) payroll expenses, payroll checks, and tax payments — have been recorded (mapped) under the Chase account instead of the appropriate Chase Checking account #9670.
However, these transactions are cleared in the Chase Checking account. Please confirm to proceed with reclassifying these transactions from the Chase account to the Chase Checking account to ensure accurate financial reporting and reconciliation.
Reconciliation:
Need code to login chase account to save statements of Checking #9670, Savings #6138. The code sent to #1994. </t>
  </si>
  <si>
    <t>Yes, you can enter a JE for $3.90 to move the FUTA pymt. 
TX Unemployment - they overpaid and we applied for a refund which they are still expecting - It's OK to leave this as a negative balance. 
You are correct - I emailed the client &amp; copied you. This also happened with All Pest so I'm not sure what is up with QBO payroll right now. 
You will need to enter JEs for each transaction to move from Chase to Chase Checking 9670.
When you are in the office next, send me a message to coordinate getting the code. My cell phone is ending in 1994.</t>
  </si>
  <si>
    <t xml:space="preserve">We have recorded JE to move $3.90 to FUTA(940). However, the "General Payroll Liabilities" account still shows the balance of $36.08 as of Jun 2025 (which is the tax payment dated 2/13/2025) and two tax payment dated 7/09/25, 7/11/25 for $0.01 are also coded to this account. Please refer the attachment. We infer the $36.08 is the tax overpayment of "TX Unemployment Tax". Please confirm and let us know to record JE and move the amount from General payroll liabilities to TX Unemployment Tax account.  
Yes - you can JE the 36.08 to TX Unemployment Tax liab acct. You can JE the other $0.01 amts to the same TX unemployment account. 
</t>
  </si>
  <si>
    <t xml:space="preserve">Sirius </t>
  </si>
  <si>
    <t>Please fix the bank feed error of WF CC#6023 (Personal), Wells Business Card #2988. Last update is on 6/11/2025. 
Please check and advise on the below transactions as the credit card payment is not made through the account connected in QBO. Please check and let us know account to be coded. And the lotus auto group sells used cars. Please confirm whether these transactions are to be coded to "Fixed Asset: Vehicles" . We have coded the expense with the memo "Five Star Chevrolet 17" for $5000 dated 6/27/2025 to Repairs&amp;Maintenance. Please confirm as the amount is huge and also the vendor sells used vehicles.
We have coded the expense dated 5/13/2025 $3,859.11 with the memo "DIGITAL STORM GILROY  CA" to the account "Computer expense". Please confirm the account coding as the amount is huge.</t>
  </si>
  <si>
    <t xml:space="preserve">I will need to get with the client to reconnect as it wants to send him a text. 
CC pymts from personal acct - SH Dist
I have emailed the client on these transactions. </t>
  </si>
  <si>
    <t>We noticed a payment of $5,701.33 received on 07/09/2025 referencing invoice #7746 in the remittance, and a second payment of the same amount on 07/15/2025 referencing invoice #77461. However, in QBO, only invoice #77461 is available, and it is matched with the cleared deposit dated 07/09/2025. 
        For your reference, please see the attached document. Kindly note that the spreadsheet only includes invoice #7746.
Review points:
Need SBA loan statement for May and Jun 2025.</t>
  </si>
  <si>
    <t xml:space="preserve">Can you receive the payment to the same customer and leave as a credit on their account? I will need to get with their AP dept to see what happened - probably a double payment. 
I will get with the client tomorrow for the SBA code. </t>
  </si>
  <si>
    <t>I have saved the SBA stmts in Canopy thru August.</t>
  </si>
  <si>
    <t>"I have opened a new Citi CC for VCH and linked it in QBO. It doesn't have any actvitiy yet but I will be moving auto payments to this card.
The log in for the statements is in Canopy - this also has my Personal Citi Gold CC ending 6825 - only 6362 is for VCH. 
Please try logging in and send me a message on Teams if you need the code by text (my cell ending 1994)."</t>
  </si>
  <si>
    <t>Thanks for letting us know. We able to login Citi card.</t>
  </si>
  <si>
    <t xml:space="preserve">All Pest </t>
  </si>
  <si>
    <t>We attempted to download the statement from ANBTX today, but we are still unable to retrieve it. Additionally, when trying to connect Citi Bank to QBO, It prompted code to #5501.</t>
  </si>
  <si>
    <t>I have emailed the client to ask him to reach out to the bank. I saved the Citi statement in Canopy for 8.4.25. Yes, we already noticed that the Citi statement is available in Canopy. What we meant is that we're trying to connect the Citi account in QBO to accept transactions and proceed with reconciliation. However, when we attempt to connect, it prompts for a code sent to the number ending in 5501.</t>
  </si>
  <si>
    <t>We don't need to connect this - it's a personal card that Wendell utilized for a 0% interest deal</t>
  </si>
  <si>
    <t>Please check and advise on the account coding for the below transactions:
Zelle payment to Tony Zelle JPM99bjl3rw4
Zelle payment to Tony Zelle JPM99bjovo25
ORIG CO NAME:WELLS FARGO IFI ORIG ID:INTFITRVOS DESC DATE:081925 CO ENTRY DESCR:DDA TO
DDASEC:WEB TRACE#:XXXXXXXX8702589 EED:250820 IND ID:F20TKXDRD7
IND NAME:R ENATE SCHULMEISTRAT TRN: XXXXXX2589 TC
Zelle payment to Tony Zelle JPM99bk4fa09
2. FYI, we noticed the recurring JE for Insurance account $107.81 is not recorded for Jul 2025. Hence, we recorded the JE#168 by referring the Jul 2025 mortgage statement.
3. Uploaded need receipts report in canopy. Please check.</t>
  </si>
  <si>
    <t xml:space="preserve">Tony Zelle and Juan Zelle are contractors - code to 4222 Kirby. 
$3,500 was a deposit from me - SH Distributions. 
I have changed the bank account for the mortgage for 2200 Ray Hubbard from VCH to my personal account but I still want you to record the mortgage payments as a JE for interest, principal &amp; escrow. You can code to SH Dist instead of the bank account. 
I will be looking at the Need Receipts list before the end of the month. </t>
  </si>
  <si>
    <t>BL Realty</t>
  </si>
  <si>
    <t>We’ve updated the books based on the information provided and please confirm on the following points:
We have coded the expense to "Property Contract Labor" (COGS), as the Contractor COA is not available in the BL Realty file. Please confirm if this is appropriate or if a new COA should be created.
The payment to Ursula Carlisle has been coded under "Commissions or Incentives Paid", as it is a reimbursement related to closing costs. Kindly confirm if this classification is correct.
Bralyn's brokerage login is currently not available in Canopy. Please provide us the login details to proceed.
Only the May statement is available in Canopy; the July statement is missing. Could you please check and upload it?
Looking forward to your confirmation and guidance.
$ 455.20 
3. We noticed the wire deposits are segregated with brokerage commission fees in 2024. Please check and advise on how to segregate the commission fees for 2025.
4. Please let us know to reconcile the "Robinhood Investments - 2635 Personal" account, if so please provide us the statement to proceed.
5. Venmo account requesting code to #7737. Need may, jun, july 2025 statement. Need to fix the bank feed error.
6. Please provide us the "Auto Loan - Mercedes" statement to segregate interest.</t>
  </si>
  <si>
    <t xml:space="preserve">That's fine.
Yes
Sorry not sure why the log in wasn't there. I've saved it in Canopy Notes.
I saved July Venmo statement. 
</t>
  </si>
  <si>
    <t xml:space="preserve">Ac and Heat </t>
  </si>
  <si>
    <t>1. We have coded an expense of $1,487.70 for HydroDrives.com to the "Auto and Truck Expense: Repair &amp; Maintenance" account. Please confirm the account coding as the amount is huge. 
2. Need code to login American bank account to verify the deposit image of July 2025 and need statement for CC#8033, #9130 Visa.
3. Need code to login PayPal Account to download PayPal statement for July 2025.
We will get the login code during our call tomorrow, Thankyou</t>
  </si>
  <si>
    <t>Thank you for providing the pathway to retrieve statements from ANBTX. Using the instructions, we were able to download the necessary statements and successfully reconcile the accounts for August 2025.
However, we still need the codes for the following logins to proceed further:
US Bank Loan
NFCU Loan Account
PayPal
Chase Ink Credit Card
Additionally, we’ve recorded the Sales Tax journal entry for the month, but we’ve encountered a negative difference of $1,176. Could you please review this and let us know if any adjustments are required?Also, we have coded the expense of $45000 dated 8/26/25 with the memo "Jeffords Anthony PLLC" to "687professionl fees". Please confirm the account coding as the amount is huge. </t>
  </si>
  <si>
    <t xml:space="preserve">Per our meeting last week, please ensure that any meals are coded to KJ class (not shared overhead). 
KJ is the owner - we are trying to make it clearer which expenses are attributable to the owner. He plans to sell his company in the next year or two so we need to track any expenses that would not exist for the buyer if he sells. 
Please pull a P&amp;L by class YTD and review the types of expenses that should be coded to KJ rather than Shared Overhead. </t>
  </si>
  <si>
    <t>Thank you for the clarification.
We have updated our process to ensure that meals are coded to the KJ class going forward, rather than to Shared Overhead, in line with your instructions.
To confirm, we will now apply the following approach:
Meals – Code to KJ
General business-related expenses – Code to Shared Overhead
Additionally, we wanted to clarify the treatment of the following:
Fuel/Gas and Tolls: These have been coded to Shared Overhead in 2025 and we will continue to code the same.
JLOD and THR Corporate classes: we continue coding upcoming transactions based on how they were previously categorized.
Please let us know if any adjustments are needed so we can ensure accuracy moving forward.</t>
  </si>
  <si>
    <t xml:space="preserve">Please check and let us know whether the credit is from Personal account.
08/26/2025
Credit Card Credit
Chase
Payment Thank You-Mobile
Ask My Accountant
-3,875.25
</t>
  </si>
  <si>
    <t>GRA Admin</t>
  </si>
  <si>
    <t>Please check and let us know whether this credit is from personal account. 
Ask My Accountant
8/26/2025
Credit Card Credit
Payment Thank You-Mobile
Ask My Accountant
-2,000.00</t>
  </si>
  <si>
    <t>We attempted to split the brokerage commission for the wire deposit of $2,090.39 dated 7/22/2025 by reviewing the HomeSmart login, we noted the following details:
Gross Amount: $7,200
Deduction: $498
Net Deposit: $2,090.39
Please review and advise as the breakdown is not matched.
Additionally, the wire deposit dated 6/16/2025 for $8,724 does not appear in the RealSmart login, so we were unable to retrieve details needed to split the brokerage commission for that deposit.</t>
  </si>
  <si>
    <t>If you look at the breakdown in the blue icon beside the transaction, it shows $4,611.61 was paid back to the seller - you can put that to commissions paid.</t>
  </si>
  <si>
    <t xml:space="preserve">We noticed that invoice #19193464 was paid for $1,375.71, while the total invoice amount is $2,337.63.
Could you please review and confirm whether the balance amount of $961.92 is still open, or if a vendor credit needs to be entered for this invoice.
</t>
  </si>
  <si>
    <t>There are 2 credit memos in BWI that total this amount. Can you please make sure you are entering the credit memos as well as the invoices? When a payment is less than the original invoice amount it is usually due to the credit memos. </t>
  </si>
  <si>
    <t>Sure, we will make sure to enter the vendor credit and we have fixed the below invoice. Thankyou.</t>
  </si>
  <si>
    <t>1. We have coded expense $45000 dated 8/26/25 with the memo "Jeffords Anthony PLLC" to 687professionl fees account. Please confirm as the amount is huge.
2. The following logins are prompting code to #5501
a) US Bank,
b) NFCU,
c) PayPal,</t>
  </si>
  <si>
    <t>1. We noticed that Farmers Insurance expenses are typically coded to "Insurance Expense: Worker's Compensation", but the transaction dated 08/04/2025 for $785.57 was coded to "Automobile Expense: Auto Insurance".
Could you please review and confirm whether the current coding is correct? If so, kindly let us know to update the 2025 transactions accordingly to reflect "Automobile Expense: Auto Insurance", and we will ensure that the same coding is used going forward.
2. Please confirm the following understanding regarding class coding for Amazon transactions:
Amazon subscriptions should be classified under "THR Corporate."
       b) Transactions with the memo "Amazon Marketplace" should be classified under "KJ", unless the amount is greater than $300, if it is $300 or more, they should be classified under "THR Corporate."
Kindly confirm if the above is correct, and we will proceed accordingly.
3. The payment of $5,701.33 dated 7/15/25 for Trimble Jasmin (Texas Health Resources) is still showing as unapplied. We recorded the payment based on the response to the email dated 07/30/2025. Do you get any update from AP team to fix this.
Could you please review and advise.
4. We noticed that the August 2025 transactions for Allianz and American Airlines were coded to "Shareholder Distributions" without a class. We understand that transactions coded to Shareholder Distributions are typically not assigned a class. Please confirm if this is correct.
Additionally, please confirm if the current account coding to "Shareholder Distributions" is appropriate, as these transactions were previously coded to "Travel Expense."
5. We noticed that the Health Care Services expense has been segregated between KJ and Shared Overhead.
Could you please review and let us know the correct method or criteria to use for segregating this expense going forward?</t>
  </si>
  <si>
    <t xml:space="preserve">I am meeting with the client tomorrow so I will ask for confirmation on all insurances. 
Amazon subscription - Shared Overhead class
Yes for Amazon purchases
This probably won't be resolved until December. The customer paid twice and their AP dept is slow to fix. I'm aware of the overpayment &amp; will let you know if there is anything for you to do later on when it's resolved. 
No class for SH Distributions. These were for a personal trip so that's why they were coded there. In future if there are travel expenses, we'll need to ask if they were business or personal. 
 Not sure exactly on breakout of this one but I forwarded you a Healthcare Serv invoice. KJ is for Kenneth Jenkins' coverage. Jennifer's coverage goes to Shared overhead.  
I saved in Canopy for 2 months. Password updated and saved in Canopy. </t>
  </si>
  <si>
    <t xml:space="preserve">1. Any update on the Farmers Insurance expense.
2. We noticed that the 2025 Amazon subscriptions were initially tagged under THR Corporate. As you've confirmed that they should be categorized under Shared Overhead, we have updated the tagging accordingly.
3. We applied a 71% allocation for KJ, and it aligns with all the 2025 insurance splits. Accordingly, we have allocated the August healthcare expense of $4,850.70using the same ratio. That is, 75% of the total insurance cost has been attributed to KJ, and the remaining 25% has been tagged to Shared Overhead (allocated to Jennifer).Please let us know if you have any questions or need further clarification.
</t>
  </si>
  <si>
    <t xml:space="preserve">We are working on Aug bookkeeping, however we need few clarifications on the below points. Please check and advise.
1. We noticed that we received a payment of $9,320 from the customer "Frederick H Vollmuth" in the Bank of America checking account #7742. However, in QBO, the invoice is recorded for $9,274, and the payment was applied to the "Checking 1007 - Owners Draw" account.
We have updated the payment to reflect the correct checking account #7742. Could you please review and let us know if we should update the invoice amount to $9,320, or if we should proceed by resolving the transaction and code the $46 difference to the income account "45100 Job Income"?
2. We noticed that all deposits for July 2025 were incorrectly recorded in the Owners Draw account instead of the Checking account. We have since updated the received payments to reflect the correct Checking account.
Additionally, we observed that invoice #12024 for $548.65 was recorded and it is paid for only $548, leaving a balance of $0.65 still open. Please confirm whether the balance of $0.65 will be paid late. The received payment has been re-coded from Owners Draw to the Checking account accordingly.
</t>
  </si>
  <si>
    <t>We have updated the Alliance Billing spreadsheet for October 2025. While reviewing, we noticed that a few invoices have not yet recurred for the month. Upon checking the recurring transactions, we confirmed that these invoices are scheduled to recur on October 1st, 2025.
We will revisit the spreadsheet after that date and update the remaining cells accordingly for October.</t>
  </si>
  <si>
    <t>DIA</t>
  </si>
  <si>
    <t>1. We noticed that the Junior League of Dallas invoices for August, September, and October 2025 are still open. However, we received a payment on 10/03/2025 in the amount of $3,466.10.
Based on the amount and timing, we infer this payment corresponds to Invoice #7870 dated 10/01/2025. That said, Invoices #7834 (dated 09/01/2025) and #7798 (dated 08/01/2025) remain open.
Could you please confirm whether we should apply the payment to Invoice #7870, or advise if it should be allocated differently? 2. Please provide us the Amex CC statement for Sep 2025.</t>
  </si>
  <si>
    <t xml:space="preserve">Payment deposited on 10/2 was for invoice 7834. I will follow up on the other 2 that are open. 
The log in is in Canopy for AMEX. Can you not get in there? 
I've saved September but please try to log in and let me know what the issue is. </t>
  </si>
  <si>
    <t xml:space="preserve">DIA </t>
  </si>
  <si>
    <t>We have reconciled the savings account and posted questions regarding the checking account transactions. The checklist has also been updated accordingly.</t>
  </si>
  <si>
    <t>Response received in the pointsheet.</t>
  </si>
  <si>
    <t xml:space="preserve">We’ve completed the 3Q payroll and saved the reports in Canopy. The related task has also been marked as completed.
For your reference, as discussed previously, the Texas Unemployment Tax account continues to reflect a negative balance. A refund was requested, but it has not yet been received. Do you have any update on this. </t>
  </si>
  <si>
    <t>Still waiting on the refund.</t>
  </si>
  <si>
    <t>Thanks for the Sep 2025 statement, We tried logging the Amex and it prompts for verification.</t>
  </si>
  <si>
    <t xml:space="preserve"> I wanted to follow up regarding the personal accounts that were marked as closed in 2024. According to our records, a journal entry (JE) was posted to close out these accounts, and the 2024 balance sheet reflects a zero balance.
However, we’ve noticed that transactions are still appearing from these personal accounts in 2025. Additionally, the 2024 close-out JE currently appears unclear in the reconciliation window.
To proceed accurately, we would appreciate your clarification on the following:
Do you intend to continue using personal accounts for business expenses?
OR
Would you prefer to completely stop using personal accounts for business purposes?
If you choose to discontinue using them, we can disconnect the bank feeds and bring any relevant business expenses from personal accounts into the books via specific journal entries, without keeping the accounts connected in QBO.
Please note: As of now, we have proceeded with the reconciliation up to September 2025.
Looking forward to your confirmation so we can move ahead accordingly.
2.  Venmo account requesting code to #7737. Please provide us the statement of Aug and Sep 2025.</t>
  </si>
  <si>
    <t>No, when we enter a JE to zero out personal accounts at the end of the year it's because you can't report the balance of personal bank accounts on the business tax return. 
So we make it zero on 12/31, and that is supposed to get reversed on 1/1 to correct the balance of the account. 
If the personal accounts for BL realty were zeroed out at 12/31/24 the JE needs to be reversed on 1/1/25. This will happen every year the owner of the company continues to use personal accounts for business purposes. TG Response - 1. Thanks for letting us know. We have recorded a journal entry on 1/1 to reverse the balance of the accounts.
2. Venmo account requesting code to #7737. Please provide us the statement of Aug and Sep 2025.
3. We've noticed that Amazon transactions from August 2025 are being coded to "Amazon Purchases" based on an existing rule in quickbooks.
Could you please confirm whether you'd like us to continue following this same coding practice going forward?
4. We've noticed an inconsistency in how LPL expenses ($250) are being coded:
Most transactions: Coded to "Shareholders Equity: Distributions"
Transaction dated 9/16/25: Coded to "Employee Benefits: Employee Retirement Plans"
Could you please advise which account should be used for these LPL expenses going forward? This will help us ensure consistent coding across all transactions.
5. Please check and advise on the transactions coded to Ask My Accountant</t>
  </si>
  <si>
    <t>Thanks for your response. We’ll begin working on BL Realty and will reach out if we need any further clarifications.</t>
  </si>
  <si>
    <t>Thanks for letting us know. We have recorded a journal entry on 1/1 to reverse the balance of the accounts.
2. Venmo account requesting code to #7737. Please provide us the statement of Aug and Sep 2025.
3. We've noticed that Amazon transactions from August 2025 are being coded to "Amazon Purchases" based on an existing rule in quickbooks.
Could you please confirm whether you'd like us to continue following this same coding practice going forward?
4. We've noticed an inconsistency in how LPL expenses ($250) are being coded:
Most transactions: Coded to "Shareholders Equity: Distributions"
Transaction dated 9/16/25: Coded to "Employee Benefits: Employee Retirement Plans"
Could you please advise which account should be used for these LPL expenses going forward? This will help us ensure consistent coding across all transactions.
5. Please check and advise on the transactions coded to Ask My Accountant:</t>
  </si>
  <si>
    <t>3Q payroll</t>
  </si>
  <si>
    <t>We noticed that a TWC tax payment of $90 was made on 8/1/2025, but the total tax due was only $22.50. Based on your 2024 transaction history, we believe the remaining balance ($67.50) should be coded to office expenses.
Could you please confirm this is the correct coding, or let us know if there's a different allocation we should use?</t>
  </si>
  <si>
    <t>Yes - that's fine</t>
  </si>
  <si>
    <t>J and F</t>
  </si>
  <si>
    <t>We noticed that the August 2025 transactions for the following vendors were coded differently from prior periods. Could you please confirm whether we should follow the recent coding (as done by Kathy) or revert to the historical coding?
Additionally, we noticed that Amazon transactions above $200 were coded to “Supplies &amp; Materials – COGS” in 2024. Accordingly, we have updated the 2025 transactions above $200 to follow the same coding.
Please confirm if you’d like us to proceed with the recent coding or revert to the historical classifications.</t>
  </si>
  <si>
    <t>3Q Payroll</t>
  </si>
  <si>
    <t xml:space="preserve">We noticed that the January to June 2025 tax payments were mapped to the “Federal Taxes (941/944)” account. However, the corresponding paychecks were mapped to “Federal Taxes (941/943/944)”.
To correct this, we have recorded a journal entry to move the tax payments from the duplicated account to the appropriate “Federal Taxes (941/943/944)” account.
Additionally, we have completed the 2Q and 3Q payroll tasks. Please review and confirm.
</t>
  </si>
  <si>
    <t>Victory</t>
  </si>
  <si>
    <t>Kindly check and advise on the account coding for the transaction currently coded to AMA.
Transaction date
Transaction type
Name
Memo/Description
Full name
Amount
08/26/2025
Credit Card Credit
Chase
Payment Thank You-Mobile
Ask My Accountant
-3,875.25
We have updated the Need Receipts Excel file in Canopy under TSD &gt; 2025 &gt; GRA Reports. Please review.</t>
  </si>
  <si>
    <t>Outlook forwarded the message:Please review and advise on the points outlined below? Additionally, kindly check the updated AMA transactions.</t>
  </si>
  <si>
    <t xml:space="preserve">If this was not paid from GRA's checking account this would have been a payment from my personal account - code to SH Dist if so. 
You do not need to copy Kathy on questions relating to Victory Custom Homes or Gold Roots Accounting books. </t>
  </si>
  <si>
    <t>Yes, it was not paid from GRA's Checking account. Hence, we have coded it to "Owners Draw".
Going forward we will ensure "Kathy" is not copied on questions related to VCH and GRA Admin books.</t>
  </si>
  <si>
    <t>Please see updates on the books for BL Realty. I have made comments &amp; highlighted in yellow where to code to. Please print this email to Canopy &amp; save in BL Realty TSD. </t>
  </si>
  <si>
    <t>We have printed the email and saved it in TSD. The AMA and Uncategorized Income transactions have been updated.</t>
  </si>
  <si>
    <t>We have saved the remittance in both Canopy and QBO. We also inferred that invoice 7815 is not a recurring one, as it does not appear in the Alliance billing spreadsheet.
Please let us know if we need to work on any A/R or payroll short amount of approximately $40K.</t>
  </si>
  <si>
    <t xml:space="preserve">Right - these are once off tag invoices that don't get put on the billing sheet. 
I am working with the customer on the AR. The November billing should be ready to enter on the billing spreadsheet. 
Thanks, </t>
  </si>
  <si>
    <t xml:space="preserve">We attempted to log into the Chase account, but it is requesting verification via an Apple iPhone. Please let us know your availability to complete the verification, or alternatively, provide us with the statements (Amex CC, Amex LOC, Amex Plat) for September 2025.
 Please check and advise on the below AMA transactions. 
We noticed the vendor "Benjamin Moore &amp; Co" is the Building Materials supplier. Please check and confirm is the expense is related to Victory custom homes. </t>
  </si>
  <si>
    <t>We have updated the Alliance billing spreadsheet. Additionally, we noticed that the recurring invoice for "Family Care" ($1,802.50) has not been created for November 2025. Could you please check.</t>
  </si>
  <si>
    <t xml:space="preserve">We noticed that the DIA payroll filings for Q1 and Q2 have not been updated in the payroll reconciliation sheet, although the tasks for both quarters are marked as completed.
Please confirm whether we should proceed with updating all three quarters (Q1, Q2, and Q3) now.
</t>
  </si>
  <si>
    <t>Question to GRA</t>
  </si>
  <si>
    <t>We noted that the Amazon Prime prepayment of $129 was made on October 17, 2025. The
prepayment spreadsheet has been updated accordingly, and the recurring journal entry (JE) has
been set up.
Venmo Account needs to be reconnected. Last updated on 10/1/2025.
Please provide us with the Moon clerk report, Paypal and Venmo statement for Oct 2025..
Cash in hand for the month of October has not been received yet. Please check on this and forward the
necessary details to us so that we can record the journal entry (JE) to match the cash balance.</t>
  </si>
  <si>
    <t xml:space="preserve">Paypal Account - We noticed that a deposit dated 10/27/2025 for $41.31 was initially coded to Individual Contributions. However, upon further review, we found that the corresponding sales receipt for the same amount, from the same customer, on the same date, had already been properly recorded and coded to the same account.
To ensure accurate accounting and avoid duplication, we have undone the deposit and have now matched it with the sales receipt to ensure consistency in the records.
We noticed that a new account has been created for Square Balance, and the payment received for August 2025 ($793) has been tagged to this account. However, there are no transactions reflected for September or October, and the October summary report has also been provided.
Could you please advise on how to proceed with this?
</t>
  </si>
  <si>
    <t xml:space="preserve">BL Realty </t>
  </si>
  <si>
    <t>The wire deposit of $6,010.13, dated 10/28/2025, has cleared. However, the details of this transaction are not available in the Real Smart Agent login closings. For now, we've coded it under Uncategorized Income.
Please review and confirm if it should be reclassified to Commission Income, and kindly let us know the brokerage commission fees for this transaction.</t>
  </si>
  <si>
    <t>I'm seeing it there now. Saved CapOne Oct, Nov &amp; Dec stmts. Saved Venmo Aug-Nov</t>
  </si>
  <si>
    <t>KLJ Management</t>
  </si>
  <si>
    <t xml:space="preserve">
I have assigned the quarterly payroll tasks to you for KLJ Management. I have added your email to the Gusto account - you should have received an invite email so you can set up your own email/phone number for 2FA. 
On these tasks, I have entered directions in the subtasks for where to find reports in Gusto. 3Q is ready for you to work on now. 
Please let me know if you have any questions. - client response: KLJ does not have a QBO file as not much activity. In past years, I have entered activity on Excel which is in Canopy. 
The KLJ bank log in is the same as the one for Alliance (same owner) if you want to see what cleared the bank etc</t>
  </si>
  <si>
    <t>We have successfully saved the payroll reports and updated the FUTA/SUTA sheet, as well as the Payroll Reconciliation sheet. However, we’ve noticed that we currently do not have access to QuickBooks Online (QBO) to verify the Profit &amp; Loss (P/L) and Balance Sheet (B/S) items as outlined in the working sheet.
To proceed and ensure the totals match, could you please provide us with the necessary access in QBO? This will allow us to verify the data and mark the task as completed in Canopy. - our response: Thank you. We have verified the Chase account, and the tax payments and wages have been cleared in the bank.</t>
  </si>
  <si>
    <t>We tried logging the Amex and it prompts for verification. Please provide us the Oct 2025 statement.</t>
  </si>
  <si>
    <t>Victory custom homes</t>
  </si>
  <si>
    <t>We attempted to log in to the Citi Bank account #6362 with the login details provided in canopy notes to retrieve the statement, but we received the message: "Your information doesn't match our records." Please find the attached screenshot for your reference.</t>
  </si>
  <si>
    <t>Please advise on the following:
1. We noticed that the expense for Sparkling Image Car Wash is previously tagged under Shared Overhead, while the October transaction is tagged to KJ. Going forward, we will tag all upcoming transactions to KJ. Please confirm if you would like us to update the previous 2025 transactions from Shared Overhead to KJ.
2. Master Cleaning Supply is tagged under the class THR Corporate, but the October 2025 transaction is tagged to Shared Overhead. We will follow this classification for upcoming transactions and tag them to Shared Overhead. Please confirm if you would like us to update the 2025 transactions from THR Corporate to Shared Overhead.
3. We need the SBA loan statement for the payment dated October.
4. Please review and advise on the following transactions coded to AMA:
a. Furnished Finder – This vendor provides services related to house rentals. Please confirm whether this is a personal expense.
b. BSW Health – This expense appears to be related to health insurance; however, the cleared amount is significantly high at $4,155. Please confirm, as we have currently coded this to Insurance Expense: Health Insurance.</t>
  </si>
  <si>
    <t>Yes you can reclass sparkling image to KJ class
leave the prior year expenses in THR corporate. Going forward it will be shared overhead
will upload
Furnish finder &amp; zelle are personal 
yes - health insurance</t>
  </si>
  <si>
    <t xml:space="preserve">Thank you. We have reclassified the transactions. We will wait for the SBA loan statement to be uploaded so we can match the balance.
</t>
  </si>
  <si>
    <t>We have uploaded the Need Receipts Excel report in Canopy → TSD → GRA Reports → Victory Custom Homes – Need Receipts for Oct 2025. Please review and address the outstanding items.
Additionally, could you please advise on the account coding for the transaction listed below? We initially checked whether the $1,000 item was a transfer from GRA, but it appears this amount has not cleared in the GRA books.</t>
  </si>
  <si>
    <t>This was paid from my personal account</t>
  </si>
  <si>
    <t>Thanks, we have coded the credit to owner's draw. Also please review the Need receipts transactions. </t>
  </si>
  <si>
    <t>1. We have coded the expense of $1,175 and $2,039 “Exodus Enterprise Inc” to Uniforms. Please confirm whether this account coding is correct, as the amount is significant.
2. For the vendor “Mi One Brands,” we noticed that expenses were previously coded to Inventory. However, the September transactions were coded to Purchases by your end, which is an account not used earlier for this vendor. We have recategorized these transactions to Inventory for consistency. Please confirm if this is correct. 
3. Spectrum – We have not received any payments since September 2025, and the related bills remain open. Please review and advise.
4. Intuit – We did not receive the $105.53 payment in April, so the March bill remains open. Please review and advise.
5. Please review and confirm the transactions coded to the “Owner’s Pay &amp; Personal” account.
6. We noticed that credit card #2988 is reconnected in QBO. We also observed that the personal account WF CC #4209 is not connected in QBO. We infer that it does not need to be connected, as it is a personal card. However, this account currently shows a negative balance of $4,273.57. Please review and advise.
7. Please check and advise on the AMA. We have attached the Excel file for your reference.</t>
  </si>
  <si>
    <t xml:space="preserve">Hi, I'm so sorry I didn't notice I had an email from you. Thankfully I finally saw this when going through my emails.
Also, I'm just Trevor again, it was a while back so I know it's been awhile since we've chatted and want to get caught up on everything before year end. 
So, to start, here's the answers to your questions. 
5-13: This payment was for a computer. I use it at work for personal and business use. I figured if we could split the amount to write off that would work.
6-24 Lotus auto was a used car I purchased when my truck broke down. I paid for it entirely in cash in those 2 payments. I did sell this car a week ago and received 3 payments recently: $1000, $3500, $2500, directly deposited into my account.
6-27 This was for a downpayment on a 2022 KIA Telluride. I will send you all the paperwork for that. I do use this one for business almost every day. 
7-11 This payment was for another vehicle I bought. For some reason I thought this was a good idea, Its an electric and I thought I'd like it then, ultimately I regret it now and plan to sell but am still waiting on that. This one isn't being driven much so there won't be much to write off there probably.
- Also I still have the truck I bought a few years ago, but now my dad pays for the Insurance. I still pay the loan payment but don't drive it anymore.
7-14. This purchase is my RV I currently live in. They waived the down payment though so that's why it was refunded. No other down payment was made and now I just make the payments.
We have updated our costs throughout the year so it isn't as behind. I still have some to check but if you want to pull inventory history to get a number that should work fine! - Hi Trevor, 
Thanks for your responses.
Could you send over the purchase/loan paperwork for the vehicles when you have a moment?
I will continue recording the COGS numbers as I have been, getting the numbers from Lightspeed.  
</t>
  </si>
  <si>
    <t>JandF</t>
  </si>
  <si>
    <t>We noticed that the August 2025 transactions for the following vendors were coded differently from prior periods. We infer that this may have been done under your guidance. Could you please confirm whether we should follow the approach taken by Kathy or revert to the historical coding?
Vendor
Historical Coding
Recent (Aug/Sep 2025) Coding
CVS
Office Supplies
Owner Draws
McaBee Farm
Repairs &amp; Maintenance
Owner Draws
Octavio Hernandez
Supplies &amp; Materials – COGS
Subcontractor Expense – COGS
Just Energy
Utilities: Electricity
Utilities
Rodolfo Mayen
Supplies &amp; Materials – COGS
Subcontractor Expense – COGS
Additionally, we noticed that Amazon transactions above $200 were coded to “Supplies &amp; Materials – COGS” in 2024. Accordingly, we have updated the 2025 transactions above $200 to follow the same coding.
Please confirm if you’d like us to proceed with the recent coding or revert to the historical classifications.</t>
  </si>
  <si>
    <t>111/27/25</t>
  </si>
  <si>
    <t>We attempted to log in to the Citi account to verify transfers to Personal Account #6825, but we are only able to view the Citi Business Account #1239 upon logging in. Please find the screenshot attached for your reference.</t>
  </si>
  <si>
    <t>The log in is in VCH notes in Canopy which shows VCH 6362 and my personal 6825.</t>
  </si>
  <si>
    <t>Gateway</t>
  </si>
  <si>
    <t>We have reviewed the Ministry budget for November and year-to-date, as well as the Ministry GL, and have updated the Report 4 Excel notes accordingly (Ministry portion only). The updated file has been uploaded to Canopy.
We are currently working on the GPA. We also noticed that Dacia Moss paid $2,075, while only $2,070 is recorded in the GPA spreadsheet—just bringing this to your attention. We will continue working on it and will update you tomorrow on the points that are preventing us from completing the GPA accounting tab. Thank you.</t>
  </si>
  <si>
    <t xml:space="preserve">11/12/2025
Expense
Zelle payment to Deb Hall JPM99buh21rl
Ask My Accountant
Chase Checking 8229
1.00
11/13/2025
Expense
Zelle payment to Deb Hall JPM99bui3hkn
Ask My Accountant
Chase Checking 8229
652.14
Total for Ask My Accountant
$653.14
</t>
  </si>
  <si>
    <t>This was payment to Deb Hall for reimbursement of conference expenses she paid for me. You can put to Travel for conferences. </t>
  </si>
  <si>
    <t>We need the SBA loan statement for Nov and Dec 2025. Please provide us so that we can maintain the correct balance. Thankyou.</t>
  </si>
  <si>
    <t>October is already in Canopy. I have saved Nov-Jan.</t>
  </si>
  <si>
    <t xml:space="preserve">1. We noticed previously, the Kroger transactions were coded to Distributions. Beginning with the October transactions, they have been coded to Client Gifts. Please confirm if this is correct.
Additionally, please let us know if we should update the transactions from January 2025 to Client Gifts as well.
Also for Total Wine &amp; More, we noticed that most of the transactions have been coded to Client Gifts starting in November.
Please confirm whether these classifications are accurate or advise if any further adjustments are needed.
2. Please advise whether we shall code the following deposits to the Commission Income - Home Smart account:
1/31/25: $821.53
2/14/25: $650
6/6/25: $650
7/7/25: $802.95
8/29/25: $1624.50
10/6/25: $600
10/31/25: $550
3. Kenneth L Jenkins Deposit: Please advise the appropriate classification.
4. Wire Deposit (11/10/25, $3979.24): We have noted that this wire deposit is still not available in the HomeSmart login. We’ll wait and check again after some time. </t>
  </si>
  <si>
    <t>Kroger can go to Client gifts YTD
Total wine - client gifts
Yes you can move to Commissions - Home Smart
Leave Ken Jenkins deposits in Uncategorized Income
I think this was wired from a different agency. We will reconcile after year end when he receives all his 1099s.</t>
  </si>
  <si>
    <t xml:space="preserve">AKRQ </t>
  </si>
  <si>
    <t>Please advise on the below AMA transactions - Online Banking transfer from SAV 1988 Confirmation# XXXXX03243</t>
  </si>
  <si>
    <t>This was a SH Contribution</t>
  </si>
  <si>
    <t xml:space="preserve">VCH </t>
  </si>
  <si>
    <t>Please check the Need receipts report saved in canopy and advise.</t>
  </si>
  <si>
    <t>We have recorded the expense under the “Cash TCI Account”, coded to “Repairs and Maintenance.” Also, please let us know to close the Cash TCI Account by recording a journal entry to Owner’s Draw at year-end.</t>
  </si>
  <si>
    <t>We noticed that a few recurring invoices were not synced for January 2026 because the setup end date is 12/15/2025 in QBO. Please find the attached snapshot for your reference.
Kindly check and confirm whether we should proceed with editing the invoice and extend the recurring dates through Dec 2026.
Additionally, since the recurring invoice transactions are dated 01/01/2026, which has already passed, QBO will not record those invoices. Therefore, we suggest updating the invoice date to 01/03/2026 for this month only.
Please let us know if we may proceed with these changes.</t>
  </si>
  <si>
    <t>I am working on this with the customer. Please don’t update anything with the recurring invoices. </t>
  </si>
  <si>
    <t>Thanks for confirming. We will not be making any updates.</t>
  </si>
  <si>
    <t>We noted that sales receipt #17779 for $50, dated 11/3/25, from Bishop Art Group remains unclear and is
currently coded as a Group contribution. We also identified a deposit dated 11/3/25 for the same amount of
$50, which is coded as an Individual contribution.
Based on our review, we understand that the deposit may need to be matched to sales receipt #17779 rather
than recorded as a separate deposit. Please confirm whether this understanding is correct.
Additionally, could you advise:
1. Whether we should record a journal entry dated 12/1/25 to resolve this item, and
2. Whether the contribution should ultimately be classified as an Individual contribution (per the
deposit) or a Group donation (per the sales receipt).</t>
  </si>
  <si>
    <t>You can make the JE dated 12/1 for Venmo. The contribution should be group contributions so you can journal against individual</t>
  </si>
  <si>
    <t>We noticed that the deposit dated 12/19/25 for $3,537.63 is currently coded to Ask My Accountant.
However, the Accountant-Manager Notes in Google Drive indicate that this deposit should be applied to
Prudent Reserve.
Please confirm whether we should code this deposit to the Prudent Reserve account.</t>
  </si>
  <si>
    <t>We noticed that sales receipt #17889 dated 12/30/25 for $21.65 is reflected in the Credit Card
Receivables account. We also observed that this receipt is paid; however, the payment appears to
have failed. Please review and advise on how this should be handled.</t>
  </si>
  <si>
    <t>Group Contribution report:
1. We noticed that sales receipt 17805 from Clean Air Group, dated 12/4/25 for $72, was coded to
Individual Contributions. We have updated it to Group Contribution.
2. We noticed that the customer “One Day Warriors” was not available in the Group Contribution
Gsheet. Hence, we have added the customer to the Group Contribution Gsheet.</t>
  </si>
  <si>
    <t>This is to inform you that the remittance advice received from January 2026 has already been used to create the receive payment, updated in the Google Sheet, and the remittance has been saved in Canopy by Kathy.
However, we are double-checking to confirm whether any additional entry is required from our end. Please advise if we should proceed with the same.</t>
  </si>
  <si>
    <t xml:space="preserve">We've been entering some payments this month as we were working on AR and obtaining POs for 2026 &amp; needed to keep up with the payments received daily. When you get a remittance email, it may have been entered, but please check that each remittance has been:
Received in QBO 
Deposited in QBO
Saved to Canopy 
Updated on Billing spreadsheet
All payments received to date have been entered per the steps above, including the one for $2,744.50 today. </t>
  </si>
  <si>
    <t>Sure, Renate. We will make sure to check each remittance.</t>
  </si>
  <si>
    <t>While reconciling WF Checking Account #3366, we noticed that several transactions have been left unclear. Kindly review the points below and advise accordingly:
Receive Payment – CK Management Services LLC
We noticed that a receive payment transaction has been left unclear in the checking account. Please confirm whether this payment was cleared through any personal account or another account.
Adan Vasquez – Expense Entries
The expenses recorded for vendor Adan Vasquez, dated 6/4/2025 and 6/11/2025, in the amounts of $2,000 and $500, respectively, were manually entered and are currently marked as unclear.
Based on the expense details, the payment method is indicated as Cash. We are therefore inferring that these expenses were paid via cash. Please confirm whether we should update the payment account to Cash for these entries. Additionally, we noticed that several other transactions have been recorded in a similar manner. Kindly review and advise on how you would like us to handle these entries.
Demetrius Douglas – Receive Payment
A receive payment from Demetrius Douglas, dated 6/17/2025, 7/10/2025, 08/01/2025 is recorded to WF Checking Account #3366. However, this transaction has not yet cleared. Please advise on the status of this payment.</t>
  </si>
  <si>
    <t xml:space="preserve">JE the $7,500 out to income dated 1/1/25
Yes - she wrote cash so it was paid with cash.
3. I have asked the client. </t>
  </si>
  <si>
    <t xml:space="preserve">As Megan mentioned, based on your conversation, we have compiled the attached Excel file, with a separate tab for each client. 
Additionally, we have now accepted the transactions and completed the reconciliation of the Wells Fargo checking account for J&amp;F Utility for the period from September through December 2025.
Please let us know if you need any additional details and advise on the next steps.                                                                                                                    Renate response:  Good evening, 
Thank you for sending this. 
Regarding 1099s, I will enter the data and file all 1099s in Tax1099 - I will need you to prepare the 1099 info sheet &amp; list out the recipients for each client that we need a W9 for.  As we have only 2 weeks left in January, I would like an update at the end of each day on the progress of the tasks below on Teams, so I'm not caught off guard. 
The most urgent thing today is getting a list of vendor W9s needed to each client.
 If you have a query on a transaction for a vendor that may need a 1099, note that on the 1099 info sheet &amp; add to the tabs on this spreadsheet &amp; highlight in yellow. 
Please complete these tasks in this order:
DIA 1099 info sheet
All Pest 1099 info sheet
J&amp;F December Review
J&amp;F 1099 info sheet 
BL Realty December Review 
BL Realty 1099 info sheet
GRA December Review
GRA 1099 info sheet 
Victory December Review
Victory 1099 info sheet 
Sirius December Review
4Q &amp; Annual Payroll report tasks &amp; update the FUTA/SUTA spreadsheet &amp; payroll tie in spreadsheets for: 
All Pest
Lincoln
Alliance
GRA
Sirius
Regarding your J&amp;F Query: I answered most your questions about the uncleared transactions that you included on this spreadsheet by email on Tuesday 1/13/26 &amp; already directed you to prepare the 1099 list.
You said you don't have access to the check images, but you have been attaching them to each transaction in QBO? Message me on Teams tomorrow when you first log in and I will send you whatever code you need to access the bank and save the check images &amp; code the checks ASAP for 1099s.  
Regarding Demetrius Douglas, the client said she wanted to remove these invoices. You can delete the received payments &amp; enter credit memos for these. 
If something is moved from your page in Canopy or completed, that means I reassigned it to get it done ASAP. 
Please let me know if you have any questions. </t>
  </si>
  <si>
    <t>Hi Renate,
Thank you for outlining the order of tasks. We will begin with the vendor W-9 lists for each client, as per the specified sequence, and will share a daily status update by EOD.
For J&amp;F, we will address the unclear transactions after completing the DIA and All Pest 1099 information sheets, in line with the task order mentioned. We currently have access to view and download individual checks; however, we are unable to save bulk check images in Canopy in the same manner you previously did for each month. This appears to be a permission-related limitation. Could you please confirm whether we have the required access to save monthly check images in Canopy?
Thank you as well for clarifying that if a task is unassigned or marked as completed, we should not question it unnecessarily and should assume it has been reassigned to ensure timely completion.
Thanks again for your continued support and guidance.                         RS response: Wells Fargo does not have a “download all check images” function like Chase. The files in canopy with the check images are Word documents that I created, where I saved all the snips/screenshots of individual checks in one document. </t>
  </si>
  <si>
    <t>Please advise on the following items:
1. Account Coding Confirmation (1099 Preparation)
We noticed that the vendor Rodolfo Mayen / Octavio Hernandez is coded to Supplies &amp; Materials – COGS, while the August transaction is coded to Subcontractor Expense – COGS.
Additionally, McAbee Farm August transactions are coded to Owner’s Draws, whereas previous transactions were coded to Repairs &amp; Maintenance.
Please confirm the correct account coding so we may proceed with the 1099 preparation, as these are 1099-eligible accounts.
2. Unapplied Payment
We noticed that the receive payment dated 02/08/2025 for $3,500 from David Genz is left unapplied. Please review and confirm the invoice to which this payment should be applied. Note: We have checked for any open invoices for this customer, and no invoices are currently open.
3. Uncategorized Income
a) We noticed a mobile deposit dated 09/24/2025 for $5,500. The deposit slip indicates the payment is from CJ Carter Construction; however, in QBO we can only see an estimate dated 12/16/2024 for this customer. Please confirm whether this deposit relates to that estimate so we can create the corresponding invoice and apply the payment correctly. For now, the amount has been temporarily coded to Uncategorized Income. Kindly advise on how you would like us to proceed.
b) The Zelle deposit from Build LLC dated 11/26/2025 for $1,600 has been temporarily coded to Uncategorized Income, as we could not locate the related receipt or payment to match it.
4. Negative Cash Balance
For your information, the Cash account reflects a negative balance of $22,740.
5. AMA Transactions
Please review and advise on the AMA transactions. We have uploaded the Excel file for your reference.</t>
  </si>
  <si>
    <t>GRA ADmin</t>
  </si>
  <si>
    <t>Please check and advise on the below points:
Shareholder CC/Bank Account – This account shows a negative balance as expenses incurred on a personal card have been recorded here. Please let us know if we may record a journal entry and close this account to equity.
Credit Card Receivable – Declined customer sales receipts are currently reflected in this account, and the corresponding amounts have been recorded as expenses under the Merchant Fees account. Could you please confirm whether we may reclassify these expenses to the Credit Card Receivable account instead?
Reimbursement – A journal entry has been recorded to zero out the Reimbursement account, which relates to non-taxable per diem amounts per the payroll report. Due to this entry, the payroll report no longer ties out. Please confirm whether we may remove this journal entry.
Accounting Income Account – Product discounts are currently tagged to the main income account, resulting in a negative balance. Please advise if we can reclassify these amounts to the Discount Given account. 
We have prepared and uploaded the 1099 info sheet and eligible vendors excel in canopy. Thankyou.</t>
  </si>
  <si>
    <t>Please check and advise on the below points:
1. Prepaid Expense - This account still reflects a balance of $5203.74. Could you please confirm whether this amount has been received? We do not see any corresponding transactions in our bank records.
2. FYI, TX unemployment Tax – This account shows the negative balance of $22.50 as the August 2025 transaction is coded here. Please let us know whether we can reclassify it to payroll tax so that the account gets zeroed out as per the Payroll report.
3. Venmo - Please save the Dec 2025 statement. 
Also, we have prepared the eligible vendor Excel file and saved it in Canopy.
While attempting to access the 1099 Information sheet in QBO, we noticed that the system prompts the following message when trying to proceed with e-filing: 
“Please select at least one recipient to proceed with e-filing.”
Please find the attached screenshot for your reference.</t>
  </si>
  <si>
    <t>. Do it Center Account – This account shows the balance of $1525.77 since 2024 and no payments are coded to this account after Mar 2024. Please let us know whether any payment are made to close this account
2. Depreciation – JE needs to be recorded for 2025
3. WF Loan – This account shows the balance of $2500 as the CC payment has been paid through loan.  Please let us know whether the loan is repaid.
4. Integrity Foundation Repair - We have coded this vendor’s charges to Repairs and Maintenance. The amounts are $11,625 and $11,025, which are relatively high. Please let us know whether these costs should be capitalized.
5. Ask My Accountant – Please review and let us know the account coding
Total for Ask My Accountant
-$58.45
6. Uploaded the need receipts transactions report in canopy. Please check. 
We have prepared and uploaded the 1099 info sheet and eligible vendors excel in canopy. Thankyou.</t>
  </si>
  <si>
    <t xml:space="preserve">Leave as is - I will address with year end review for tax return.
Leave as is - I will address with year end review for tax return.
Leave as is - I will address with year end review for tax return.
Repairs
CC pymt from personal acct - code to SH Distributions; Weems - contractor @ 4222 Kirby.
I will review &amp; update when reviewing for tax return. 
</t>
  </si>
  <si>
    <t>REview</t>
  </si>
  <si>
    <t>1. Digital Storm - We noticed that the client indicated the computer will be used for both personal and business purposes. Please let us know the ratio to be allocated between personal and business use so we can proceed accordingly.
2. Lotus Auto - We have coded the two expenses dated 6/24/25 $5,629.59 to the Vehicles account. The deposits received from the sale of the asset have also been coded to the same account. In addition, we recorded the journal entry dated 12/31/25 for the remaining balance of $4,259.18 to the Loss/Gain on Sale of Asset account. FYI, we have renamed the chart of accounts from “Gain on Sale of Asset” to “Loss/Gain on Sale of Asset” for accuracy.
3. The expense dated 6/27/25 to Chevrolet for $5,000 was identified as a down payment for a 2022 KIA Telluride, as per the client’s response. Please let us know if we should create a new chart of accounts to properly record the down payment and ensure that the related principal and interest are coded accordingly. We also infer that this may be related to an auto loan currently reflected in AMA. Kindly confirm if this is correct so we can proceed accurately.
4. The McClain’s Longhorn and other electric vehicle purchases may be related to the auto loan transactions currently left in Ask My Accountant. Please let us know if we should create new chart of accounts under Fixed Assets and Long-Term Liabilities to properly record these transactions and code the related expenses accordingly. Additionally, please provide the loan statement so we can accurately categorize the transactions between principal and interest.
5. Spectrum – We have not received any payments since September 2025, and the related bills remain open. Please review and advise.
6. Intuit – We did not receive the $105.53 payment in April, so the March bill remains open. Please review and advise.
7. Please review and confirm the transactions coded to the “Owner’s Pay &amp; Personal” account.
8. We noticed that the expenses for Cayan Holdings LLC have been coded to Merchant Fees. However, the November and December transactions are currently coded to the Inventory account. Please confirm if we should reclassify the 2025 transactions to the Inventory account for consistency.
9. For US Retailer, the expenses have historically been coded to the Utilities account. However, the November transactions are currently coded to the Inventory account. Please confirm the correct account coding so we can ensure consistency in our records.
10. Please check and advise on the AMA transactions. We have attached the Excel file for your reference.</t>
  </si>
  <si>
    <t xml:space="preserve">                                                                                                    </t>
  </si>
  <si>
    <t>EOD Status Details</t>
  </si>
  <si>
    <t xml:space="preserve">Posted query Details </t>
  </si>
  <si>
    <t xml:space="preserve">Status of files at EOD  - Check workflow status </t>
  </si>
  <si>
    <t>Monthly files - 12
    In process - 3 (Priority)
    Prepare - 8
    Completed - 1
Clean up - 1 file
Mail Tasks - 2
Est - 4 hrs
Pavithira VM will process the priority and mail task.</t>
  </si>
  <si>
    <t>Gateway (Priority) need update from Renate. Posted message in slack.</t>
  </si>
  <si>
    <t>Monthly files - 12
    In process - 3 (Priority)
    Prepare - 8
    Completed - 1
Clean up - 1 file
Mail Tasks - 3
Est - 4 hrs
Pavithira VM will process the priority and mail task.</t>
  </si>
  <si>
    <t>Completed the Gateway from our end. Need to process the monthly files.</t>
  </si>
  <si>
    <t>Monthly files - 12
    In process - 3 (Priority - completed from our end)
    Prepare - 8
    Completed - 1
Clean up - 1 file
Mail Tasks - 1
Est - 4 hrs
Pavithira VM will process the monthly files and mail task.</t>
  </si>
  <si>
    <t>Monthly files - 12
    In process - 3 (Priority - completed from our end)
    Waiting on Info - 3
    Prepare - 5
    Completed - 1
Clean up files - 1 
Mail Tasks - 1
Est - 4 hrs
Pavithira VM will process the monthly files and mail task.</t>
  </si>
  <si>
    <t>Updated the Gateway procedures in confluence.</t>
  </si>
  <si>
    <t>Monthly files - 12
    In process - 3 (1 Priority - completed from our end)
    Waiting on Info - 3
    Prepare - 5
    Completed - 1
Clean up files - 1 
Mail Tasks - 1
Est - 4 hrs
Pavithira VM will process the monthly files and mail task.</t>
  </si>
  <si>
    <t>Monthly files - 12
    In process - 3 (1 Priority - completed from our end)
    Waiting on Info - 3
    Prepare - 5
    Completed - 1
Clean up files - 1 
Mail Tasks - 0
Est - 4 hrs
Pavithira VM will process the monthly files.</t>
  </si>
  <si>
    <t>Monthly files - 12
    In process - 3 (1 Priority - completed from our end)
    Waiting on Info - 5
    Prepare - 3
    Completed - 1
Clean up files - 1 (In process) 
Mail Tasks - 0
Est - 4 hrs
Pavithira VM will process the monthly files.</t>
  </si>
  <si>
    <t>We have call with Renate @4.30 Pm</t>
  </si>
  <si>
    <t>Monthly files - 12
    In process - 3 (1 Priority - completed from our end)
    Waiting on Info - 5
    Prepare - 1
    Completed - 1
Clean up files - 1 (In process) 
Mail Tasks - 0</t>
  </si>
  <si>
    <t>Pavithira is on Leave. Also, informed to Renate in yesterday meeting notes.</t>
  </si>
  <si>
    <t>Monthly files - 13
    In process - 3 (1 Priority - completed from our end)
    Waiting on Info - 5
    Prepare - 2
    Completed - 1
Clean up files - 1 (In process) 
Mail Tasks - 2
Est - 4 hrs
Pavithira VM will process the monthly files.</t>
  </si>
  <si>
    <t>3 monthly files are in process and 6 files are in query.  Booked - 4.50 Hrs</t>
  </si>
  <si>
    <t>Monthly files - 13
    In process - 3 (1 Priority - completed from our end)
    Waiting on Info - 6
    Prepare - 1
    Completed - 3
Clean up files - 1 (In process) 
Mail Tasks - 0
Est - 4 hrs
Pavithira VM will process the monthly files.</t>
  </si>
  <si>
    <t xml:space="preserve">Booked Hrs - 4.14 Hrs
    In process - 1
    Waiting on Info - 8
    Prepare - 1
    Completed - 3
Clean up files - 1 (In process) 
 </t>
  </si>
  <si>
    <t>Monthly files - 13
    In process - 1 (1 Priority - completed from our end)
    Waiting on Info - 8
    Prepare - 1
    Completed - 3
Clean up files - 1 (In process) 
Mail Tasks - 0
Est - 1.30 hrs
Pavithira VM will process the monthly files.</t>
  </si>
  <si>
    <t>Booked Hrs - 1.30 Hrs
    Waiting on Info - 9
    Completed - 4
 Need to disscuss few open points of Monthly files in tommorrow's call.</t>
  </si>
  <si>
    <t xml:space="preserve">Monthly files - 13
    In process - 0 
    Waiting on Info - 9
    Prepare - 0
    Completed - 4
Clean up files - 1 (Waiting on Info) 
Mail Tasks - 0
Est - 1.30 hrs
</t>
  </si>
  <si>
    <t>Today we have weekly call with Renate @4.30pm IST. - Call get cancelled and mailed all the open points to Renate.               Booked Hrs - 50 mins                                                                      Waiting on Info - 9
Completed - 4</t>
  </si>
  <si>
    <t xml:space="preserve">Monthly files - 13
    In process - 0 
    Waiting on Info - 9
    Prepare - 0
    Completed - 4
Clean up files - 1 (Waiting on Info) 
Mail Tasks - 4
Est - 2 hrs
</t>
  </si>
  <si>
    <t xml:space="preserve">Booked Hrs - 2.40 Hrs
    Waiting on Info - 8
    Completed - 4
</t>
  </si>
  <si>
    <t>Monthly files - 13
    In process - 1 
    Waiting on Info - 8
    Prepare - 0
    Completed - 4
Clean up files - 1 (Waiting on Info) 
Mail Tasks - 0
Est - 10 Mins</t>
  </si>
  <si>
    <t xml:space="preserve">Booked Hrs - 0.16 Mins    
    Waiting on Info - 8
    Completed - 4
</t>
  </si>
  <si>
    <t>Monthly files - 13
    In process - 0
    Waiting on Info - 0
    Prepare - 13
    Completed - 0
Clean up files - 1 (Waiting on Info) 
Mail Tasks - 1
Est - 4 hrs</t>
  </si>
  <si>
    <t>Booked Hrs -3.32 Hrs    
    Waiting on Info - 0
    Completed - 0
     Inprocess - 2</t>
  </si>
  <si>
    <t>Monthly files - 13
    In process - 2
    Waiting on Info - 0
    Prepare - 11
    Completed - 0
Clean up files - 1 (Waiting on Info) 
Mail Tasks - 0
Est - 4 hrs</t>
  </si>
  <si>
    <t>Booked Hrs - 2.97 Hrs    
    Waiting on Info - 0
    Completed - 0
     Inprocess - 3</t>
  </si>
  <si>
    <t>Monthly files - 13
    In process - 3
    Waiting on Info - 0
    Prepare - 10
    Completed - 0
Clean up files - 1 (Waiting on Info) 
Mail Tasks - 1
Est - 4 hrs</t>
  </si>
  <si>
    <t>Booked Hrs - 4.15 Hrs    
    Waiting on Info - 0
    Completed - 0
     Inprocess - 3</t>
  </si>
  <si>
    <t>Monthly files - 13
    In process - 3
    Waiting on Info - 0
    Prepare - 10
    Completed - 0
Clean up files - 1 (Waiting on Info) 
Mail Tasks - 3
Est - 4 hrs</t>
  </si>
  <si>
    <t>Booked Hrs - 2.98 Hrs    
    Waiting on Info - 0
    Completed - 0
     Inprocess - 3</t>
  </si>
  <si>
    <t>Monthly files - 13
    In process - 3 (2 Priority)
    Waiting on Info - 0
    Prepare - 10
    Completed - 0
Clean up files - 1 (Waiting on Info) 
Mail Tasks - 0
Est - 4 hrs</t>
  </si>
  <si>
    <t>Booked Hrs - 4.49 Hrs    
    Waiting on Info - 0
    Completed - 0
     Inprocess - 3</t>
  </si>
  <si>
    <t>Monthly files - 13
    In process - 4 (2 Priority)
    Waiting on Info - 0
    Prepare - 9
    Completed - 0
Clean up files - 1 (Waiting on Info) 
Mail Tasks - 3
Est - 4 hrs</t>
  </si>
  <si>
    <t xml:space="preserve">Monthly files - 13
    In process - 4 (2 Priority)
    Waiting on Info - 0
    Prepare - 9
    Completed - 0
Clean up files - 1 (Waiting on Info) 
Mail Tasks - 3
</t>
  </si>
  <si>
    <t>Pavithra VM is on leave today updated by Kokila</t>
  </si>
  <si>
    <t xml:space="preserve">Monthly files - 13
    In process - 4 (2 Priority)
    Waiting on Info - 0
    Prepare - 9
    Completed - 0
Clean up files - 1 (Waiting on Info) 
Mail Tasks - 2
</t>
  </si>
  <si>
    <t>Booked Hrs - 4.91 Hrs    
    Waiting on Info - 2
    Completed - 0
     Inprocess - 3</t>
  </si>
  <si>
    <t xml:space="preserve">Monthly files - 13
    In process - 2 (1 Priority)
    Waiting on Info - 2
    Prepare - 8
    Completed - 1
Clean up files - 1 (Waiting on Info) 
Mail Tasks - 2
</t>
  </si>
  <si>
    <t>Pavithira is on emergency leave today.</t>
  </si>
  <si>
    <t>Pavithira is on emergency leave today informed renate in slack</t>
  </si>
  <si>
    <t xml:space="preserve">"Booked Hrs - 9.49 Hrs    
    Waiting on Info - 2
    Completed - 2
     Inprocess - 1"  Gateway - priority file completed today. </t>
  </si>
  <si>
    <t>Monthly files - 13
    In process - 2 (1 Priority - completed from our end)
    Waiting on Info - 2
    Prepare - 8
    Completed - 1
Clean up files - 1 (Waiting on Info) 
Mail Tasks - 2
Est - 4 hrs</t>
  </si>
  <si>
    <t xml:space="preserve">"Booked Hrs - 5.14 Hrs    
    Waiting on Info - 2
    Completed - 2
     Inprocess - 1"  </t>
  </si>
  <si>
    <t>Monthly files - 13
    In process - 2 (1 Priority - completed from our end)
    Waiting on Info - 2
    Prepare - 8
    Completed - 1
Clean up files - 1 (Waiting on Info) 
Mail Tasks - 2
Pavithira VM will process the task.
Est - 4 hrs</t>
  </si>
  <si>
    <t xml:space="preserve">"Booked Hrs - 4.47 Hrs    
    Waiting on Info - 2
    Completed - 2
     Inprocess - 1"  We had call with Renate and discussed about the monthly files. </t>
  </si>
  <si>
    <t>Monthly files - 13
    In process - 2 (1 Priority - completed from our end)
    Waiting on Info - 5
    Prepare - 5
    Completed - 1
Clean up files - 1 (Waiting on Info) 
Mail Tasks - 1
Pavithira VM will process the task.
Est - 4 hrs</t>
  </si>
  <si>
    <t xml:space="preserve">"Booked Hrs - 5.06 Hrs    
    Waiting on Info - 5
    Completed - 2
     Inprocess - 3"  </t>
  </si>
  <si>
    <t>Monthly files - 13
    In process - 3 (1 Priority - completed from our end)
    Waiting on Info - 5
    Prepare - 4
    Completed - 1
Clean up files - 1 (Waiting on Info) 
Mail Tasks - 0
Pavithira VM will process the task.
Est - 4 hrs</t>
  </si>
  <si>
    <t xml:space="preserve">"Booked Hrs - 4.40 Hrs    
    Waiting on Info - 6
    Completed - 2
     Inprocess - 3"  </t>
  </si>
  <si>
    <t>Monthly files - 13
    In process - 3 (1 Priority - completed from our end)
    Waiting on Info - 6
    Prepare - 2
    Completed - 2
Clean up files - 1 (Waiting on Info) 
Mail Tasks - 0
Pavithira VM will process the task.
Est - 4 hrs</t>
  </si>
  <si>
    <t xml:space="preserve">"Booked Hrs - 3.22 Hrs    
    Waiting on Info - 8
    Completed - 3
     Inprocess - 2"  </t>
  </si>
  <si>
    <t>Monthly files - 13
    In process - 2 (1 Priority - completed from our end)
    Waiting on Info - 8
    Prepare - 0
    Completed - 3
Clean up files - 1 (Waiting on Info) 
Mail Tasks - 3
Pavithira VM will process the task.
Est - 45 mins</t>
  </si>
  <si>
    <t xml:space="preserve">Monthly files - 13
    In process - 2 (1 Priority - completed from our end)
    Waiting on Info - 8
    Prepare - 0
    Completed - 3
Clean up files - 1 (Waiting on Info) </t>
  </si>
  <si>
    <t>Pavithira VM is on leave today</t>
  </si>
  <si>
    <t>Completed all the monthly files from our end. Few left in query.</t>
  </si>
  <si>
    <t xml:space="preserve">Monthly files - 13
    In process - 2 (1 Priority)
    Waiting on Info - 0
    Prepare - 11
    Completed - 0
Clean up files - 0 (Waiting on Info) </t>
  </si>
  <si>
    <t>Booked - 3.72 hrs
Started processing the DIA (priority file)</t>
  </si>
  <si>
    <t>Monthly files - 13
    In process - 2 (1 Priority)
    Waiting on Info - 0
    Prepare - 11
    Completed - 0
Clean up files - 0 (Waiting on Info)
Mail task - 2</t>
  </si>
  <si>
    <t>Today we have call with Renate @4.00 pm IST. Booked 5.81 hrs</t>
  </si>
  <si>
    <t>Monthly files - 13
    In process - 2 (1 Priority)
    Waiting on Info - 0
    Prepare - 11
    Completed - 0
Clean up files - 0 (Waiting on Info)
Mail task - 1</t>
  </si>
  <si>
    <t>Booked -  5.74 hrs</t>
  </si>
  <si>
    <t>Monthly files - 13
    In process - 3 (1 Priority)
    Waiting on Info - 2
    Prepare - 8
    Completed - 0
Payroll files - 6 
Mail task - 2</t>
  </si>
  <si>
    <t>Monthly files - 13
 In process - 3 (1 Priority)
 Waiting on Info - 2
 Prepare - 8
 Completed - 0
Payroll files - 6 
Mail task - 4
Estimate - 8 hrs</t>
  </si>
  <si>
    <t>Booked - 8.75</t>
  </si>
  <si>
    <t>Monthly files - 13
 In process - 3 (1 Priority)
 Waiting on Info - 2
 Prepare - 8
 Completed - 0
Payroll files - 6 
Mail task - 0
Estimate - 8 hrs</t>
  </si>
  <si>
    <t>Process the priority Gateway and DIA. Today we have call with Renate @4.30 pm - Renate not joined the call
Booked Hrs -  7.97</t>
  </si>
  <si>
    <t>Monthly files - 13
 In process - 3 (1 Priority)
 Waiting on Info - 2
 Prepare - 8
 Completed - 0
Payroll files - 6 
Mail task - 2
Estimate - 8 hrs</t>
  </si>
  <si>
    <t>Booked Hrs - 8.52</t>
  </si>
  <si>
    <t>Monthly files - 13
 In process - 3 (1 Priority)
 Waiting on Info - 2
 Prepare - 7
 Completed - 1
Payroll files - 6 
Mail task - 4
Estimate - 8 hrs</t>
  </si>
  <si>
    <t>Russell - Priority file 
Booked Hrs - 6.47</t>
  </si>
  <si>
    <t>Monthly files - 13
 In process - 2
 Waiting on Info - 2
 Prepare - 7
 Completed - 1
Payroll files - 6 
Mail task - 4</t>
  </si>
  <si>
    <t>Monthly files - 13
 In process - 3
 Waiting on Info - 4
 Prepare - 5
 Completed - 1
Payroll files - 6 
Mail task - 3</t>
  </si>
  <si>
    <t>Booked Hrs - 2.81</t>
  </si>
  <si>
    <t>Monthly files - 13
 In process - 1
 Waiting on Info - 6
 Prepare - 4
 Completed - 2
Payroll files - 6 
Mail task - 2</t>
  </si>
  <si>
    <t>Booked Hrs - 2.23</t>
  </si>
  <si>
    <t>Monthly files - 13
 In process - 2
 Waiting on Info - 7
 Prepare - 3
 Completed - 1
Payroll files - 6 
Mail task - 2</t>
  </si>
  <si>
    <t>Booked hrs  - 4.86</t>
  </si>
  <si>
    <t>Monthly files - 13
 In process - 2
 Waiting on Info - 6
 Prepare - 1
 Completed - 4
Payroll files - 6 
Mail task - 0</t>
  </si>
  <si>
    <t>Booked hrs  - 6.48</t>
  </si>
  <si>
    <t>Monthly files - 13
 In process - 2
 Waiting on Info - 6
 Prepare - 1
 Completed - 4
Payroll files - 6 
Mail task - 0
Est - 4 hrs
Pavithira VM wil process the file</t>
  </si>
  <si>
    <t>Weekly meeting with the client at 4.30 p.m. IST
good morning, let’s postpone our meeting until next week. If you have items that you need clarification on please send them to me by email. Thank you
Booked Hrs - 3.15</t>
  </si>
  <si>
    <t>Monthly files - 13
 In process - 0
 Waiting on Info - 8
 Prepare - 0
 Completed - 5
Payroll files - 6 
Mail task - 1
Est - 4 hrs
Pavithira VM wil process the file</t>
  </si>
  <si>
    <t>Booked Hrs - 4.85</t>
  </si>
  <si>
    <t>Monthly files - 13
 In process - 0
 Waiting on Info - 8
 Prepare - 0
 Completed - 5
Payroll files - 6 
Mail task - 0
Est - 4 hrs
Pavithira VM wil process the file</t>
  </si>
  <si>
    <t>Booked Hrs - 1.57</t>
  </si>
  <si>
    <t>Monthly files - 13
 In process - 0
 Waiting on Info - 8
 Prepare - 0
 Completed - 5
Payroll files - 6
Mail task - 11
Est - 4 hrs
Pavithira VM and Divisha wil process the file.</t>
  </si>
  <si>
    <t>Booked Hrs - 2:05
All work completed</t>
  </si>
  <si>
    <t>Monthly files - 13
 In process - 0
 Waiting on Info - 8
 Prepare - 0
 Completed - 5
Payroll files - 6 ( 2 Completed , 4 query posted
No Work</t>
  </si>
  <si>
    <t>Pavithira training Divisha on GRA Files</t>
  </si>
  <si>
    <t>Monthly files - 13
 In process - 13
 Waiting on Info - 8
Payroll files - 6 ( 2 Completed , 4 query posted</t>
  </si>
  <si>
    <t>Divisha is on leave today</t>
  </si>
  <si>
    <t>Monthly files - 11
 Priority - 1 
In process - 10 
Payroll files - 6 ( 2 Completed , 4 query posted)
Est - 6 hrs
Divisha will process the file</t>
  </si>
  <si>
    <t>Booked Hrs 2.99</t>
  </si>
  <si>
    <t>Monthly files - 11
 Priority - 1 
In process - 10 
Payroll files - 6 ( 2 Completed , 4 query posted)
Mails - 2 
Est - 4 hrs
Divisha will process the file</t>
  </si>
  <si>
    <t>Booked Hrs - 2.98
In Process - 11 files (1 Priority)</t>
  </si>
  <si>
    <t>Monthly files - 11
 Priority - 1 (DIA)
In process - 10 
Payroll files - 7 ( 3 Completed , 4 query posted)
Mails - 2 
Est - 4 hrs
Divisha will process the file</t>
  </si>
  <si>
    <t>We have call with Renate @5.30 Pm.
Booked Hrs - 3.74
In Process 
Monthly Files - 11 files</t>
  </si>
  <si>
    <t>Monthly files - 11
 Priority - 1 (DIA)
In process - 10 
Payroll files - 7 ( 3 Completed , 4 query posted)
Mails - 3 
Est - 4 hrs
Divisha will process the file</t>
  </si>
  <si>
    <r>
      <rPr>
        <rFont val="Arial"/>
        <color theme="1"/>
      </rPr>
      <t xml:space="preserve">Monthly files - 11
Priority - 1 (DIA) - Completed
In process - 10 
Payroll files - 7 ( 3 Completed , 4 query posted)
Mails - 3 
</t>
    </r>
    <r>
      <rPr>
        <rFont val="Arial"/>
        <b/>
        <color theme="1"/>
      </rPr>
      <t>Booked Hrs - 4.58</t>
    </r>
  </si>
  <si>
    <t>Monthly files - 11
 Priority - 1 (Gateway)
 Completed - 1 (DIA)
In process - 10 
Payroll files - 7 ( 3 Completed , 4 query posted)
Mails - 1
Est - 4 hrs
Buela will process the file</t>
  </si>
  <si>
    <r>
      <rPr>
        <rFont val="Arial"/>
        <color theme="1"/>
      </rPr>
      <t xml:space="preserve">Monthly files - 11
Priority - 1 Gateway (Posted query)
In process - 10 
Payroll files - 7 ( 3 Completed , 4 query posted)
Mails - 3 
</t>
    </r>
    <r>
      <rPr>
        <rFont val="Arial"/>
        <b/>
        <color theme="1"/>
      </rPr>
      <t>Booked Hrs - 1.75</t>
    </r>
  </si>
  <si>
    <t>Monthly files - 11
 Priority - 1 (Gateway)
 Completed - 1 (DIA)
In process - 10 
Payroll files - 7 ( 3 Completed , 4 query posted)
Mails - 1
Est - 4 hrs
Divisha will process the file</t>
  </si>
  <si>
    <r>
      <rPr>
        <rFont val="Arial"/>
        <color theme="1"/>
      </rPr>
      <t xml:space="preserve">Monthly files - 11
Priority - 1 Gateway (Posted query)
In process - 10 
Payroll files - 7 ( 3 Completed , 4 query posted)
Mails - 3 
</t>
    </r>
    <r>
      <rPr>
        <rFont val="Arial"/>
        <b/>
        <color theme="1"/>
      </rPr>
      <t>Booked Hrs - 0.91</t>
    </r>
  </si>
  <si>
    <t>Monthly files - 11
 Priority - 1 (Gateway)
 Completed - 1 (DIA)
In process - 10 
Payroll files - 7 ( 3 Completed , 4 query posted)
Mails - 1
Est - 6 hrs
Divisha will process the file</t>
  </si>
  <si>
    <r>
      <rPr>
        <rFont val="Arial"/>
        <color theme="1"/>
      </rPr>
      <t xml:space="preserve">Monthly files - 11
 Priority - 1 (Gateway) Posted query to Renate
 Completed - 1 (DIA)
In process - 10 
Payroll files - 7 ( 3 Completed , 4 query posted)
Mails - 1
</t>
    </r>
    <r>
      <rPr>
        <rFont val="Arial"/>
        <b/>
        <color theme="1"/>
      </rPr>
      <t>Booked Hrs - 1.91</t>
    </r>
  </si>
  <si>
    <r>
      <rPr>
        <rFont val="Arial"/>
        <color theme="1"/>
      </rPr>
      <t xml:space="preserve">Monthly files - 11
 </t>
    </r>
    <r>
      <rPr>
        <rFont val="Arial"/>
        <b/>
        <color theme="1"/>
      </rPr>
      <t>Priority - 1 (Gateway)</t>
    </r>
    <r>
      <rPr>
        <rFont val="Arial"/>
        <color theme="1"/>
      </rPr>
      <t xml:space="preserve">
 Completed - 1 (DIA)
In process - 10 
Payroll files - 7 ( 3 Completed , 4 query posted)
Mails - 3
Est - 6 hrs
Divisha will process the file</t>
    </r>
  </si>
  <si>
    <r>
      <rPr>
        <rFont val="Arial"/>
        <color theme="1"/>
      </rPr>
      <t xml:space="preserve">Monthly files - 11
 </t>
    </r>
    <r>
      <rPr>
        <rFont val="Arial"/>
        <b/>
        <color theme="1"/>
      </rPr>
      <t>Priority - 1 (Gateway)</t>
    </r>
    <r>
      <rPr>
        <rFont val="Arial"/>
        <color theme="1"/>
      </rPr>
      <t xml:space="preserve"> In Process
 Completed - 1 (DIA)
In process - 10 
Payroll files - 7 ( 3 Completed , 4 query posted)
Mails - 3
</t>
    </r>
    <r>
      <rPr>
        <rFont val="Arial"/>
        <b/>
        <color theme="1"/>
      </rPr>
      <t>Booked Hrs - 3.49</t>
    </r>
  </si>
  <si>
    <r>
      <rPr>
        <rFont val="Arial"/>
        <color theme="1"/>
      </rPr>
      <t xml:space="preserve">Tottal files - 11
 </t>
    </r>
    <r>
      <rPr>
        <rFont val="Arial"/>
        <b/>
        <color theme="1"/>
      </rPr>
      <t>Priority - 1 (Gateway)</t>
    </r>
    <r>
      <rPr>
        <rFont val="Arial"/>
        <color theme="1"/>
      </rPr>
      <t xml:space="preserve">
 Completed - 1 (DIA)
Monthly files  - 9
Payroll files - 7 ( 3 Completed , 4 query posted)
Mails - 1
Est - 6 hrs
Divisha will process the file</t>
    </r>
  </si>
  <si>
    <r>
      <rPr>
        <rFont val="Arial"/>
        <color theme="1"/>
      </rPr>
      <t xml:space="preserve">Weekly meeting with the client at 5.30 p.m. IST
Tottal files - 11
In Process Priority - 1 (Gateway)
 Completed - 1 (DIA)
Monthly files  - 9
Payroll files - 7 ( 3 Completed , 4 query posted)
Mails - 1
</t>
    </r>
    <r>
      <rPr>
        <rFont val="Arial"/>
        <b/>
        <color theme="1"/>
      </rPr>
      <t>Booked Hrs - 9.51</t>
    </r>
  </si>
  <si>
    <r>
      <rPr>
        <rFont val="Arial"/>
        <color theme="1"/>
      </rPr>
      <t xml:space="preserve">Tottal files - 11
 </t>
    </r>
    <r>
      <rPr>
        <rFont val="Arial"/>
        <b/>
        <color theme="1"/>
      </rPr>
      <t>Priority - 1 (Gateway)</t>
    </r>
    <r>
      <rPr>
        <rFont val="Arial"/>
        <color theme="1"/>
      </rPr>
      <t xml:space="preserve">
 Completed - 1 (DIA)
Monthly files  - 9
Payroll files - 7 ( 3 Completed , 4 query posted)
Mails - 1
Est - 8 hrs
Divisha &amp; Nithisha will process the file</t>
    </r>
  </si>
  <si>
    <r>
      <rPr>
        <rFont val="Arial"/>
        <color theme="1"/>
      </rPr>
      <t xml:space="preserve">Tottal files - 11
 </t>
    </r>
    <r>
      <rPr>
        <rFont val="Arial"/>
        <b/>
        <color theme="1"/>
      </rPr>
      <t>Posted Query Priority - 1 (Gateway)</t>
    </r>
    <r>
      <rPr>
        <rFont val="Arial"/>
        <color theme="1"/>
      </rPr>
      <t xml:space="preserve">
 Completed - 1 (DIA)
Monthly files  - 9
Payroll files - 7 ( 3 Completed , 4 query posted)
Mails - 1
</t>
    </r>
    <r>
      <rPr>
        <rFont val="Arial"/>
        <b/>
        <color theme="1"/>
      </rPr>
      <t>Booked Hrs - 11.27</t>
    </r>
  </si>
  <si>
    <r>
      <rPr>
        <rFont val="Arial"/>
        <color theme="1"/>
      </rPr>
      <t xml:space="preserve">Tottal files - 11
 </t>
    </r>
    <r>
      <rPr>
        <rFont val="Arial"/>
        <b/>
        <color theme="1"/>
      </rPr>
      <t>Priority - 1 (Gateway)</t>
    </r>
    <r>
      <rPr>
        <rFont val="Arial"/>
        <color theme="1"/>
      </rPr>
      <t xml:space="preserve">
 Completed - 1 (DIA)
Monthly files  - 9
Payroll files - 7 ( 3 Completed , 4 query posted)
Mails - 1
Est - 8 hrs
Divisha &amp; Nithisha will process the file</t>
    </r>
  </si>
  <si>
    <r>
      <rPr>
        <rFont val="Arial"/>
        <color theme="1"/>
      </rPr>
      <t xml:space="preserve">Tottal files - 11
 </t>
    </r>
    <r>
      <rPr>
        <rFont val="Arial"/>
        <b/>
        <color theme="1"/>
      </rPr>
      <t>Posted Query Priority - 1 (Gateway)</t>
    </r>
    <r>
      <rPr>
        <rFont val="Arial"/>
        <color theme="1"/>
      </rPr>
      <t xml:space="preserve">
 Completed - 1 (DIA)
Monthly files  - 9 (In Process)
Payroll files - 7 ( 3 Completed , 4 query posted)
Mails - 1
</t>
    </r>
    <r>
      <rPr>
        <rFont val="Arial"/>
        <b/>
        <color theme="1"/>
      </rPr>
      <t>Booked Hrs - 2.73</t>
    </r>
  </si>
  <si>
    <t>Tottal files - 11
Completed - 2 (DIA &amp; Gateway)
Monthly files  - 9
Payroll files - 7 ( 3 Completed , 4 query posted)
Mails - 1
Est - 8 hrs
Divisha will process the file</t>
  </si>
  <si>
    <r>
      <rPr>
        <rFont val="Arial"/>
        <color theme="1"/>
      </rPr>
      <t xml:space="preserve">Tottal files - 11
Completed - 2 (DIA &amp; Gateway)
Completed - 1 monthly file
In Process Monthly files  - 8
Payroll files - 7 ( 3 Completed , 4 query posted)
Mails - 1
</t>
    </r>
    <r>
      <rPr>
        <rFont val="Arial"/>
        <b/>
        <color theme="1"/>
      </rPr>
      <t xml:space="preserve">Booked Hrs - 3.96 </t>
    </r>
  </si>
  <si>
    <t>Tottal files - 11
Completed - 3 (DIA &amp; Gateway)
Inprogress  - 8
Payroll files - 7 ( 3 Completed , 4 query posted)
Mails - 1
Est - 6 hrs
Divisha will process the file</t>
  </si>
  <si>
    <r>
      <rPr>
        <rFont val="Arial"/>
        <color theme="1"/>
      </rPr>
      <t xml:space="preserve">Tottal files - 11
Completed - 4 (DIA &amp; Gateway)
Inprogress  - 5
Query Posted - 2
Payroll files - 7 ( 3 Completed , 4 query posted)
Completed Mails - 1
</t>
    </r>
    <r>
      <rPr>
        <rFont val="Arial"/>
        <b/>
        <color theme="1"/>
      </rPr>
      <t>Booked Hrs - 3.14</t>
    </r>
  </si>
  <si>
    <t>Tottal files - 11
Completed - 5 (DIA &amp; Gateway)
Inprogress  - 5 
Payroll files - 7 ( 3 Completed , 4 query posted)
Query Posted - 1
Mails - 3
Est - 6 hrs
Divisha will process the file</t>
  </si>
  <si>
    <r>
      <rPr>
        <rFont val="Arial"/>
        <color theme="1"/>
      </rPr>
      <t xml:space="preserve">
Tottal files - 11
Completed - 6 (DIA &amp; Gateway)
Inprogress  - 2
Payroll files - 7 ( 3 Completed , 4 query posted)
Query Posted - 2
Completed Mails - 3
</t>
    </r>
    <r>
      <rPr>
        <rFont val="Arial"/>
        <b/>
        <color theme="1"/>
      </rPr>
      <t>Booked Hrs - 2.97</t>
    </r>
  </si>
  <si>
    <t>Weekly meeting with the client at 5.30 p.m. IST - Renate was unable to join the meeting hence cancelled</t>
  </si>
  <si>
    <t>Tottal files - 11
Completed - 4 (DIA &amp; Gateway)
Inprogress  - 2 
Payroll files - 7 ( 3 Completed , 4 query posted)
Query Posted - 5
Est - 6 hrs
Divisha will process the file</t>
  </si>
  <si>
    <r>
      <rPr>
        <rFont val="Arial"/>
        <color theme="1"/>
      </rPr>
      <t xml:space="preserve">Tottal files - 11
Completed - 5 (DIA &amp; Gateway)
Query Posted - 6
Payroll files - 7 ( 3 Completed , 4 query posted)
</t>
    </r>
    <r>
      <rPr>
        <rFont val="Arial"/>
        <b/>
        <color theme="1"/>
      </rPr>
      <t>Booked Hrs - 5.77</t>
    </r>
  </si>
  <si>
    <t>Tottal files - 11
Completed - 4 (DIA &amp; Gateway)
Query Posted - 7
Payroll files - 7 ( 3 Completed , 4 query posted)
No work</t>
  </si>
  <si>
    <t>No Work</t>
  </si>
  <si>
    <t>Waiting for client response to process the files</t>
  </si>
  <si>
    <t>Tottal files - 11
Completed - 4 (DIA &amp; Gateway)
Inprogress  - 2 
Payroll files - 7 ( 3 Completed , 4 query posted)
Query Posted - 5
Est - 4 hrs
Divisha will process the file</t>
  </si>
  <si>
    <r>
      <rPr>
        <rFont val="Arial"/>
        <color theme="1"/>
      </rPr>
      <t xml:space="preserve">Tottal files - 11
Completed - 5 (DIA &amp; Gateway)
Inprogress  - 1
Payroll files - 7 ( 3 Completed , 4 query posted)
Query Posted - 5
</t>
    </r>
    <r>
      <rPr>
        <rFont val="Arial"/>
        <b/>
        <color theme="1"/>
      </rPr>
      <t>Booked hrs - 6.15</t>
    </r>
  </si>
  <si>
    <t>Tottal files - 11
Completed - 5 (DIA &amp; Gateway)
Inprogress  - 1 
Payroll files - 7 ( 3 Completed , 4 query posted)
Query Posted - 5
Est - 4 hrs
Divisha will process the file</t>
  </si>
  <si>
    <t>Tottal files - 11
Completed - 6 (DIA &amp; Gateway)
Payroll files - 7 ( 3 Completed , 4 query posted)
Query Posted - 5
Booked Hrs - 1.82</t>
  </si>
  <si>
    <t>Need to get code from Renate for Well Fargo on 11/26/24 at 9.15 a.m.</t>
  </si>
  <si>
    <t>Tottal files - 11
Completed - 6 (DIA &amp; Gateway)
Payroll files - 7 ( 3 Completed , 4 query posted)
Query Posted - 5
No Work</t>
  </si>
  <si>
    <t>Meeting with Renate @5.30 p.m. IST
Booked Hrs - 1.07</t>
  </si>
  <si>
    <t>Need to get code from Renate for Well Fargo on 11/26/24 at 9.15 a.m.
Got the code from Renate and able to access Wells Fargo</t>
  </si>
  <si>
    <t>Tottal files - 11
Completed - 10 (DIA &amp; Gateway)
Payroll files - 7 ( 3 Completed , 4 query posted)
Query Posted - 1
No Work</t>
  </si>
  <si>
    <t>Booked Hrs - 0.40</t>
  </si>
  <si>
    <t>Tottal files - 11
Inprogess - 11 (DIA, Gateway)
Est - 6
Divisha will process</t>
  </si>
  <si>
    <r>
      <rPr>
        <rFont val="Arial"/>
        <color theme="1"/>
      </rPr>
      <t xml:space="preserve">Tottal files - 11
Inprogess - 9 
Query Posted - 2 file (DIA, Gateway)
</t>
    </r>
    <r>
      <rPr>
        <rFont val="Arial"/>
        <b/>
        <color theme="1"/>
      </rPr>
      <t>Booked Hrs - 3.82</t>
    </r>
  </si>
  <si>
    <r>
      <rPr>
        <rFont val="Arial"/>
        <color theme="1"/>
      </rPr>
      <t xml:space="preserve">Tottal files - 11
Inprogess - 9
Query Posted - 2 files (DIA, Gateway)
</t>
    </r>
    <r>
      <rPr>
        <rFont val="Arial"/>
        <b/>
        <color theme="1"/>
      </rPr>
      <t>Booked Hrs - 3.41</t>
    </r>
  </si>
  <si>
    <r>
      <rPr>
        <rFont val="Arial"/>
        <color theme="1"/>
      </rPr>
      <t xml:space="preserve">Tottal files - 11
Inprogess - 9
Query Posted - 2 ((DIA, Gateway))
</t>
    </r>
    <r>
      <rPr>
        <rFont val="Arial"/>
        <b/>
        <color theme="1"/>
      </rPr>
      <t>Booked Hrs - 3.73</t>
    </r>
  </si>
  <si>
    <t>Weekly meeting with Renate at 5.30 p.m. IST
Message from Renate - this happened last month also, where the client saved the docs in the next month's folder. So he saved Nov docs in 12DecDIA. I have moved them. When you start working on the financials, can you please always save the point sheet and bank statements etc in Canopy as you are working on it rather than waiting until the end when you finish? This will allow me to jump in if I need to finish the financials. Also, he doesn't always upload them on the first day of the month (same point as last month), so please give him a day or two to upload the documents. Thanks.
Reply - Thank you for the update regarding the documents. Just to inform you, we have been checking both the Nov and Dec 2024 month folders over the past few days, and we noticed that the client uploaded the documents yesterday, which was after our EOD. As you mentioned, we will wait until the 4th of each month for the documents to be uploaded and will follow up with the client if they haven't been received by then.
Additionally, thank you for reiterating the importance of uploading the point sheet and bank statements to Canopy. As per our standard procedure, we are already uploading the updated point sheet by our EOD whenever we work on the financials. Please confirm if you are able to view our updated point sheet in Canopy.</t>
  </si>
  <si>
    <t>Tottal files - 11
Inprogess - 9
1099 - 11 files(4 priority) 
Query Posted - 2 files (DIA, Gateway)
Est - 6
Divisha will process</t>
  </si>
  <si>
    <r>
      <rPr>
        <rFont val="Arial"/>
        <color theme="1"/>
      </rPr>
      <t xml:space="preserve">Tottal files - 11
Inprogess - 9
1099 - 11 files(4 priority) 
Completed - 1 (1099 file)
Query Posted - 2 files (DIA, Gateway)
</t>
    </r>
    <r>
      <rPr>
        <rFont val="Arial"/>
        <b/>
        <color theme="1"/>
      </rPr>
      <t>Booked Hrs - 4.23</t>
    </r>
  </si>
  <si>
    <t>Tottal files - 11
Inprogess - 9
1099 - 11 files
Prioirty - 3 priority)
Process - 7 files
Completed - 1 file
Mails - 5
Query Posted - 2 files (DIA, Gateway)
Est - 6
Divisha will process</t>
  </si>
  <si>
    <r>
      <rPr>
        <rFont val="Arial"/>
        <color theme="1"/>
      </rPr>
      <t xml:space="preserve">Tottal files - 11
Inprogess - 9
1099 - 11 files
Prioirty - 1 (In process)
Process - 5 files
Completed - 2 file
Query Posted - 1 
Mails - 5
Query Posted - 2 files (DIA, Gateway)
</t>
    </r>
    <r>
      <rPr>
        <rFont val="Arial"/>
        <b/>
        <color theme="1"/>
      </rPr>
      <t xml:space="preserve">Booked Hrs - 3.40 </t>
    </r>
  </si>
  <si>
    <t>Tottal files - 12
Inprogess - 11
Completed - 1
1099 - 11 files
Prioirty - (2 priority)
Process - 7 files
Completed - 1 file
Est - 6
Divisha will process</t>
  </si>
  <si>
    <r>
      <rPr>
        <rFont val="Arial"/>
        <color theme="1"/>
      </rPr>
      <t xml:space="preserve">Tottal files - 12
Inprogess - 11
Completed - 1
1099 - 11 files
Prioirty - (2 priority)
Process - 7 files
Completed - 1 file
</t>
    </r>
    <r>
      <rPr>
        <rFont val="Arial"/>
        <b/>
        <color theme="1"/>
      </rPr>
      <t>Booked Hrs - 10.21</t>
    </r>
  </si>
  <si>
    <t>Tottal files - 12
Inprogess - 11
Completed - 1
1099 - 11 files
Prioirty - (2 priority)
Process - 7 files
Completed - 1 file
Est - 8
Divisha &amp; Nithisha will process</t>
  </si>
  <si>
    <r>
      <rPr>
        <rFont val="Arial"/>
        <color theme="1"/>
      </rPr>
      <t xml:space="preserve">Tottal files - 12
Inprogess - 10 (1 query posted)
Completed - 1
1099 - 11 files
In Process Prioirty - (2 priority)
In Process - 7 files
Completed - 1 file
</t>
    </r>
    <r>
      <rPr>
        <rFont val="Arial"/>
        <b/>
        <color theme="1"/>
      </rPr>
      <t>Booked Hrs - 8.17</t>
    </r>
  </si>
  <si>
    <t>Tottal files - 12
Inprogess - 11
Completed - 1
1099 - 11 files
Prioirty - (2 priority)
Process - 7 files
Completed - 1 file
Est - 4
Divisha will process</t>
  </si>
  <si>
    <r>
      <rPr>
        <rFont val="Arial"/>
        <color theme="1"/>
      </rPr>
      <t xml:space="preserve">Tottal files - 12
Inprogess - 11
Completed - 1
1099 - 11 files
Prioirty - (2 priority)
Process - 7 files
Completed - 1 file
</t>
    </r>
    <r>
      <rPr>
        <rFont val="Arial"/>
        <b/>
        <color theme="1"/>
      </rPr>
      <t>Booked Hrs - 2.00</t>
    </r>
  </si>
  <si>
    <t>Weekly meeting with Renate at 5.30 p.m. IST</t>
  </si>
  <si>
    <r>
      <rPr>
        <rFont val="Arial"/>
        <color theme="1"/>
      </rPr>
      <t xml:space="preserve">Tottal files - 12
Inprogess - 11
Completed - 1
1099 - 11 files
Prioirty - (2 priority)
Process - 7 files
Completed - 1 file
</t>
    </r>
    <r>
      <rPr>
        <rFont val="Arial"/>
        <b/>
        <color theme="1"/>
      </rPr>
      <t>Booked Hrs .5.16</t>
    </r>
  </si>
  <si>
    <t>Tottal files - 12
Inprogess - 10
query posted  - (Gateway)
Completed - 1
1099 - 11 files
Prioirty - (1 priority)
Process - 7 files
Completed - 3 file
Est - 4 hrs
Divisha will process</t>
  </si>
  <si>
    <r>
      <rPr>
        <rFont val="Arial"/>
        <color theme="1"/>
      </rPr>
      <t xml:space="preserve">Tottal files - 12
Inprogess - 10
query posted  - (Gateway)
Completed - 1
1099 - 11 files
Prioirty - (1 priority)
Process - 7 files
Completed - 3 file
</t>
    </r>
    <r>
      <rPr>
        <rFont val="Arial"/>
        <b/>
        <color theme="1"/>
      </rPr>
      <t>Booked hrs - 5.49</t>
    </r>
  </si>
  <si>
    <t>Tottal files - 12
Inprogess - 10
Completed - 1
1099 - 11 files
Prioirty - (1 priority)
Process - 7 files
Completed - 2 file
query posted - 1 file
Est - 4 hrs
Divisha will process</t>
  </si>
  <si>
    <r>
      <rPr>
        <rFont val="Arial"/>
        <color theme="1"/>
      </rPr>
      <t xml:space="preserve">Tottal files - 12
Inprogess - 10
Completed - 2 (Gateway)
1099 - 11 files
Prioirty - (1 priority)
Process - 7 files
Completed - 2 file
query posted - 1 file
</t>
    </r>
    <r>
      <rPr>
        <rFont val="Arial"/>
        <b/>
        <color theme="1"/>
      </rPr>
      <t>Booked Hrs - 5.98</t>
    </r>
  </si>
  <si>
    <t>Tottal files - 12
Inprogess - 10
Completed - 2
1099 - 11 files
Prioirty - (1 priority)
Process - 7 files
Completed - 2 file
query posted - 1 file
Est - 6 hrs
Divisha will process</t>
  </si>
  <si>
    <r>
      <rPr>
        <rFont val="Arial"/>
        <color theme="1"/>
      </rPr>
      <t xml:space="preserve">Tottal files - 12
Inprogess - 10
Completed - 2
1099 - 11 files
Completed - 2  (1 priority)
Process - 7 files
Completed - 2 file
query posted - 1 file
</t>
    </r>
    <r>
      <rPr>
        <rFont val="Arial"/>
        <b/>
        <color theme="1"/>
      </rPr>
      <t>Booked Hrs - 2.91</t>
    </r>
  </si>
  <si>
    <t>Tottal files - 12
Inprogess - 10
Completed - 2
1099 - 11 files
Process - 6 files
Completed - 4 file
query posted - 1 file
Est - 6 hrs
Divisha will process</t>
  </si>
  <si>
    <r>
      <rPr>
        <rFont val="Arial"/>
        <color theme="1"/>
      </rPr>
      <t xml:space="preserve">Tottal files - 12
Inprogess - 10
Completed - 2
1099 - 11 files
Completed - 2 
Process - 6 files
Completed - 4 file
query posted - 1 file
</t>
    </r>
    <r>
      <rPr>
        <rFont val="Arial"/>
        <b/>
        <color theme="1"/>
      </rPr>
      <t>Booked Hrs - 4.31</t>
    </r>
  </si>
  <si>
    <t>Weekly meeting with Renate at 5.30 p.m. IST - 
As per Renata's message, the call has been rescheduled to tomorrow (12/19/24).</t>
  </si>
  <si>
    <t>Tottal files - 12
Inprogess - 10
Completed - 2
1099 - 11 files
Process - 6 files
Completed - 4 file
query posted - 1 file
Booked Hrs - 2.64</t>
  </si>
  <si>
    <t>Total files - 12
Inprogess - 10
Completed - 2
1099 - 11 files
Process - 7 files
Completed - 3 file
query posted - 1 file
Est - 6 hrs
Divisha will process</t>
  </si>
  <si>
    <t>Total files - 12
Inprogess - 10
Completed - 2
1099 - 11 files
Process - 6 files
Completed - 4 file
query posted - 1 file
Booked Hrs - 2.16</t>
  </si>
  <si>
    <t>Total files - 12
Inprogess - 10
Completed - 2
1099 - 11 files
Process - 8 files
Completed - 3 file
Est - 6 hrs
Divisha will process</t>
  </si>
  <si>
    <t>Total files - 12
Inprogess - 10
Completed - 2
1099 - 11 files
Process - 8 files
Completed - 3 file
Booked Hrs - 2.50</t>
  </si>
  <si>
    <t>Total files - 11
Inprogess - 9
Completed - 2
1099 - 9 files
Process - 4 files
Completed - 5 file
Est - 7 hrs
Divisha will process</t>
  </si>
  <si>
    <t>Total files - 12
Inprogess - 10
Completed - 2
1099 - 9 files
Process - 2 files
Completed - 7 file
Booked Hrs - 4.74</t>
  </si>
  <si>
    <t>Total files - 11
Inprogess - 9
Completed - 2
1099 - 9 files
Process - 2 files
Completed - 7 file
Est - 6 hrs
Divisha will process</t>
  </si>
  <si>
    <t>Total files - 11
Inprogess - 6
Completed - 5
1099 - 9 files
Completed - 9 files
Booked Hrs - 5.21</t>
  </si>
  <si>
    <t>Total files - 11
Inprogess - 5
Completed - 6
1099 - 9 files
Process - 1 files
Completed - 8 file
Est - 6 hrs
Divisha &amp; Uma mageshwari will process</t>
  </si>
  <si>
    <t>Total files - 11
Inprogess - 4
Completed - 7
1099 - 9 files
Process - 1 files
Completed - 8 file
Booked Hrs - 4 hrs</t>
  </si>
  <si>
    <r>
      <rPr>
        <rFont val="Arial"/>
        <b/>
        <color theme="1"/>
      </rPr>
      <t>Renate message on reaching 80 hrs for this month</t>
    </r>
    <r>
      <rPr>
        <rFont val="Arial"/>
        <color theme="1"/>
      </rPr>
      <t xml:space="preserve"> :
thanks for letting me know. You can stop at 80 hrs and pick back up with 1099s next week in the new year before starting on DIA financials. Thanks</t>
    </r>
  </si>
  <si>
    <t>Total files - 11
Inprogess - 4
Completed - 7
1099 - 9 files
Process - 1 files
Completed - 8 file
Est - 4 hrs
Divisha will process</t>
  </si>
  <si>
    <t>Total files - 11
Inprogess - 4
Completed - 7
1099 - 9 files
Process - 1 files
Completed - 8 file
Booked Hrs- 3.14</t>
  </si>
  <si>
    <r>
      <rPr>
        <rFont val="Arial"/>
        <b/>
        <color rgb="FF0000FF"/>
      </rPr>
      <t>Total files - 11</t>
    </r>
    <r>
      <rPr>
        <rFont val="Arial"/>
        <color theme="1"/>
      </rPr>
      <t xml:space="preserve">
Completed - 11
1099 - 9 files
Process - 1 files
Completed - 8 file
Mails - 2
Est - 1 hr
Divisha will process</t>
    </r>
  </si>
  <si>
    <t>Total files - 11
Completed - 11
1099 - 9 files
Completed - 9 files
Booked Hrs - 1.23</t>
  </si>
  <si>
    <t>Message from Renate -  I wanted to let you know that in January, I am going to work on the Gateway financials from start to finish this month. I want to gauge how much time it would take me to prepare. I will let you know if I need help with anything on Gateway. Thanks</t>
  </si>
  <si>
    <r>
      <rPr>
        <rFont val="Arial"/>
        <b/>
        <color rgb="FF0000FF"/>
      </rPr>
      <t xml:space="preserve">Task Total - 10 </t>
    </r>
    <r>
      <rPr>
        <rFont val="Arial"/>
        <color theme="1"/>
      </rPr>
      <t xml:space="preserve">(Divisha)
In Process - 10
</t>
    </r>
    <r>
      <rPr>
        <rFont val="Arial"/>
        <b/>
        <color rgb="FF0000FF"/>
      </rPr>
      <t xml:space="preserve">1099 Task - 8 </t>
    </r>
    <r>
      <rPr>
        <rFont val="Arial"/>
        <color theme="1"/>
      </rPr>
      <t xml:space="preserve">(Divisha
Yet to Start  -8
Mail - 1
</t>
    </r>
    <r>
      <rPr>
        <rFont val="Arial"/>
        <b/>
        <color rgb="FF0000FF"/>
      </rPr>
      <t xml:space="preserve">Payroll Task - 5 </t>
    </r>
    <r>
      <rPr>
        <rFont val="Arial"/>
        <color theme="1"/>
      </rPr>
      <t>(Divisha)
Yet to Start - 5
Est - 6 hrs</t>
    </r>
  </si>
  <si>
    <t>Total files - 10
In Process - 10
1099 Task - 8
Payroll task - 5
Booked Hrs - 5.32</t>
  </si>
  <si>
    <r>
      <rPr>
        <rFont val="Arial"/>
        <b/>
        <color rgb="FF0000FF"/>
      </rPr>
      <t xml:space="preserve">Task Total - 10 </t>
    </r>
    <r>
      <rPr>
        <rFont val="Arial"/>
        <color theme="1"/>
      </rPr>
      <t xml:space="preserve">(Divisha)
In Process - 10
</t>
    </r>
    <r>
      <rPr>
        <rFont val="Arial"/>
        <b/>
        <color rgb="FF0000FF"/>
      </rPr>
      <t xml:space="preserve">1099 Task - 8 </t>
    </r>
    <r>
      <rPr>
        <rFont val="Arial"/>
        <color theme="1"/>
      </rPr>
      <t xml:space="preserve">(Divisha
Yet to Start  -8
</t>
    </r>
    <r>
      <rPr>
        <rFont val="Arial"/>
        <b/>
        <color rgb="FF0000FF"/>
      </rPr>
      <t xml:space="preserve">Payroll Task - 5 </t>
    </r>
    <r>
      <rPr>
        <rFont val="Arial"/>
        <color theme="1"/>
      </rPr>
      <t>(Divisha)
Yet to Start - 5
Est - 6 hrs</t>
    </r>
  </si>
  <si>
    <t>Total files - 10
In Process - 9
Query posted - 1(DIA)
1099 Task - 8
Payroll task - 5
Booked Hrs - 2.82</t>
  </si>
  <si>
    <r>
      <rPr>
        <rFont val="Arial"/>
        <b/>
        <color rgb="FF0000FF"/>
      </rPr>
      <t xml:space="preserve">Task Total - 10 </t>
    </r>
    <r>
      <rPr>
        <rFont val="Arial"/>
        <color theme="1"/>
      </rPr>
      <t xml:space="preserve">(Divisha)
In Process - 9
Query Posted - 1 (DIA)
</t>
    </r>
    <r>
      <rPr>
        <rFont val="Arial"/>
        <b/>
        <color rgb="FF0000FF"/>
      </rPr>
      <t xml:space="preserve">1099 Task - 8 </t>
    </r>
    <r>
      <rPr>
        <rFont val="Arial"/>
        <color theme="1"/>
      </rPr>
      <t xml:space="preserve">(Divisha
Yet to Start  -8
</t>
    </r>
    <r>
      <rPr>
        <rFont val="Arial"/>
        <b/>
        <color rgb="FF0000FF"/>
      </rPr>
      <t xml:space="preserve">Payroll Task - 5 </t>
    </r>
    <r>
      <rPr>
        <rFont val="Arial"/>
        <color theme="1"/>
      </rPr>
      <t xml:space="preserve">(Divisha)
Yet to Start - 5
</t>
    </r>
    <r>
      <rPr>
        <rFont val="Arial"/>
        <b/>
        <color rgb="FF0000FF"/>
      </rPr>
      <t>Mail  - 2</t>
    </r>
    <r>
      <rPr>
        <rFont val="Arial"/>
        <color theme="1"/>
      </rPr>
      <t xml:space="preserve"> (Divisha)
Est - 4 hrs</t>
    </r>
  </si>
  <si>
    <t>Total files - 10
In Process - 9
Query posted - 1(DIA)
1099 Task - 8
Payroll task - 5
Booked Hrs - 2.06</t>
  </si>
  <si>
    <r>
      <rPr>
        <rFont val="Arial"/>
        <b/>
        <color rgb="FF0000FF"/>
      </rPr>
      <t xml:space="preserve">Task Total - 10 </t>
    </r>
    <r>
      <rPr>
        <rFont val="Arial"/>
        <color theme="1"/>
      </rPr>
      <t xml:space="preserve">(Divisha)
In Process - 9
Query Posted - 1 (DIA)
</t>
    </r>
    <r>
      <rPr>
        <rFont val="Arial"/>
        <b/>
        <color rgb="FF0000FF"/>
      </rPr>
      <t xml:space="preserve">1099 Task - 8 </t>
    </r>
    <r>
      <rPr>
        <rFont val="Arial"/>
        <color theme="1"/>
      </rPr>
      <t xml:space="preserve">(Divisha)
Yet to Start  -8
</t>
    </r>
    <r>
      <rPr>
        <rFont val="Arial"/>
        <b/>
        <color rgb="FF0000FF"/>
      </rPr>
      <t xml:space="preserve">Payroll Task - 5 </t>
    </r>
    <r>
      <rPr>
        <rFont val="Arial"/>
        <color theme="1"/>
      </rPr>
      <t>(Divisha)
Yet to Start - 5
Est - 6 hrs</t>
    </r>
  </si>
  <si>
    <t>Total files - 10
In Process - 9
Query posted - 1(DIA)
1099 Task - 8
Payroll task - 5
Booked Hrs - 5.39</t>
  </si>
  <si>
    <r>
      <rPr>
        <rFont val="Arial"/>
        <b/>
        <color rgb="FF0000FF"/>
      </rPr>
      <t xml:space="preserve">Task Total - 10 </t>
    </r>
    <r>
      <rPr>
        <rFont val="Arial"/>
        <color theme="1"/>
      </rPr>
      <t xml:space="preserve">(Divisha)
In Process - 9
Completed - 1 
</t>
    </r>
    <r>
      <rPr>
        <rFont val="Arial"/>
        <b/>
        <color rgb="FF0000FF"/>
      </rPr>
      <t xml:space="preserve">1099 Task - 8 </t>
    </r>
    <r>
      <rPr>
        <rFont val="Arial"/>
        <color theme="1"/>
      </rPr>
      <t xml:space="preserve">(Divisha)
In Process  -8
</t>
    </r>
    <r>
      <rPr>
        <rFont val="Arial"/>
        <b/>
        <color rgb="FF0000FF"/>
      </rPr>
      <t xml:space="preserve">Payroll Task - 5 </t>
    </r>
    <r>
      <rPr>
        <rFont val="Arial"/>
        <color theme="1"/>
      </rPr>
      <t>(Divisha)
Yet to Start - 5
Est - 6 hrs</t>
    </r>
  </si>
  <si>
    <t>Total files - 10
In Process - 9
Completed  - 1(DIA)
1099 Task - 8
Payroll task - 5
Booked Hrs - 5.05</t>
  </si>
  <si>
    <t>Weekly meeting with Renate at 5.30 p.m Ist.</t>
  </si>
  <si>
    <r>
      <rPr>
        <rFont val="Arial"/>
        <b/>
        <color rgb="FF0000FF"/>
      </rPr>
      <t xml:space="preserve">Task Total - 10 </t>
    </r>
    <r>
      <rPr>
        <rFont val="Arial"/>
        <color theme="1"/>
      </rPr>
      <t xml:space="preserve">(Divisha)
In Process - 9
Completed - 1 
</t>
    </r>
    <r>
      <rPr>
        <rFont val="Arial"/>
        <b/>
        <color rgb="FF0000FF"/>
      </rPr>
      <t xml:space="preserve">1099 Task - 8 </t>
    </r>
    <r>
      <rPr>
        <rFont val="Arial"/>
        <color theme="1"/>
      </rPr>
      <t xml:space="preserve">(Divisha)
In Process  -8
</t>
    </r>
    <r>
      <rPr>
        <rFont val="Arial"/>
        <b/>
        <color rgb="FF0000FF"/>
      </rPr>
      <t xml:space="preserve">Payroll Task - 5 </t>
    </r>
    <r>
      <rPr>
        <rFont val="Arial"/>
        <color theme="1"/>
      </rPr>
      <t>(Divisha)
Yet to Start - 5
Est - 6 hrs</t>
    </r>
  </si>
  <si>
    <t>Total files - 10
In Process - 8
Query posted - 1
Completed  - 1(DIA)
1099 Task - 6
Query posted - 2
Payroll task - 5
Booked Hrs - 2.24</t>
  </si>
  <si>
    <t>Message from Renate: Re: St. Andrews. Please note this client is a NON Profit. There would never be Owner's pay or personal expenses/transactions. If you are not sure where something is supposed to be coded, please code to Ask my Accountant &amp; send me an email with a list of items so I can copy &amp; paste the list to the client.</t>
  </si>
  <si>
    <r>
      <rPr>
        <rFont val="Arial"/>
        <b/>
        <color rgb="FF0000FF"/>
      </rPr>
      <t xml:space="preserve">Task Total - 10 </t>
    </r>
    <r>
      <rPr>
        <rFont val="Arial"/>
        <color theme="1"/>
      </rPr>
      <t xml:space="preserve">(Divisha)
In Process - 8
Review - 1
Completed - 1 
</t>
    </r>
    <r>
      <rPr>
        <rFont val="Arial"/>
        <b/>
        <color rgb="FF0000FF"/>
      </rPr>
      <t xml:space="preserve">1099 Task - 8 </t>
    </r>
    <r>
      <rPr>
        <rFont val="Arial"/>
        <color theme="1"/>
      </rPr>
      <t xml:space="preserve">(Divisha)
In Process  -6
Posted Query - 2
</t>
    </r>
    <r>
      <rPr>
        <rFont val="Arial"/>
        <b/>
        <color rgb="FF0000FF"/>
      </rPr>
      <t xml:space="preserve">Payroll Task - 5 </t>
    </r>
    <r>
      <rPr>
        <rFont val="Arial"/>
        <color theme="1"/>
      </rPr>
      <t>(Divisha)
Yet to Start - 5
Est - 6 hrs</t>
    </r>
  </si>
  <si>
    <r>
      <rPr>
        <rFont val="Arial"/>
        <b/>
        <color rgb="FF0000FF"/>
      </rPr>
      <t xml:space="preserve">Task Total - 10 </t>
    </r>
    <r>
      <rPr>
        <rFont val="Arial"/>
        <color theme="1"/>
      </rPr>
      <t xml:space="preserve">(Divisha)
In Process - 8
Review - 1
Completed - 1 
</t>
    </r>
    <r>
      <rPr>
        <rFont val="Arial"/>
        <b/>
        <color rgb="FF0000FF"/>
      </rPr>
      <t xml:space="preserve">1099 Task - 8 </t>
    </r>
    <r>
      <rPr>
        <rFont val="Arial"/>
        <color theme="1"/>
      </rPr>
      <t xml:space="preserve">(Divisha)
In Process  -6
Posted Query - 2
</t>
    </r>
    <r>
      <rPr>
        <rFont val="Arial"/>
        <b/>
        <color rgb="FF0000FF"/>
      </rPr>
      <t xml:space="preserve">Payroll Task - 5 </t>
    </r>
    <r>
      <rPr>
        <rFont val="Arial"/>
        <color theme="1"/>
      </rPr>
      <t>(Divisha)
Yet to Start - 5
Booked Hrs - 1.65</t>
    </r>
  </si>
  <si>
    <r>
      <rPr>
        <rFont val="Arial"/>
        <b/>
        <color rgb="FF0000FF"/>
      </rPr>
      <t xml:space="preserve">Task Total - 10 </t>
    </r>
    <r>
      <rPr>
        <rFont val="Arial"/>
        <color theme="1"/>
      </rPr>
      <t xml:space="preserve">(Divisha)
In Process - 8
Reconciliation - 1
Completed - 1 
</t>
    </r>
    <r>
      <rPr>
        <rFont val="Arial"/>
        <b/>
        <color rgb="FF0000FF"/>
      </rPr>
      <t xml:space="preserve">1099 Task - 8 </t>
    </r>
    <r>
      <rPr>
        <rFont val="Arial"/>
        <color theme="1"/>
      </rPr>
      <t xml:space="preserve">(Divisha)
In Process  -6
Posted Query - 2
</t>
    </r>
    <r>
      <rPr>
        <rFont val="Arial"/>
        <b/>
        <color rgb="FF0000FF"/>
      </rPr>
      <t xml:space="preserve">Payroll Task - 5 </t>
    </r>
    <r>
      <rPr>
        <rFont val="Arial"/>
        <color theme="1"/>
      </rPr>
      <t>(Divisha)
Yet to Start - 5
Est - 6 hrs</t>
    </r>
  </si>
  <si>
    <r>
      <rPr>
        <rFont val="Arial"/>
        <b/>
        <color rgb="FF0000FF"/>
      </rPr>
      <t xml:space="preserve">Task Total - 10 </t>
    </r>
    <r>
      <rPr>
        <rFont val="Arial"/>
        <color theme="1"/>
      </rPr>
      <t xml:space="preserve">(Divisha)
Review -8
Completed - 2
</t>
    </r>
    <r>
      <rPr>
        <rFont val="Arial"/>
        <b/>
        <color rgb="FF0000FF"/>
      </rPr>
      <t xml:space="preserve">1099 Task - 8 </t>
    </r>
    <r>
      <rPr>
        <rFont val="Arial"/>
        <color theme="1"/>
      </rPr>
      <t xml:space="preserve">(Divisha)
In Process  - 3
Posted Query - 3
completed - 2
</t>
    </r>
    <r>
      <rPr>
        <rFont val="Arial"/>
        <b/>
        <color rgb="FF0000FF"/>
      </rPr>
      <t xml:space="preserve">Payroll Task - 5 </t>
    </r>
    <r>
      <rPr>
        <rFont val="Arial"/>
        <color theme="1"/>
      </rPr>
      <t>(Divisha)
Yet to Start - 5
Booked Hrs - 4.54</t>
    </r>
  </si>
  <si>
    <t>I started looking at the books for GRA to work on 1099s and just by looking at a 2024 P&amp;L by month there are a few things that just popped out as wrong in December.
Reframe Conference $1,000 coded to Legal/Professional Fees - all other conferences have been coded to Education &amp; Training.
Minturn Family Chimney $152.12 coded to Job Supplies. Job Supplies is not a GL that is ever used by GRA... This was a Victory Custom Homes expense that GRA paid for. Needs to be coded to Due to/from Victory in GRA &amp; recorded in Victory as repairs/maintenance for 2200 Ray Hubbard.
QBO subscription fees were coded to QBO Merchant deposit fees. $250.51 and $557.43. These 2 costs are monthly and have been coded to Computer Expense for the whole year except December. 
Are you looking at the transaction history for expenses in the bank feed? If they are new vendors and you're not sure, I'd rather you put them to AMA or ask or message me instead of me finding stuff and having to correct it. That takes twice as long. Are any of the books being reviewed by Kokila or someone? I need to know if I'm going to have to review the books for all our bookkeeping clients for coding.</t>
  </si>
  <si>
    <t>Reply - Thank you for sharing your feedback. We want to inform you that the December 2024 file has not yet been reviewed. As the 1099 process is marked as 'Low' in Canopy, we are yet to complete the review. We are currently working on the reconciliation of all files for December 2024. Also, we have completed the 1099s for DIA and St. Andrew Legacy, reviewed and posted queries on the 1099s for Alliance and Victory Custom Home up to December 2024, and are yet to process the 1099 reviews for the remaining files: AC &amp; Heat, J&amp;F Utility, and GRA Admin. Our goal is to complete the monthly bookkeeping review for December 2024 and finalize the 1099 process for all files by the end of this week.
Below are our inputs and actions based on your feedback:
Categorization of "Conference" Memo: Moving forward, we will categorize any transactions with the "Conference" mention as "Education &amp; Training." We have updated our procedure to reflect this change.
Vendor Categorization: Based on our Google search for this vendor, we have categorized the transaction as "Job Supplies." Since we don’t have details to confirm it belongs to Victory Custom Home, we will categorize such transactions as "AMA" and notify you for clarification in the future.
QBO Subscriptions: These transactions were automatically added to QBO. However, we have edited the rules to prevent such errors in the future.
Additionally, we are referring to the transaction history before categorizing transactions in the bank feed. Going forward, we will notify you of new vendors and their categories in the comments section of the respective task in Canopy. If we are unable to categorize a transaction, we will assign it to "AMA" and either discuss it in our weekly meeting or upload a list in Canopy, notifying you in the comments.
For your reference, the file review process is being managed by Divisha and me. We will ensure a thorough review to incorporate your inputs and minimize the possibility of any oversights on our part. Thank you for your continued guidance and support.</t>
  </si>
  <si>
    <r>
      <rPr>
        <rFont val="Arial"/>
        <b/>
        <color rgb="FF0000FF"/>
      </rPr>
      <t xml:space="preserve">Task Total - 10 </t>
    </r>
    <r>
      <rPr>
        <rFont val="Arial"/>
        <color theme="1"/>
      </rPr>
      <t xml:space="preserve">(Divisha)
In Process - 8
Completed - 2
</t>
    </r>
    <r>
      <rPr>
        <rFont val="Arial"/>
        <b/>
        <color rgb="FF0000FF"/>
      </rPr>
      <t xml:space="preserve">1099 Task - 8 </t>
    </r>
    <r>
      <rPr>
        <rFont val="Arial"/>
        <color theme="1"/>
      </rPr>
      <t xml:space="preserve">(Divisha)
In Process  -3
Posted Query - 3
Completed - 2
</t>
    </r>
    <r>
      <rPr>
        <rFont val="Arial"/>
        <b/>
        <color rgb="FF0000FF"/>
      </rPr>
      <t xml:space="preserve">Payroll Task - 5 </t>
    </r>
    <r>
      <rPr>
        <rFont val="Arial"/>
        <color theme="1"/>
      </rPr>
      <t>(Divisha)
Yet to Start - 5
Est - 6 hrs</t>
    </r>
  </si>
  <si>
    <r>
      <rPr>
        <rFont val="Arial"/>
        <b/>
        <color rgb="FF0000FF"/>
      </rPr>
      <t xml:space="preserve">Task Total - 10 </t>
    </r>
    <r>
      <rPr>
        <rFont val="Arial"/>
        <color theme="1"/>
      </rPr>
      <t xml:space="preserve">(Divisha)
In Process - 7
Completed - 3
</t>
    </r>
    <r>
      <rPr>
        <rFont val="Arial"/>
        <b/>
        <color rgb="FF0000FF"/>
      </rPr>
      <t xml:space="preserve">1099 Task - 8 </t>
    </r>
    <r>
      <rPr>
        <rFont val="Arial"/>
        <color theme="1"/>
      </rPr>
      <t xml:space="preserve">(Divisha)
In Process  -3
Posted Query - 3
Completed - 2
</t>
    </r>
    <r>
      <rPr>
        <rFont val="Arial"/>
        <b/>
        <color rgb="FF0000FF"/>
      </rPr>
      <t xml:space="preserve">Payroll Task - 5 </t>
    </r>
    <r>
      <rPr>
        <rFont val="Arial"/>
        <color theme="1"/>
      </rPr>
      <t>(Divisha)
Yet to Start - 5
Booked hrs - 2.80</t>
    </r>
  </si>
  <si>
    <t>Weekly meeting with Renate at 5.30 p.m.</t>
  </si>
  <si>
    <r>
      <rPr>
        <rFont val="Arial"/>
        <b/>
        <color rgb="FF0000FF"/>
      </rPr>
      <t xml:space="preserve">Task Total - 10 </t>
    </r>
    <r>
      <rPr>
        <rFont val="Arial"/>
        <color theme="1"/>
      </rPr>
      <t xml:space="preserve">(Divisha)
In Process - 8
Completed - 2
</t>
    </r>
    <r>
      <rPr>
        <rFont val="Arial"/>
        <b/>
        <color rgb="FF0000FF"/>
      </rPr>
      <t xml:space="preserve">1099 Task - 9 </t>
    </r>
    <r>
      <rPr>
        <rFont val="Arial"/>
        <color theme="1"/>
      </rPr>
      <t xml:space="preserve">(Divisha)
In Process  -2
Posted Query - 4
Completed - 3
</t>
    </r>
    <r>
      <rPr>
        <rFont val="Arial"/>
        <b/>
        <color rgb="FF0000FF"/>
      </rPr>
      <t xml:space="preserve">Payroll Task - 5 </t>
    </r>
    <r>
      <rPr>
        <rFont val="Arial"/>
        <color theme="1"/>
      </rPr>
      <t>(Divisha)
Yet to Start - 5
Est - 5 hrs</t>
    </r>
  </si>
  <si>
    <r>
      <rPr>
        <rFont val="Arial"/>
        <b/>
        <color rgb="FF0000FF"/>
      </rPr>
      <t xml:space="preserve">Task Total - 10 </t>
    </r>
    <r>
      <rPr>
        <rFont val="Arial"/>
        <color theme="1"/>
      </rPr>
      <t xml:space="preserve">(Divisha)
In Process - 6
Completed - 4
</t>
    </r>
    <r>
      <rPr>
        <rFont val="Arial"/>
        <b/>
        <color rgb="FF0000FF"/>
      </rPr>
      <t xml:space="preserve">1099 Task - 8 </t>
    </r>
    <r>
      <rPr>
        <rFont val="Arial"/>
        <color theme="1"/>
      </rPr>
      <t xml:space="preserve">(Divisha)
In Process  -2
Posted Query - 4
Completed - 2
</t>
    </r>
    <r>
      <rPr>
        <rFont val="Arial"/>
        <b/>
        <color rgb="FF0000FF"/>
      </rPr>
      <t xml:space="preserve">Payroll Task - 5 </t>
    </r>
    <r>
      <rPr>
        <rFont val="Arial"/>
        <color theme="1"/>
      </rPr>
      <t>(Divisha)
Yet to Start - 5
Booked hrs - 2.73</t>
    </r>
  </si>
  <si>
    <r>
      <rPr>
        <rFont val="Arial"/>
        <b/>
        <color rgb="FF0000FF"/>
      </rPr>
      <t xml:space="preserve">Task Total - 10 </t>
    </r>
    <r>
      <rPr>
        <rFont val="Arial"/>
        <color theme="1"/>
      </rPr>
      <t xml:space="preserve">(Divisha)
In Process - 6
Completed - 4
</t>
    </r>
    <r>
      <rPr>
        <rFont val="Arial"/>
        <b/>
        <color rgb="FF0000FF"/>
      </rPr>
      <t xml:space="preserve">1099 Task - 9 </t>
    </r>
    <r>
      <rPr>
        <rFont val="Arial"/>
        <color theme="1"/>
      </rPr>
      <t xml:space="preserve">(Divisha)
In Process  -2
Posted Query - 4
Completed - 3
</t>
    </r>
    <r>
      <rPr>
        <rFont val="Arial"/>
        <b/>
        <color rgb="FF0000FF"/>
      </rPr>
      <t xml:space="preserve">Payroll Task - 5 </t>
    </r>
    <r>
      <rPr>
        <rFont val="Arial"/>
        <color theme="1"/>
      </rPr>
      <t>(Divisha)
Yet to Start - 5
Est - 5 hrs</t>
    </r>
  </si>
  <si>
    <r>
      <rPr>
        <rFont val="Arial"/>
        <b/>
        <color rgb="FF0000FF"/>
      </rPr>
      <t xml:space="preserve">Task Total - 10 </t>
    </r>
    <r>
      <rPr>
        <rFont val="Arial"/>
        <color theme="1"/>
      </rPr>
      <t xml:space="preserve">(Divisha)
In Process - 6
Completed - 4
</t>
    </r>
    <r>
      <rPr>
        <rFont val="Arial"/>
        <b/>
        <color rgb="FF0000FF"/>
      </rPr>
      <t xml:space="preserve">1099 Task - 9 </t>
    </r>
    <r>
      <rPr>
        <rFont val="Arial"/>
        <color theme="1"/>
      </rPr>
      <t xml:space="preserve">(Divisha)
In Process  -2
Posted Query - 4
Completed - 3
</t>
    </r>
    <r>
      <rPr>
        <rFont val="Arial"/>
        <b/>
        <color rgb="FF0000FF"/>
      </rPr>
      <t xml:space="preserve">Payroll Task - 5 </t>
    </r>
    <r>
      <rPr>
        <rFont val="Arial"/>
        <color theme="1"/>
      </rPr>
      <t>(Divisha)
Yet to Start - 5
Booked Hrs - 7.29</t>
    </r>
  </si>
  <si>
    <r>
      <rPr>
        <rFont val="Arial"/>
        <b/>
        <color rgb="FF0000FF"/>
      </rPr>
      <t xml:space="preserve">Task Total - 10 </t>
    </r>
    <r>
      <rPr>
        <rFont val="Arial"/>
        <color theme="1"/>
      </rPr>
      <t xml:space="preserve">(Divisha)
In Process - 5
Completed - 5
</t>
    </r>
    <r>
      <rPr>
        <rFont val="Arial"/>
        <b/>
        <color rgb="FF0000FF"/>
      </rPr>
      <t xml:space="preserve">1099 Task - 9 </t>
    </r>
    <r>
      <rPr>
        <rFont val="Arial"/>
        <color theme="1"/>
      </rPr>
      <t xml:space="preserve">(Divisha)
In Process  - 2 (Netsuite)
Posted Query - 4
Completed - 3
</t>
    </r>
    <r>
      <rPr>
        <rFont val="Arial"/>
        <b/>
        <color rgb="FF0000FF"/>
      </rPr>
      <t xml:space="preserve">Payroll Task - 5 </t>
    </r>
    <r>
      <rPr>
        <rFont val="Arial"/>
        <color theme="1"/>
      </rPr>
      <t>(Divisha)
Yet to Start - 5
Est - 5 hrs</t>
    </r>
  </si>
  <si>
    <r>
      <rPr>
        <rFont val="Arial"/>
        <b/>
        <color rgb="FF0000FF"/>
      </rPr>
      <t xml:space="preserve">Task Total - 10 </t>
    </r>
    <r>
      <rPr>
        <rFont val="Arial"/>
        <color theme="1"/>
      </rPr>
      <t xml:space="preserve">(Divisha)
In Process - 5
Completed - 5
</t>
    </r>
    <r>
      <rPr>
        <rFont val="Arial"/>
        <b/>
        <color rgb="FF0000FF"/>
      </rPr>
      <t xml:space="preserve">1099 Task - 9 </t>
    </r>
    <r>
      <rPr>
        <rFont val="Arial"/>
        <color theme="1"/>
      </rPr>
      <t xml:space="preserve">(Divisha)
In Process  - 1 (Netsuite)
Posted Query - 5
Completed - 3
</t>
    </r>
    <r>
      <rPr>
        <rFont val="Arial"/>
        <b/>
        <color rgb="FF0000FF"/>
      </rPr>
      <t xml:space="preserve">Payroll Task - 5 </t>
    </r>
    <r>
      <rPr>
        <rFont val="Arial"/>
        <color theme="1"/>
      </rPr>
      <t>(Divisha)
Yet to Start - 5
Booked Hrs - 8.66</t>
    </r>
  </si>
  <si>
    <r>
      <rPr>
        <rFont val="Arial"/>
        <b/>
        <color rgb="FF0000FF"/>
      </rPr>
      <t xml:space="preserve">Task Total - 10 </t>
    </r>
    <r>
      <rPr>
        <rFont val="Arial"/>
        <color theme="1"/>
      </rPr>
      <t xml:space="preserve">(Divisha)
In Process - 5
Completed - 5
</t>
    </r>
    <r>
      <rPr>
        <rFont val="Arial"/>
        <b/>
        <color rgb="FF0000FF"/>
      </rPr>
      <t xml:space="preserve">1099 Task - 9 </t>
    </r>
    <r>
      <rPr>
        <rFont val="Arial"/>
        <color theme="1"/>
      </rPr>
      <t xml:space="preserve">(Divisha)
In Process  - 1 (Netsuite)
Posted Query - 5
Completed - 3
</t>
    </r>
    <r>
      <rPr>
        <rFont val="Arial"/>
        <b/>
        <color rgb="FF0000FF"/>
      </rPr>
      <t xml:space="preserve">Payroll Task - 5 </t>
    </r>
    <r>
      <rPr>
        <rFont val="Arial"/>
        <color theme="1"/>
      </rPr>
      <t>(Divisha)
Yet to Start - 5
Est - 5 hrs</t>
    </r>
  </si>
  <si>
    <r>
      <rPr>
        <rFont val="Arial"/>
        <b/>
        <color rgb="FF0000FF"/>
      </rPr>
      <t xml:space="preserve">Task Total - 10 </t>
    </r>
    <r>
      <rPr>
        <rFont val="Arial"/>
        <color theme="1"/>
      </rPr>
      <t xml:space="preserve">(Divisha)
In Process - 3
Completed - 4
Posted Query - 3
</t>
    </r>
    <r>
      <rPr>
        <rFont val="Arial"/>
        <b/>
        <color rgb="FF0000FF"/>
      </rPr>
      <t xml:space="preserve">1099 Task - 9 </t>
    </r>
    <r>
      <rPr>
        <rFont val="Arial"/>
        <color theme="1"/>
      </rPr>
      <t xml:space="preserve">(Divisha)
In Process  - 1 (Netsuite)
Posted Query - 5
Completed - 3
</t>
    </r>
    <r>
      <rPr>
        <rFont val="Arial"/>
        <b/>
        <color rgb="FF0000FF"/>
      </rPr>
      <t xml:space="preserve">Payroll Task - 5 </t>
    </r>
    <r>
      <rPr>
        <rFont val="Arial"/>
        <color theme="1"/>
      </rPr>
      <t>(Divisha)
Yet to Start - 5
Booked Hrs - 3.4</t>
    </r>
  </si>
  <si>
    <t>Unable to login GRA Outlook. Posted query to Renate</t>
  </si>
  <si>
    <r>
      <rPr>
        <rFont val="Arial"/>
        <b/>
        <color rgb="FF0000FF"/>
      </rPr>
      <t xml:space="preserve">Task Total - 10 </t>
    </r>
    <r>
      <rPr>
        <rFont val="Arial"/>
        <color theme="1"/>
      </rPr>
      <t xml:space="preserve">(Divisha)
In Process - 3
Completed - 4
Posted Query - 3
</t>
    </r>
    <r>
      <rPr>
        <rFont val="Arial"/>
        <b/>
        <color rgb="FF0000FF"/>
      </rPr>
      <t xml:space="preserve">1099 Task - 9 </t>
    </r>
    <r>
      <rPr>
        <rFont val="Arial"/>
        <color theme="1"/>
      </rPr>
      <t xml:space="preserve">(Divisha)
In Process  - 2 (Netsuite)
Posted Query - 4
Completed - 3
</t>
    </r>
    <r>
      <rPr>
        <rFont val="Arial"/>
        <b/>
        <color rgb="FF0000FF"/>
      </rPr>
      <t xml:space="preserve">Payroll Task - 5 </t>
    </r>
    <r>
      <rPr>
        <rFont val="Arial"/>
        <color theme="1"/>
      </rPr>
      <t>(Divisha)
Yet to Start - 5
Est - 5 hrs</t>
    </r>
  </si>
  <si>
    <r>
      <rPr>
        <rFont val="Arial"/>
        <b/>
        <color rgb="FF0000FF"/>
      </rPr>
      <t xml:space="preserve">Task Total - 10 </t>
    </r>
    <r>
      <rPr>
        <rFont val="Arial"/>
        <color theme="1"/>
      </rPr>
      <t xml:space="preserve">(Divisha)
In Process - 1
Completed - 6
Posted Query - 3
</t>
    </r>
    <r>
      <rPr>
        <rFont val="Arial"/>
        <b/>
        <color rgb="FF0000FF"/>
      </rPr>
      <t xml:space="preserve">1099 Task - 9 </t>
    </r>
    <r>
      <rPr>
        <rFont val="Arial"/>
        <color theme="1"/>
      </rPr>
      <t xml:space="preserve">(Divisha)
In Process  - 1 (Netsuite)
Posted Query - 5
Completed - 3
</t>
    </r>
    <r>
      <rPr>
        <rFont val="Arial"/>
        <b/>
        <color rgb="FF0000FF"/>
      </rPr>
      <t xml:space="preserve">Payroll Task - 5 </t>
    </r>
    <r>
      <rPr>
        <rFont val="Arial"/>
        <color theme="1"/>
      </rPr>
      <t>(Divisha)
Yet to Start - 5
Booked Hrs- 4.56</t>
    </r>
  </si>
  <si>
    <t>Able to login GRA Outlook mail.</t>
  </si>
  <si>
    <r>
      <rPr>
        <rFont val="Arial"/>
        <b/>
        <color rgb="FF0000FF"/>
      </rPr>
      <t xml:space="preserve">Task Total - 10 </t>
    </r>
    <r>
      <rPr>
        <rFont val="Arial"/>
        <color theme="1"/>
      </rPr>
      <t xml:space="preserve">(Divisha)
In Process - 1
Completed - 6
Posted Query - 3
</t>
    </r>
    <r>
      <rPr>
        <rFont val="Arial"/>
        <b/>
        <color rgb="FF0000FF"/>
      </rPr>
      <t xml:space="preserve">1099 Task - 9 </t>
    </r>
    <r>
      <rPr>
        <rFont val="Arial"/>
        <color theme="1"/>
      </rPr>
      <t xml:space="preserve">(Divisha)
In Process  - 1 (Netsuite)
Posted Query - 5
Completed - 3
</t>
    </r>
    <r>
      <rPr>
        <rFont val="Arial"/>
        <b/>
        <color rgb="FF0000FF"/>
      </rPr>
      <t xml:space="preserve">Payroll Task - 5 </t>
    </r>
    <r>
      <rPr>
        <rFont val="Arial"/>
        <color theme="1"/>
      </rPr>
      <t>(Divisha)
Yet to Start - 5
Est - 5 hrs</t>
    </r>
  </si>
  <si>
    <r>
      <rPr>
        <rFont val="Arial"/>
        <b/>
        <color rgb="FF0000FF"/>
      </rPr>
      <t xml:space="preserve">Task Total - 10 </t>
    </r>
    <r>
      <rPr>
        <rFont val="Arial"/>
        <color theme="1"/>
      </rPr>
      <t xml:space="preserve">(Divisha)
Completed - 7
Posted Query - 3
</t>
    </r>
    <r>
      <rPr>
        <rFont val="Arial"/>
        <b/>
        <color rgb="FF0000FF"/>
      </rPr>
      <t xml:space="preserve">1099 Task - 9 </t>
    </r>
    <r>
      <rPr>
        <rFont val="Arial"/>
        <color theme="1"/>
      </rPr>
      <t xml:space="preserve">(Divisha)
In Process  - 1 (Netsuite)
Posted Query - 5
Completed - 3
</t>
    </r>
    <r>
      <rPr>
        <rFont val="Arial"/>
        <b/>
        <color rgb="FF0000FF"/>
      </rPr>
      <t xml:space="preserve">Payroll Task - 5 </t>
    </r>
    <r>
      <rPr>
        <rFont val="Arial"/>
        <color theme="1"/>
      </rPr>
      <t>(Divisha)
Completed - 1
In Process - 4
Booked Hrs- 2.48</t>
    </r>
  </si>
  <si>
    <t>Weekly meeting with Renate at 5.30 p.m.(Cancelled) 
Rescheduled to tommorrow at 5.30 p.m</t>
  </si>
  <si>
    <r>
      <rPr>
        <rFont val="Arial"/>
        <b/>
        <color rgb="FF0000FF"/>
      </rPr>
      <t xml:space="preserve">Task Total - 10 </t>
    </r>
    <r>
      <rPr>
        <rFont val="Arial"/>
        <color theme="1"/>
      </rPr>
      <t xml:space="preserve">(Divisha)
Completed - 7
Posted Query - 3
</t>
    </r>
    <r>
      <rPr>
        <rFont val="Arial"/>
        <b/>
        <color rgb="FF0000FF"/>
      </rPr>
      <t xml:space="preserve">1099 Task - 9 </t>
    </r>
    <r>
      <rPr>
        <rFont val="Arial"/>
        <color theme="1"/>
      </rPr>
      <t xml:space="preserve">(Divisha)
In Process  - 1 (Netsuite)
Posted Query - 5
Completed - 3
</t>
    </r>
    <r>
      <rPr>
        <rFont val="Arial"/>
        <b/>
        <color rgb="FF0000FF"/>
      </rPr>
      <t xml:space="preserve">Payroll Task - 5 </t>
    </r>
    <r>
      <rPr>
        <rFont val="Arial"/>
        <color theme="1"/>
      </rPr>
      <t>(Divisha)
Completed - 1
In Process - 4
Est - 5 hrs</t>
    </r>
  </si>
  <si>
    <r>
      <rPr>
        <rFont val="Arial"/>
        <b/>
        <color rgb="FF0000FF"/>
      </rPr>
      <t xml:space="preserve">Task Total - 10 </t>
    </r>
    <r>
      <rPr>
        <rFont val="Arial"/>
        <color theme="1"/>
      </rPr>
      <t xml:space="preserve">(Divisha)
Completed - 7
Posted Query - 3
</t>
    </r>
    <r>
      <rPr>
        <rFont val="Arial"/>
        <b/>
        <color rgb="FF0000FF"/>
      </rPr>
      <t xml:space="preserve">1099 Task - 9 </t>
    </r>
    <r>
      <rPr>
        <rFont val="Arial"/>
        <color theme="1"/>
      </rPr>
      <t xml:space="preserve">(Divisha)
In Process  - 1 (Netsuite)
Posted Query - 5
Completed - 3
</t>
    </r>
    <r>
      <rPr>
        <rFont val="Arial"/>
        <b/>
        <color rgb="FF0000FF"/>
      </rPr>
      <t xml:space="preserve">Payroll Task - 5 </t>
    </r>
    <r>
      <rPr>
        <rFont val="Arial"/>
        <color theme="1"/>
      </rPr>
      <t>(Divisha)
Completed - 1
In Process - 4
Booked Hrs - 4.06</t>
    </r>
  </si>
  <si>
    <r>
      <rPr>
        <rFont val="Arial"/>
        <b/>
        <color rgb="FF0000FF"/>
      </rPr>
      <t xml:space="preserve">Task Total - 10 </t>
    </r>
    <r>
      <rPr>
        <rFont val="Arial"/>
        <color theme="1"/>
      </rPr>
      <t xml:space="preserve">
In Process - 2 (Uma)
Completed - 7
Posted Query - 1
</t>
    </r>
    <r>
      <rPr>
        <rFont val="Arial"/>
        <b/>
        <color rgb="FF0000FF"/>
      </rPr>
      <t xml:space="preserve">1099 Task - 9 </t>
    </r>
    <r>
      <rPr>
        <rFont val="Arial"/>
        <color theme="1"/>
      </rPr>
      <t xml:space="preserve">(Divisha)
In Process  - 1 (Netsuite)
Posted Query - 5
Completed - 3
</t>
    </r>
    <r>
      <rPr>
        <rFont val="Arial"/>
        <b/>
        <color rgb="FF0000FF"/>
      </rPr>
      <t xml:space="preserve">Payroll Task - 5 </t>
    </r>
    <r>
      <rPr>
        <rFont val="Arial"/>
        <color theme="1"/>
      </rPr>
      <t>(Divisha)
Completed - 1
In Process - 4
Est - 8 hrs</t>
    </r>
  </si>
  <si>
    <r>
      <rPr>
        <rFont val="Arial"/>
        <b/>
        <color rgb="FF0000FF"/>
      </rPr>
      <t xml:space="preserve">Task Total - 10 </t>
    </r>
    <r>
      <rPr>
        <rFont val="Arial"/>
        <color theme="1"/>
      </rPr>
      <t xml:space="preserve">
In Process - 2 (Uma)
Completed - 7
Posted Query - 1
</t>
    </r>
    <r>
      <rPr>
        <rFont val="Arial"/>
        <b/>
        <color rgb="FF0000FF"/>
      </rPr>
      <t xml:space="preserve">1099 Task - 9 </t>
    </r>
    <r>
      <rPr>
        <rFont val="Arial"/>
        <color theme="1"/>
      </rPr>
      <t xml:space="preserve">(Divisha)
In Process  - 1 (Netsuite)
Posted Query - 5
Completed - 3
</t>
    </r>
    <r>
      <rPr>
        <rFont val="Arial"/>
        <b/>
        <color rgb="FF0000FF"/>
      </rPr>
      <t xml:space="preserve">Payroll Task - 5 </t>
    </r>
    <r>
      <rPr>
        <rFont val="Arial"/>
        <color theme="1"/>
      </rPr>
      <t>(Divisha)
Completed - 1
In Process - 4
Booked Hrs - 8.82</t>
    </r>
  </si>
  <si>
    <r>
      <rPr>
        <rFont val="Arial"/>
        <b/>
        <color rgb="FF0000FF"/>
      </rPr>
      <t xml:space="preserve">Task Total - 10 </t>
    </r>
    <r>
      <rPr>
        <rFont val="Arial"/>
        <color theme="1"/>
      </rPr>
      <t xml:space="preserve">
In Process - 1 (Divisha)
Completed - 7
Posted Query - 1
</t>
    </r>
    <r>
      <rPr>
        <rFont val="Arial"/>
        <b/>
        <color rgb="FF0000FF"/>
      </rPr>
      <t xml:space="preserve">1099 Task - 9 </t>
    </r>
    <r>
      <rPr>
        <rFont val="Arial"/>
        <color theme="1"/>
      </rPr>
      <t xml:space="preserve">(Divisha)
In Process  - 1 (Netsuite)
Posted Query - 5
Completed - 3
</t>
    </r>
    <r>
      <rPr>
        <rFont val="Arial"/>
        <b/>
        <color rgb="FF0000FF"/>
      </rPr>
      <t xml:space="preserve">Payroll Task - 5 </t>
    </r>
    <r>
      <rPr>
        <rFont val="Arial"/>
        <color theme="1"/>
      </rPr>
      <t>(Divisha)
Completed - 1
In Process - 4
Est - 5 hrs</t>
    </r>
  </si>
  <si>
    <r>
      <rPr>
        <rFont val="Arial"/>
        <b/>
        <color rgb="FF0000FF"/>
      </rPr>
      <t xml:space="preserve">Task Total - 10 </t>
    </r>
    <r>
      <rPr>
        <rFont val="Arial"/>
        <color theme="1"/>
      </rPr>
      <t xml:space="preserve">
Completed - 8
Posted Query - 2
</t>
    </r>
    <r>
      <rPr>
        <rFont val="Arial"/>
        <b/>
        <color rgb="FF0000FF"/>
      </rPr>
      <t xml:space="preserve">1099 Task - 9 </t>
    </r>
    <r>
      <rPr>
        <rFont val="Arial"/>
        <color theme="1"/>
      </rPr>
      <t xml:space="preserve">(Divisha)
Posted Query - 6
Completed - 3
</t>
    </r>
    <r>
      <rPr>
        <rFont val="Arial"/>
        <b/>
        <color rgb="FF0000FF"/>
      </rPr>
      <t xml:space="preserve">Payroll Task - 5 </t>
    </r>
    <r>
      <rPr>
        <rFont val="Arial"/>
        <color theme="1"/>
      </rPr>
      <t>(Divisha)
Completed - 2
In Process - 3
Booked Hrs - 2.97</t>
    </r>
  </si>
  <si>
    <r>
      <rPr>
        <rFont val="Arial"/>
        <b/>
        <color rgb="FF0000FF"/>
      </rPr>
      <t xml:space="preserve">Task Total - 10 </t>
    </r>
    <r>
      <rPr>
        <rFont val="Arial"/>
        <color theme="1"/>
      </rPr>
      <t xml:space="preserve">
Completed - 8
Posted Query - 2
</t>
    </r>
    <r>
      <rPr>
        <rFont val="Arial"/>
        <b/>
        <color rgb="FF0000FF"/>
      </rPr>
      <t xml:space="preserve">1099 Task - 9 </t>
    </r>
    <r>
      <rPr>
        <rFont val="Arial"/>
        <color theme="1"/>
      </rPr>
      <t xml:space="preserve">(Divisha)
Posted Query - 6
Completed - 3
</t>
    </r>
    <r>
      <rPr>
        <rFont val="Arial"/>
        <b/>
        <color rgb="FF0000FF"/>
      </rPr>
      <t xml:space="preserve">Payroll Task - 5 </t>
    </r>
    <r>
      <rPr>
        <rFont val="Arial"/>
        <color theme="1"/>
      </rPr>
      <t>(Divisha)
Completed - 2
In Process - 3
Est - 4 hrs</t>
    </r>
  </si>
  <si>
    <r>
      <rPr>
        <rFont val="Arial"/>
        <b/>
        <color rgb="FF0000FF"/>
      </rPr>
      <t xml:space="preserve">Task Total - 10 </t>
    </r>
    <r>
      <rPr>
        <rFont val="Arial"/>
        <color theme="1"/>
      </rPr>
      <t xml:space="preserve">
Completed - 8
Posted Query - 2
</t>
    </r>
    <r>
      <rPr>
        <rFont val="Arial"/>
        <b/>
        <color rgb="FF0000FF"/>
      </rPr>
      <t xml:space="preserve">1099 Task - 9 </t>
    </r>
    <r>
      <rPr>
        <rFont val="Arial"/>
        <color theme="1"/>
      </rPr>
      <t xml:space="preserve">(Divisha)
Posted Query - 6
Completed - 3
</t>
    </r>
    <r>
      <rPr>
        <rFont val="Arial"/>
        <b/>
        <color rgb="FF0000FF"/>
      </rPr>
      <t xml:space="preserve">Payroll Task - 5 </t>
    </r>
    <r>
      <rPr>
        <rFont val="Arial"/>
        <color theme="1"/>
      </rPr>
      <t>(Divisha)
Completed - 3
In Process - 2
Booked hrs  2.65</t>
    </r>
  </si>
  <si>
    <r>
      <rPr>
        <rFont val="Arial"/>
        <b/>
        <color rgb="FF0000FF"/>
      </rPr>
      <t xml:space="preserve">Task Total - 10 </t>
    </r>
    <r>
      <rPr>
        <rFont val="Arial"/>
        <color theme="1"/>
      </rPr>
      <t xml:space="preserve">
Completed - 8
Posted Query - 2
</t>
    </r>
    <r>
      <rPr>
        <rFont val="Arial"/>
        <b/>
        <color rgb="FF0000FF"/>
      </rPr>
      <t xml:space="preserve">1099 Task - 9 </t>
    </r>
    <r>
      <rPr>
        <rFont val="Arial"/>
        <color theme="1"/>
      </rPr>
      <t xml:space="preserve">(Kokila)
In Process - 2
Posted Query - 4
Completed - 3
</t>
    </r>
    <r>
      <rPr>
        <rFont val="Arial"/>
        <b/>
        <color rgb="FF0000FF"/>
      </rPr>
      <t xml:space="preserve">Payroll Task - 5 </t>
    </r>
    <r>
      <rPr>
        <rFont val="Arial"/>
        <color theme="1"/>
      </rPr>
      <t>(Kokila)
Completed - 3
In Process - 2
Est - 4 hrs</t>
    </r>
  </si>
  <si>
    <r>
      <rPr>
        <rFont val="Arial"/>
        <b/>
        <color rgb="FF0000FF"/>
      </rPr>
      <t xml:space="preserve">Task Total - 10 </t>
    </r>
    <r>
      <rPr>
        <rFont val="Arial"/>
        <color theme="1"/>
      </rPr>
      <t xml:space="preserve">
Completed - 8
Posted Query - 2
</t>
    </r>
    <r>
      <rPr>
        <rFont val="Arial"/>
        <b/>
        <color rgb="FF0000FF"/>
      </rPr>
      <t xml:space="preserve">1099 Task - 9 </t>
    </r>
    <r>
      <rPr>
        <rFont val="Arial"/>
        <color theme="1"/>
      </rPr>
      <t xml:space="preserve">(Kokila)
Posted Query - 6
Completed - 3
</t>
    </r>
    <r>
      <rPr>
        <rFont val="Arial"/>
        <b/>
        <color rgb="FF0000FF"/>
      </rPr>
      <t xml:space="preserve">Payroll Task - 5 </t>
    </r>
    <r>
      <rPr>
        <rFont val="Arial"/>
        <color theme="1"/>
      </rPr>
      <t>(Kokila)
Completed - 3
In Process - 2
Booked hrs - 1.50</t>
    </r>
  </si>
  <si>
    <r>
      <rPr>
        <rFont val="Arial"/>
        <b/>
        <color rgb="FF0000FF"/>
      </rPr>
      <t xml:space="preserve">Task Total - 10 </t>
    </r>
    <r>
      <rPr>
        <rFont val="Arial"/>
        <color theme="1"/>
      </rPr>
      <t xml:space="preserve">
Completed - 8
Posted Query - 2
</t>
    </r>
    <r>
      <rPr>
        <rFont val="Arial"/>
        <b/>
        <color rgb="FF0000FF"/>
      </rPr>
      <t xml:space="preserve">1099 Task - 9 </t>
    </r>
    <r>
      <rPr>
        <rFont val="Arial"/>
        <color theme="1"/>
      </rPr>
      <t xml:space="preserve">(Divisha)
In Process - 1
Posted Query - 4
Completed - 3
</t>
    </r>
    <r>
      <rPr>
        <rFont val="Arial"/>
        <b/>
        <color rgb="FF0000FF"/>
      </rPr>
      <t xml:space="preserve">Payroll Task - 5 </t>
    </r>
    <r>
      <rPr>
        <rFont val="Arial"/>
        <color theme="1"/>
      </rPr>
      <t>(Divisha)
Completed - 3
In Process - 2
Est - 4 hrs</t>
    </r>
  </si>
  <si>
    <r>
      <rPr>
        <rFont val="Arial"/>
        <b/>
        <color rgb="FF0000FF"/>
      </rPr>
      <t xml:space="preserve">Task Total - 10 </t>
    </r>
    <r>
      <rPr>
        <rFont val="Arial"/>
        <color theme="1"/>
      </rPr>
      <t xml:space="preserve">
Completed - 8
Posted Query - 2
</t>
    </r>
    <r>
      <rPr>
        <rFont val="Arial"/>
        <b/>
        <color rgb="FF0000FF"/>
      </rPr>
      <t xml:space="preserve">1099 Task - 9 </t>
    </r>
    <r>
      <rPr>
        <rFont val="Arial"/>
        <color theme="1"/>
      </rPr>
      <t xml:space="preserve">(Divisha)
Posted Query - 6
Completed - 3
</t>
    </r>
    <r>
      <rPr>
        <rFont val="Arial"/>
        <b/>
        <color rgb="FF0000FF"/>
      </rPr>
      <t xml:space="preserve">Payroll Task - 5 </t>
    </r>
    <r>
      <rPr>
        <rFont val="Arial"/>
        <color theme="1"/>
      </rPr>
      <t>(Divisha)
Completed - 3
In Process - 1
Query posted - 1
Booked hrs - 3.64</t>
    </r>
  </si>
  <si>
    <r>
      <rPr>
        <rFont val="Arial"/>
        <b/>
        <color rgb="FF0000FF"/>
      </rPr>
      <t xml:space="preserve">Task Total - 11
</t>
    </r>
    <r>
      <rPr>
        <rFont val="Arial"/>
        <color theme="1"/>
      </rPr>
      <t xml:space="preserve">Clean up(Process) - 1
Completed - 8
Posted Query - 2
</t>
    </r>
    <r>
      <rPr>
        <rFont val="Arial"/>
        <b/>
        <color rgb="FF0000FF"/>
      </rPr>
      <t xml:space="preserve">1099 Task - 9 </t>
    </r>
    <r>
      <rPr>
        <rFont val="Arial"/>
        <color theme="1"/>
      </rPr>
      <t xml:space="preserve">(Divisha)
Posted Query - 6
Completed - 3
</t>
    </r>
    <r>
      <rPr>
        <rFont val="Arial"/>
        <b/>
        <color rgb="FF0000FF"/>
      </rPr>
      <t xml:space="preserve">Payroll Task - 5 </t>
    </r>
    <r>
      <rPr>
        <rFont val="Arial"/>
        <color theme="1"/>
      </rPr>
      <t>(Divisha)
Completed - 3
In Process - 1
Query posted - 1
Est - 4 hrs</t>
    </r>
  </si>
  <si>
    <r>
      <rPr>
        <rFont val="Arial"/>
        <b/>
        <color rgb="FF0000FF"/>
      </rPr>
      <t xml:space="preserve">Task Total - 11
</t>
    </r>
    <r>
      <rPr>
        <rFont val="Arial"/>
        <color theme="1"/>
      </rPr>
      <t xml:space="preserve">Clean up(Process) - 1
Completed - 8
Posted Query - 2
</t>
    </r>
    <r>
      <rPr>
        <rFont val="Arial"/>
        <b/>
        <color rgb="FF0000FF"/>
      </rPr>
      <t xml:space="preserve">1099 Task - 9 </t>
    </r>
    <r>
      <rPr>
        <rFont val="Arial"/>
        <color theme="1"/>
      </rPr>
      <t xml:space="preserve">(Divisha)
Posted Query - 6
Completed - 3
</t>
    </r>
    <r>
      <rPr>
        <rFont val="Arial"/>
        <b/>
        <color rgb="FF0000FF"/>
      </rPr>
      <t xml:space="preserve">Payroll Task - 5 </t>
    </r>
    <r>
      <rPr>
        <rFont val="Arial"/>
        <color theme="1"/>
      </rPr>
      <t>(Divisha)
Completed - 3
Query posted - 2
Booked hrs - 2.41</t>
    </r>
  </si>
  <si>
    <r>
      <rPr>
        <rFont val="Arial"/>
        <b/>
        <color rgb="FF0000FF"/>
      </rPr>
      <t xml:space="preserve">Task Total - 11
</t>
    </r>
    <r>
      <rPr>
        <rFont val="Arial"/>
        <color theme="1"/>
      </rPr>
      <t xml:space="preserve">Clean up(Process) - 1 (Kokila)
Completed - 8
Posted Query - 2
</t>
    </r>
    <r>
      <rPr>
        <rFont val="Arial"/>
        <b/>
        <color rgb="FF0000FF"/>
      </rPr>
      <t xml:space="preserve">1099 Task - 9 </t>
    </r>
    <r>
      <rPr>
        <rFont val="Arial"/>
        <color theme="1"/>
      </rPr>
      <t xml:space="preserve">
Posted Query - 6
Completed - 3
</t>
    </r>
    <r>
      <rPr>
        <rFont val="Arial"/>
        <b/>
        <color rgb="FF0000FF"/>
      </rPr>
      <t xml:space="preserve">Payroll Task - 5 </t>
    </r>
    <r>
      <rPr>
        <rFont val="Arial"/>
        <color theme="1"/>
      </rPr>
      <t>(Kokila)
Completed - 3
In Process - 1
Query posted - 1
Est - 2 hrs</t>
    </r>
  </si>
  <si>
    <r>
      <rPr>
        <rFont val="Arial"/>
        <b/>
        <color rgb="FF0000FF"/>
      </rPr>
      <t xml:space="preserve">Task Total - 11
</t>
    </r>
    <r>
      <rPr>
        <rFont val="Arial"/>
        <color theme="1"/>
      </rPr>
      <t xml:space="preserve">Clean up(Process) - 1 (Kokila)
Completed - 8
Posted Query - 2
</t>
    </r>
    <r>
      <rPr>
        <rFont val="Arial"/>
        <b/>
        <color rgb="FF0000FF"/>
      </rPr>
      <t xml:space="preserve">1099 Task - 9 </t>
    </r>
    <r>
      <rPr>
        <rFont val="Arial"/>
        <color theme="1"/>
      </rPr>
      <t xml:space="preserve">
Posted Query - 6
Completed - 3
</t>
    </r>
    <r>
      <rPr>
        <rFont val="Arial"/>
        <b/>
        <color rgb="FF0000FF"/>
      </rPr>
      <t xml:space="preserve">Payroll Task - 5 </t>
    </r>
    <r>
      <rPr>
        <rFont val="Arial"/>
        <color theme="1"/>
      </rPr>
      <t>(Kokila)
Completed - 3
Query posted - 2
BOOKED hRS - 2 hRS</t>
    </r>
  </si>
  <si>
    <r>
      <rPr>
        <rFont val="Arial"/>
        <b/>
        <color rgb="FF0000FF"/>
      </rPr>
      <t xml:space="preserve">Task Total - 11 </t>
    </r>
    <r>
      <rPr>
        <rFont val="Arial"/>
        <color theme="1"/>
      </rPr>
      <t>(Divisha)</t>
    </r>
    <r>
      <rPr>
        <rFont val="Arial"/>
        <b/>
        <color rgb="FF0000FF"/>
      </rPr>
      <t xml:space="preserve">
</t>
    </r>
    <r>
      <rPr>
        <rFont val="Arial"/>
        <color theme="1"/>
      </rPr>
      <t xml:space="preserve">Clean up(Process) - 1 
In Process - 10
</t>
    </r>
    <r>
      <rPr>
        <rFont val="Arial"/>
        <b/>
        <color rgb="FF0000FF"/>
      </rPr>
      <t xml:space="preserve">1099 Task - 9 </t>
    </r>
    <r>
      <rPr>
        <rFont val="Arial"/>
        <color theme="1"/>
      </rPr>
      <t xml:space="preserve">
Posted Query - 6
</t>
    </r>
    <r>
      <rPr>
        <rFont val="Arial"/>
        <b/>
        <color rgb="FF0000FF"/>
      </rPr>
      <t xml:space="preserve">Payroll Task - 5 </t>
    </r>
    <r>
      <rPr>
        <rFont val="Arial"/>
        <color theme="1"/>
      </rPr>
      <t xml:space="preserve">
Query posted - 1
Est - 4 hrs</t>
    </r>
  </si>
  <si>
    <r>
      <rPr>
        <rFont val="Arial"/>
        <b/>
        <color rgb="FF0000FF"/>
      </rPr>
      <t xml:space="preserve">Task Total - 11 </t>
    </r>
    <r>
      <rPr>
        <rFont val="Arial"/>
        <color rgb="FF1D1C1D"/>
      </rPr>
      <t>(Divisha)</t>
    </r>
    <r>
      <rPr>
        <rFont val="Arial"/>
        <b/>
        <color rgb="FF0000FF"/>
      </rPr>
      <t xml:space="preserve">
</t>
    </r>
    <r>
      <rPr>
        <rFont val="Arial"/>
        <color theme="1"/>
      </rPr>
      <t xml:space="preserve">Clean up(Process) - 1
In Process - 10
</t>
    </r>
    <r>
      <rPr>
        <rFont val="Arial"/>
        <b/>
        <color rgb="FF0000FF"/>
      </rPr>
      <t xml:space="preserve">1099 Task - 9 </t>
    </r>
    <r>
      <rPr>
        <rFont val="Arial"/>
        <color theme="1"/>
      </rPr>
      <t xml:space="preserve">
Posted Query - 6
</t>
    </r>
    <r>
      <rPr>
        <rFont val="Arial"/>
        <b/>
        <color rgb="FF0000FF"/>
      </rPr>
      <t xml:space="preserve">Payroll Task - 5 </t>
    </r>
    <r>
      <rPr>
        <rFont val="Arial"/>
        <color theme="1"/>
      </rPr>
      <t xml:space="preserve">
Query posted - 1
Booked hrs - 3.89</t>
    </r>
  </si>
  <si>
    <r>
      <rPr>
        <rFont val="Arial"/>
        <b/>
        <color rgb="FF0000FF"/>
      </rPr>
      <t xml:space="preserve">Task Total - 11 </t>
    </r>
    <r>
      <rPr>
        <rFont val="Arial"/>
        <color theme="1"/>
      </rPr>
      <t>(Divisha)</t>
    </r>
    <r>
      <rPr>
        <rFont val="Arial"/>
        <b/>
        <color rgb="FF0000FF"/>
      </rPr>
      <t xml:space="preserve">
</t>
    </r>
    <r>
      <rPr>
        <rFont val="Arial"/>
        <color theme="1"/>
      </rPr>
      <t xml:space="preserve">Clean up(Process) - 1 
In Process - 10
</t>
    </r>
    <r>
      <rPr>
        <rFont val="Arial"/>
        <b/>
        <color rgb="FF0000FF"/>
      </rPr>
      <t>1099 Task - 6</t>
    </r>
    <r>
      <rPr>
        <rFont val="Arial"/>
        <color theme="1"/>
      </rPr>
      <t xml:space="preserve">
Posted Query - 6
</t>
    </r>
    <r>
      <rPr>
        <rFont val="Arial"/>
        <b/>
        <color rgb="FF0000FF"/>
      </rPr>
      <t xml:space="preserve">Payroll Task - 1 </t>
    </r>
    <r>
      <rPr>
        <rFont val="Arial"/>
        <color theme="1"/>
      </rPr>
      <t xml:space="preserve">
Query posted - 1
Est - 4 hrs</t>
    </r>
  </si>
  <si>
    <r>
      <rPr>
        <rFont val="Arial"/>
        <b/>
        <color rgb="FF0000FF"/>
      </rPr>
      <t xml:space="preserve">Task Total - 11 </t>
    </r>
    <r>
      <rPr>
        <rFont val="Arial"/>
        <color rgb="FF1D1C1D"/>
      </rPr>
      <t>(Divisha)</t>
    </r>
    <r>
      <rPr>
        <rFont val="Arial"/>
        <b/>
        <color rgb="FF0000FF"/>
      </rPr>
      <t xml:space="preserve">
</t>
    </r>
    <r>
      <rPr>
        <rFont val="Arial"/>
        <color theme="1"/>
      </rPr>
      <t xml:space="preserve">Clean up(Process) - 1
In Process - 8
Query posted - 2
</t>
    </r>
    <r>
      <rPr>
        <rFont val="Arial"/>
        <b/>
        <color rgb="FF0000FF"/>
      </rPr>
      <t xml:space="preserve">1099 Task - 9 </t>
    </r>
    <r>
      <rPr>
        <rFont val="Arial"/>
        <color theme="1"/>
      </rPr>
      <t xml:space="preserve">
Posted Query - 6
</t>
    </r>
    <r>
      <rPr>
        <rFont val="Arial"/>
        <b/>
        <color rgb="FF0000FF"/>
      </rPr>
      <t xml:space="preserve">Payroll Task - 5 </t>
    </r>
    <r>
      <rPr>
        <rFont val="Arial"/>
        <color theme="1"/>
      </rPr>
      <t xml:space="preserve">
Query posted - 1
Booked hrs - 4.81</t>
    </r>
  </si>
  <si>
    <r>
      <rPr>
        <rFont val="Arial"/>
        <b/>
        <color rgb="FF0000FF"/>
      </rPr>
      <t xml:space="preserve">Task Total - 11 </t>
    </r>
    <r>
      <rPr>
        <rFont val="Arial"/>
        <color theme="1"/>
      </rPr>
      <t>(Divisha)</t>
    </r>
    <r>
      <rPr>
        <rFont val="Arial"/>
        <b/>
        <color rgb="FF0000FF"/>
      </rPr>
      <t xml:space="preserve">
</t>
    </r>
    <r>
      <rPr>
        <rFont val="Arial"/>
        <color theme="1"/>
      </rPr>
      <t xml:space="preserve">Clean up(Process) - 1 
In Process - 8
Posted Query - 2
</t>
    </r>
    <r>
      <rPr>
        <rFont val="Arial"/>
        <b/>
        <color rgb="FF0000FF"/>
      </rPr>
      <t>1099 Task - 6</t>
    </r>
    <r>
      <rPr>
        <rFont val="Arial"/>
        <color theme="1"/>
      </rPr>
      <t xml:space="preserve">
Posted Query - 6
</t>
    </r>
    <r>
      <rPr>
        <rFont val="Arial"/>
        <b/>
        <color rgb="FF0000FF"/>
      </rPr>
      <t xml:space="preserve">Payroll Task - 1 </t>
    </r>
    <r>
      <rPr>
        <rFont val="Arial"/>
        <color theme="1"/>
      </rPr>
      <t xml:space="preserve">
Query posted - 1
Est - 4 hrs</t>
    </r>
  </si>
  <si>
    <r>
      <rPr>
        <rFont val="Arial"/>
        <b/>
        <color rgb="FF0000FF"/>
      </rPr>
      <t xml:space="preserve">Task Total - 11 </t>
    </r>
    <r>
      <rPr>
        <rFont val="Arial"/>
        <color theme="1"/>
      </rPr>
      <t xml:space="preserve">(Divisha)
In Process - 9
Posted Query - 2
</t>
    </r>
    <r>
      <rPr>
        <rFont val="Arial"/>
        <b/>
        <color rgb="FF0000FF"/>
      </rPr>
      <t>1099 Task - 6</t>
    </r>
    <r>
      <rPr>
        <rFont val="Arial"/>
        <color theme="1"/>
      </rPr>
      <t xml:space="preserve">
Posted Query - 6
</t>
    </r>
    <r>
      <rPr>
        <rFont val="Arial"/>
        <b/>
        <color rgb="FF0000FF"/>
      </rPr>
      <t xml:space="preserve">Payroll Task - 1 </t>
    </r>
    <r>
      <rPr>
        <rFont val="Arial"/>
        <color theme="1"/>
      </rPr>
      <t xml:space="preserve">
Query posted - 1
Booked hrs - 6.32</t>
    </r>
  </si>
  <si>
    <r>
      <rPr>
        <rFont val="Arial"/>
        <b/>
        <color rgb="FF0000FF"/>
      </rPr>
      <t xml:space="preserve">Task Total - 11 </t>
    </r>
    <r>
      <rPr>
        <rFont val="Arial"/>
        <color theme="1"/>
      </rPr>
      <t xml:space="preserve">(Divisha)
In Process - 9(DIA)
Posted Query - 2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Est - 4 hrs</t>
    </r>
  </si>
  <si>
    <r>
      <rPr>
        <rFont val="Arial"/>
        <b/>
        <color rgb="FF0000FF"/>
      </rPr>
      <t xml:space="preserve">Task Total - 11 </t>
    </r>
    <r>
      <rPr>
        <rFont val="Arial"/>
        <color theme="1"/>
      </rPr>
      <t xml:space="preserve">(Divisha)
In Process - 11(DIA)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Booked hrs - 4.34</t>
    </r>
  </si>
  <si>
    <r>
      <rPr>
        <rFont val="Arial"/>
        <color theme="1"/>
      </rPr>
      <t xml:space="preserve">Weekly meeting with Renate at 5.30p.m IST
1099 Task
</t>
    </r>
    <r>
      <rPr>
        <rFont val="Arial"/>
        <b/>
        <color rgb="FF0000FF"/>
      </rPr>
      <t>Posted Query - 5</t>
    </r>
    <r>
      <rPr>
        <rFont val="Arial"/>
        <color theme="1"/>
      </rPr>
      <t xml:space="preserve"> (waiting on W9)
MTL Construction
AC and Healt
Alliance
J&amp;F Utility
Nordic Pure
</t>
    </r>
    <r>
      <rPr>
        <rFont val="Arial"/>
        <b/>
        <color rgb="FF0000FF"/>
      </rPr>
      <t>Payroll Task - 1</t>
    </r>
    <r>
      <rPr>
        <rFont val="Arial"/>
        <color theme="1"/>
      </rPr>
      <t xml:space="preserve"> (Waiting on Client Response)
Lincoln Consulting</t>
    </r>
  </si>
  <si>
    <r>
      <rPr>
        <rFont val="Arial"/>
        <b/>
        <color rgb="FF0000FF"/>
      </rPr>
      <t xml:space="preserve">Task Total - 11 </t>
    </r>
    <r>
      <rPr>
        <rFont val="Arial"/>
        <color theme="1"/>
      </rPr>
      <t xml:space="preserve">(Divisha)
In Process - 10
Posted Query - 2 (DIA)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Est - 8 hrs</t>
    </r>
  </si>
  <si>
    <r>
      <rPr>
        <rFont val="Arial"/>
        <b/>
        <color rgb="FF0000FF"/>
      </rPr>
      <t xml:space="preserve">Task Total - 11 </t>
    </r>
    <r>
      <rPr>
        <rFont val="Arial"/>
        <color theme="1"/>
      </rPr>
      <t xml:space="preserve">(Divisha)
In Process - 10
Posted Query - 2 (DIA)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Booked Hrs - 5.99</t>
    </r>
  </si>
  <si>
    <r>
      <rPr>
        <rFont val="Arial"/>
        <color theme="1"/>
      </rPr>
      <t xml:space="preserve">
1099 Task
Posted Query - 2 
DIA
St. Andrew's Legacy
</t>
    </r>
    <r>
      <rPr>
        <rFont val="Arial"/>
        <b/>
        <color rgb="FF0000FF"/>
      </rPr>
      <t>Posted Query - 5</t>
    </r>
    <r>
      <rPr>
        <rFont val="Arial"/>
        <color theme="1"/>
      </rPr>
      <t xml:space="preserve"> (waiting on W9)
MTL Construction
AC and Healt
Alliance
J&amp;F Utility
Nordic Pure
</t>
    </r>
    <r>
      <rPr>
        <rFont val="Arial"/>
        <b/>
        <color rgb="FF0000FF"/>
      </rPr>
      <t>Payroll Task - 1</t>
    </r>
    <r>
      <rPr>
        <rFont val="Arial"/>
        <color theme="1"/>
      </rPr>
      <t xml:space="preserve"> (Waiting on Client Response)
Lincoln Consulting</t>
    </r>
  </si>
  <si>
    <r>
      <rPr>
        <rFont val="Arial"/>
        <b/>
        <color rgb="FF0000FF"/>
      </rPr>
      <t xml:space="preserve">Task Total - 12 </t>
    </r>
    <r>
      <rPr>
        <rFont val="Arial"/>
        <color theme="1"/>
      </rPr>
      <t xml:space="preserve">(Divisha)
In Process - 9
Posted Query - 3 (DIA &amp; gateway)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Est - 8 hrs</t>
    </r>
  </si>
  <si>
    <r>
      <rPr>
        <rFont val="Arial"/>
        <b/>
        <color rgb="FF0000FF"/>
      </rPr>
      <t xml:space="preserve">Task Total - 12 </t>
    </r>
    <r>
      <rPr>
        <rFont val="Arial"/>
        <color theme="1"/>
      </rPr>
      <t xml:space="preserve">(Divisha)
In Process - 5 
Posted Query - 6 (DIA)
Completed - 1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Booked Hrs - 4.87</t>
    </r>
  </si>
  <si>
    <r>
      <rPr>
        <rFont val="Arial"/>
        <b/>
        <color rgb="FF0000FF"/>
      </rPr>
      <t>Monthly Task</t>
    </r>
    <r>
      <rPr>
        <rFont val="Arial"/>
        <color theme="1"/>
      </rPr>
      <t xml:space="preserve">
Posted Query - 6
DIA
St. Andrew's Legacy
GRA Admin
Sirius Vapor
AC &amp; Heat
Gateway(Waiting on client)
</t>
    </r>
    <r>
      <rPr>
        <rFont val="Arial"/>
        <b/>
        <color rgb="FF0000FF"/>
      </rPr>
      <t>1099 Posted Query - 5</t>
    </r>
    <r>
      <rPr>
        <rFont val="Arial"/>
        <color theme="1"/>
      </rPr>
      <t xml:space="preserve"> (waiting on W9)
MTL Construction
AC and Healt
Alliance
J&amp;F Utility
Nordic Pure
</t>
    </r>
    <r>
      <rPr>
        <rFont val="Arial"/>
        <b/>
        <color rgb="FF0000FF"/>
      </rPr>
      <t>Payroll Task - 1</t>
    </r>
    <r>
      <rPr>
        <rFont val="Arial"/>
        <color theme="1"/>
      </rPr>
      <t xml:space="preserve"> (Waiting on Client Response)
Lincoln Consulting</t>
    </r>
  </si>
  <si>
    <r>
      <rPr>
        <rFont val="Arial"/>
        <b/>
        <color rgb="FF0000FF"/>
      </rPr>
      <t xml:space="preserve">Task Total - 12 </t>
    </r>
    <r>
      <rPr>
        <rFont val="Arial"/>
        <color theme="1"/>
      </rPr>
      <t xml:space="preserve">(Divisha)
In Process - 5
Posted Query - 6 (DIA &amp; gateway)
Completed - 1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Est - 5 hrs</t>
    </r>
  </si>
  <si>
    <r>
      <rPr>
        <rFont val="Arial"/>
        <b/>
        <color rgb="FF0000FF"/>
      </rPr>
      <t xml:space="preserve">Task Total - 12 </t>
    </r>
    <r>
      <rPr>
        <rFont val="Arial"/>
        <color theme="1"/>
      </rPr>
      <t xml:space="preserve">(Divisha)
In Process - 2
Posted Query - 9 (DIA &amp; gateway)
Completed - 1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Booked Hrs - 3.99</t>
    </r>
  </si>
  <si>
    <r>
      <rPr>
        <rFont val="Arial"/>
        <b/>
        <color rgb="FF0000FF"/>
      </rPr>
      <t>Monthly Task</t>
    </r>
    <r>
      <rPr>
        <rFont val="Arial"/>
        <color theme="1"/>
      </rPr>
      <t xml:space="preserve">
Posted Query - 6
DIA
St. Andrew's Legacy
GRA Admin
Sirius Vapor
AC &amp; Heat
Alliance Professional service
J&amp;F utility
Russell
Gateway(Waiting on client)
</t>
    </r>
    <r>
      <rPr>
        <rFont val="Arial"/>
        <b/>
        <color rgb="FF0000FF"/>
      </rPr>
      <t>1099 Posted Query - 5</t>
    </r>
    <r>
      <rPr>
        <rFont val="Arial"/>
        <color theme="1"/>
      </rPr>
      <t xml:space="preserve"> (waiting on W9)
MTL Construction
AC and Healt
Alliance
J&amp;F Utility
Nordic Pure
</t>
    </r>
    <r>
      <rPr>
        <rFont val="Arial"/>
        <b/>
        <color rgb="FF0000FF"/>
      </rPr>
      <t>Payroll Task - 1</t>
    </r>
    <r>
      <rPr>
        <rFont val="Arial"/>
        <color theme="1"/>
      </rPr>
      <t xml:space="preserve"> (Waiting on Client Response)
Lincoln Consulting
Waiting on Megan to provide Keeper Vault access and bank login access for Nordic Pure file</t>
    </r>
  </si>
  <si>
    <r>
      <rPr>
        <rFont val="Arial"/>
        <b/>
        <color rgb="FF0000FF"/>
      </rPr>
      <t xml:space="preserve">Task Total - 12 </t>
    </r>
    <r>
      <rPr>
        <rFont val="Arial"/>
        <color theme="1"/>
      </rPr>
      <t xml:space="preserve">(Divisha)
In Process - 3
Posted Query - 8 (DIA)
Completed - 1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Est - 7 hrs</t>
    </r>
  </si>
  <si>
    <r>
      <rPr>
        <rFont val="Arial"/>
        <b/>
        <color rgb="FF0000FF"/>
      </rPr>
      <t xml:space="preserve">Task Total - 12 </t>
    </r>
    <r>
      <rPr>
        <rFont val="Arial"/>
        <color theme="1"/>
      </rPr>
      <t xml:space="preserve">(Divisha)
In Process - 2
Posted Query - 9 (DIA)
Completed - 1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Booked Hrs - 3.89</t>
    </r>
  </si>
  <si>
    <r>
      <rPr>
        <rFont val="Arial"/>
        <b/>
        <color rgb="FF0000FF"/>
      </rPr>
      <t>Monthly Task</t>
    </r>
    <r>
      <rPr>
        <rFont val="Arial"/>
        <color theme="1"/>
      </rPr>
      <t xml:space="preserve">
Posted Query - 8
DIA
St. Andrew's Legacy
GRA Admin
Sirius Vapor
AC &amp; Heat
Alliance Professional service
J&amp;F utility
Russell
</t>
    </r>
    <r>
      <rPr>
        <rFont val="Arial"/>
        <b/>
        <color rgb="FF0000FF"/>
      </rPr>
      <t>1099 Posted Query - 5</t>
    </r>
    <r>
      <rPr>
        <rFont val="Arial"/>
        <color theme="1"/>
      </rPr>
      <t xml:space="preserve"> (waiting on W9)
MTL Construction
AC and Healt
Alliance
J&amp;F Utility
Nordic Pure
</t>
    </r>
    <r>
      <rPr>
        <rFont val="Arial"/>
        <b/>
        <color rgb="FF0000FF"/>
      </rPr>
      <t>Payroll Task - 1</t>
    </r>
    <r>
      <rPr>
        <rFont val="Arial"/>
        <color theme="1"/>
      </rPr>
      <t xml:space="preserve"> (Waiting on Client Response)
Lincoln Consulting
Waiting on Megan to provide Keeper Vault access and bank login access for Nordic Pure file</t>
    </r>
  </si>
  <si>
    <r>
      <rPr>
        <rFont val="Arial"/>
        <b/>
        <color rgb="FF0000FF"/>
      </rPr>
      <t xml:space="preserve">Task Total - 12 </t>
    </r>
    <r>
      <rPr>
        <rFont val="Arial"/>
        <color theme="1"/>
      </rPr>
      <t xml:space="preserve">(Divisha)
In Process - 4
Posted Query - 7 (DIA)
Completed - 1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Est - 6 hrs</t>
    </r>
  </si>
  <si>
    <r>
      <rPr>
        <rFont val="Arial"/>
        <b/>
        <color rgb="FF0000FF"/>
      </rPr>
      <t xml:space="preserve">Task Total - 12 </t>
    </r>
    <r>
      <rPr>
        <rFont val="Arial"/>
        <color theme="1"/>
      </rPr>
      <t xml:space="preserve">(Divisha)
In Process - 3
Posted Query - 7 (DIA)
Completed - 2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Booked Hrs - 6.65</t>
    </r>
  </si>
  <si>
    <r>
      <rPr>
        <rFont val="Arial"/>
        <b/>
        <color rgb="FF0000FF"/>
      </rPr>
      <t>Monthly Task</t>
    </r>
    <r>
      <rPr>
        <rFont val="Arial"/>
        <color theme="1"/>
      </rPr>
      <t xml:space="preserve">
Posted Query - 7
St. Andrew's Legacy
GRA Admin
Sirius Vapor
AC &amp; Heat
Alliance Professional service
J&amp;F utility
Russell
</t>
    </r>
    <r>
      <rPr>
        <rFont val="Arial"/>
        <b/>
        <color rgb="FF0000FF"/>
      </rPr>
      <t>1099 Posted Query - 5</t>
    </r>
    <r>
      <rPr>
        <rFont val="Arial"/>
        <color theme="1"/>
      </rPr>
      <t xml:space="preserve"> (waiting on W9)
MTL Construction
AC and Healt
Alliance
J&amp;F Utility
Nordic Pure
</t>
    </r>
    <r>
      <rPr>
        <rFont val="Arial"/>
        <b/>
        <color rgb="FF0000FF"/>
      </rPr>
      <t>Payroll Task - 1</t>
    </r>
    <r>
      <rPr>
        <rFont val="Arial"/>
        <color theme="1"/>
      </rPr>
      <t xml:space="preserve"> (Waiting on Client Response)
Lincoln Consulting
Waiting on Megan to provide Keeper Vault access and bank login access for Nordic Pure file</t>
    </r>
  </si>
  <si>
    <r>
      <rPr>
        <rFont val="Arial"/>
        <b/>
        <color rgb="FF0000FF"/>
      </rPr>
      <t xml:space="preserve">Task Total - 12 </t>
    </r>
    <r>
      <rPr>
        <rFont val="Arial"/>
        <color theme="1"/>
      </rPr>
      <t xml:space="preserve">(Divisha)
In Process - 3
Posted Query - 7 
Completed - 2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Est - 6 hrs</t>
    </r>
  </si>
  <si>
    <r>
      <rPr>
        <rFont val="Arial"/>
        <b/>
        <color rgb="FF0000FF"/>
      </rPr>
      <t xml:space="preserve">Task Total - 12 </t>
    </r>
    <r>
      <rPr>
        <rFont val="Arial"/>
        <color theme="1"/>
      </rPr>
      <t xml:space="preserve">(Divisha)
In Process - 3
Posted Query - 7 (DIA)
Completed - 2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Booked Hrs - 2.32</t>
    </r>
  </si>
  <si>
    <r>
      <rPr>
        <rFont val="Arial"/>
        <color theme="1"/>
      </rPr>
      <t xml:space="preserve">Posted Query - 7
St. Andrew's Legacy
GRA Admin
Sirius Vapor
AC &amp; Heat
Russell
Alliance Professional Service
J&amp;F Utility
1099 Posted Query - 5 (waiting on W9)
MTL Construction
AC and Healt
Alliance
J&amp;F Utility
Nordic Pure
Payroll Task - 1 (Waiting on Client Response)
Lincoln Consulting
Weekly meeting canceled today at 5.30 pm IST
</t>
    </r>
    <r>
      <rPr>
        <rFont val="Arial"/>
        <b/>
        <color theme="1"/>
      </rPr>
      <t>Renate message in slack</t>
    </r>
    <r>
      <rPr>
        <rFont val="Arial"/>
        <color theme="1"/>
      </rPr>
      <t xml:space="preserve"> - Good evening, I don't have anything pressing to meet with you about tomorrow, so let's meet next Wednesday 19th at 6am
Meeting with </t>
    </r>
    <r>
      <rPr>
        <rFont val="Arial"/>
        <b/>
        <color theme="1"/>
      </rPr>
      <t>Meagan</t>
    </r>
    <r>
      <rPr>
        <rFont val="Arial"/>
        <color theme="1"/>
      </rPr>
      <t xml:space="preserve"> at 5.30 pm IST (Regarding Nordic pure Keeper vault and bank login access) - Got the login access for Keeper Vault</t>
    </r>
  </si>
  <si>
    <r>
      <rPr>
        <rFont val="Arial"/>
        <b/>
        <color rgb="FF0000FF"/>
      </rPr>
      <t xml:space="preserve">Task Total - 12 </t>
    </r>
    <r>
      <rPr>
        <rFont val="Arial"/>
        <color theme="1"/>
      </rPr>
      <t xml:space="preserve">(Divisha)
In Process - 4
Posted Query - 6
Completed - 2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Est - 6 hrs</t>
    </r>
  </si>
  <si>
    <r>
      <rPr>
        <rFont val="Arial"/>
        <b/>
        <color rgb="FF0000FF"/>
      </rPr>
      <t xml:space="preserve">Task Total - 12 </t>
    </r>
    <r>
      <rPr>
        <rFont val="Arial"/>
        <color theme="1"/>
      </rPr>
      <t xml:space="preserve">(Divisha)
In Process - 2
Posted Query - 7 (DIA)
Completed - 3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Booked Hrs - 1.49</t>
    </r>
  </si>
  <si>
    <r>
      <rPr>
        <rFont val="Arial"/>
        <b/>
        <color theme="4"/>
      </rPr>
      <t>Posted Query - 7</t>
    </r>
    <r>
      <rPr>
        <rFont val="Arial"/>
        <color theme="1"/>
      </rPr>
      <t xml:space="preserve">
GRA Admin
Sirius Vapor
Gateway
AC &amp; Heat
Russell
Alliance Professional Service
J&amp;F Utility
</t>
    </r>
    <r>
      <rPr>
        <rFont val="Arial"/>
        <b/>
        <color rgb="FF4285F4"/>
      </rPr>
      <t>1099 Posted Query - 5 (waiting on W9)</t>
    </r>
    <r>
      <rPr>
        <rFont val="Arial"/>
        <color theme="1"/>
      </rPr>
      <t xml:space="preserve">
MTL Construction
AC and Healt
Alliance
J&amp;F Utility
Nordic Pure
</t>
    </r>
    <r>
      <rPr>
        <rFont val="Arial"/>
        <b/>
        <color theme="4"/>
      </rPr>
      <t>Payroll Task - 1 (Waiting on Client Response)</t>
    </r>
    <r>
      <rPr>
        <rFont val="Arial"/>
        <color theme="1"/>
      </rPr>
      <t xml:space="preserve">
Lincoln Consulting</t>
    </r>
  </si>
  <si>
    <r>
      <rPr>
        <rFont val="Arial"/>
        <b/>
        <color rgb="FF0000FF"/>
      </rPr>
      <t xml:space="preserve">Task Total - 12 </t>
    </r>
    <r>
      <rPr>
        <rFont val="Arial"/>
        <color theme="1"/>
      </rPr>
      <t xml:space="preserve">(Divisha)
In Process - 3
Posted Query - 6
Completed - 3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Est - 6 hrs</t>
    </r>
  </si>
  <si>
    <r>
      <rPr>
        <rFont val="Arial"/>
        <b/>
        <color rgb="FF0000FF"/>
      </rPr>
      <t xml:space="preserve">Task Total - 12 </t>
    </r>
    <r>
      <rPr>
        <rFont val="Arial"/>
        <color theme="1"/>
      </rPr>
      <t xml:space="preserve">(Divisha)
In Process - 1
Posted Query - 8
Completed - 3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Booked hrs - </t>
    </r>
  </si>
  <si>
    <r>
      <rPr>
        <rFont val="Arial"/>
        <b/>
        <color rgb="FF4285F4"/>
      </rPr>
      <t>Posted Query - 8</t>
    </r>
    <r>
      <rPr>
        <rFont val="Arial"/>
        <color theme="1"/>
      </rPr>
      <t xml:space="preserve">
GRA Admin
Sirius Vapor
Nordic Pure
Gateway
AC &amp; Heat
Russell
Alliance Professional Service
J&amp;F Utility
</t>
    </r>
    <r>
      <rPr>
        <rFont val="Arial"/>
        <b/>
        <color rgb="FF4285F4"/>
      </rPr>
      <t>1099 Posted Query - 5 (waiting on W9)</t>
    </r>
    <r>
      <rPr>
        <rFont val="Arial"/>
        <color theme="1"/>
      </rPr>
      <t xml:space="preserve">
MTL Construction
AC and Healt
Alliance
J&amp;F Utility
Nordic Pure
</t>
    </r>
    <r>
      <rPr>
        <rFont val="Arial"/>
        <b/>
        <color rgb="FF4285F4"/>
      </rPr>
      <t>Payroll Task - 1 (Waiting on Client Response)</t>
    </r>
    <r>
      <rPr>
        <rFont val="Arial"/>
        <color theme="1"/>
      </rPr>
      <t xml:space="preserve">
Lincoln Consulting</t>
    </r>
  </si>
  <si>
    <r>
      <rPr>
        <rFont val="Arial"/>
        <b/>
        <color rgb="FF0000FF"/>
      </rPr>
      <t xml:space="preserve">Task Total - 12 </t>
    </r>
    <r>
      <rPr>
        <rFont val="Arial"/>
        <color theme="1"/>
      </rPr>
      <t xml:space="preserve">(Divisha)
In Process - 3
Posted Query - 6
Completed - 3
Review Logins - 1 (Nirosha)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Est - 6 hrs</t>
    </r>
  </si>
  <si>
    <r>
      <rPr>
        <rFont val="Arial"/>
        <b/>
        <color rgb="FF0000FF"/>
      </rPr>
      <t>Task Total - 12</t>
    </r>
    <r>
      <rPr>
        <rFont val="Arial"/>
        <color theme="1"/>
      </rPr>
      <t xml:space="preserve">
Posted Query - 8
Completed - 3
Review Logins - 1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Booked Hrs - 6.07</t>
    </r>
  </si>
  <si>
    <t>Posted Query - 9
GRA Admin
Sirius Vapor
Gateway
AC &amp; Heat
Russell
Victory Custom homes
Alliance Professional Service
J&amp;F Utility
Nordic Pure
1099 Posted Query - 5 (waiting on W9)
MTL Construction
AC and Healt
Alliance
J&amp;F Utility
Nordic Pure
Payroll Task - 1 (Waiting on Client Response)
Lincoln Consulting</t>
  </si>
  <si>
    <r>
      <rPr>
        <rFont val="Arial"/>
        <b/>
        <color rgb="FF0000FF"/>
      </rPr>
      <t xml:space="preserve">Task Total - 12 </t>
    </r>
    <r>
      <rPr>
        <rFont val="Arial"/>
        <color theme="1"/>
      </rPr>
      <t xml:space="preserve">(Divisha)
In Process - 3
Posted Query - 6
Completed - 3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Est - 4 hrs</t>
    </r>
  </si>
  <si>
    <r>
      <rPr>
        <rFont val="Arial"/>
        <b/>
        <color rgb="FF0000FF"/>
      </rPr>
      <t>Task Total - 12</t>
    </r>
    <r>
      <rPr>
        <rFont val="Arial"/>
        <color theme="1"/>
      </rPr>
      <t xml:space="preserve">
Posted Query - 9
Completed - 3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Booked Hrs - 2.96</t>
    </r>
  </si>
  <si>
    <r>
      <rPr>
        <rFont val="Arial"/>
        <b/>
        <color rgb="FF0000FF"/>
      </rPr>
      <t xml:space="preserve">Task Total - 12 </t>
    </r>
    <r>
      <rPr>
        <rFont val="Arial"/>
        <color theme="1"/>
      </rPr>
      <t xml:space="preserve">(Divisha)
Posted Query - 8
Completed - 4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No work</t>
    </r>
  </si>
  <si>
    <r>
      <rPr>
        <rFont val="Arial"/>
        <b/>
        <color rgb="FF0000FF"/>
      </rPr>
      <t xml:space="preserve">Task Total - 12 </t>
    </r>
    <r>
      <rPr>
        <rFont val="Arial"/>
        <color theme="1"/>
      </rPr>
      <t xml:space="preserve">(Divisha)
Posted Query - 8
Completed - 4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No work</t>
    </r>
  </si>
  <si>
    <r>
      <rPr>
        <rFont val="Arial"/>
        <b/>
        <color rgb="FF0000FF"/>
      </rPr>
      <t xml:space="preserve">Task Total - 12 </t>
    </r>
    <r>
      <rPr>
        <rFont val="Arial"/>
        <color theme="1"/>
      </rPr>
      <t xml:space="preserve">(Divisha)
Posted Query - 8
Completed - 4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No work</t>
    </r>
  </si>
  <si>
    <r>
      <rPr>
        <rFont val="Arial"/>
        <b/>
        <color rgb="FF0000FF"/>
      </rPr>
      <t xml:space="preserve">Task Total - 12 </t>
    </r>
    <r>
      <rPr>
        <rFont val="Arial"/>
        <color theme="1"/>
      </rPr>
      <t xml:space="preserve">(Divisha)
Posted Query - 8
Completed - 4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No work</t>
    </r>
  </si>
  <si>
    <t>Weekly meeting with Renate at 5.30p.m IST - Renate has not joined the meeting hence it was cancelled.</t>
  </si>
  <si>
    <r>
      <rPr>
        <rFont val="Arial"/>
        <b/>
        <color rgb="FF0000FF"/>
      </rPr>
      <t xml:space="preserve">Task Total - 12 </t>
    </r>
    <r>
      <rPr>
        <rFont val="Arial"/>
        <color theme="1"/>
      </rPr>
      <t xml:space="preserve">(Divisha)
Posted Query - 8
Completed - 4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Est - 1</t>
    </r>
  </si>
  <si>
    <r>
      <rPr>
        <rFont val="Arial"/>
        <b/>
        <color rgb="FF0000FF"/>
      </rPr>
      <t xml:space="preserve">Task Total - 12 </t>
    </r>
    <r>
      <rPr>
        <rFont val="Arial"/>
        <color theme="1"/>
      </rPr>
      <t xml:space="preserve">(Divisha)
Posted Query - 8
Completed - 4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Booked Hrs - 0.33</t>
    </r>
  </si>
  <si>
    <r>
      <rPr>
        <rFont val="Arial"/>
        <b/>
        <color rgb="FF0000FF"/>
      </rPr>
      <t xml:space="preserve">Task Total - 12 
</t>
    </r>
    <r>
      <rPr>
        <rFont val="Arial"/>
        <color theme="1"/>
      </rPr>
      <t xml:space="preserve">Posted Query - 8
Completed - 4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No Work</t>
    </r>
  </si>
  <si>
    <r>
      <rPr>
        <rFont val="Arial"/>
        <b/>
        <color rgb="FF0000FF"/>
      </rPr>
      <t xml:space="preserve">Task Total - 12 
</t>
    </r>
    <r>
      <rPr>
        <rFont val="Arial"/>
        <color theme="1"/>
      </rPr>
      <t>In Process - 1</t>
    </r>
    <r>
      <rPr>
        <rFont val="Arial"/>
        <b/>
        <color rgb="FF0000FF"/>
      </rPr>
      <t xml:space="preserve">
</t>
    </r>
    <r>
      <rPr>
        <rFont val="Arial"/>
        <color theme="1"/>
      </rPr>
      <t xml:space="preserve">Posted Query - 8
Completed - 4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Est Hr - 1</t>
    </r>
  </si>
  <si>
    <r>
      <rPr>
        <rFont val="Arial"/>
        <b/>
        <color rgb="FF0000FF"/>
      </rPr>
      <t xml:space="preserve">Task Total - 12 
</t>
    </r>
    <r>
      <rPr>
        <rFont val="Arial"/>
        <color theme="1"/>
      </rPr>
      <t>Completed - 1</t>
    </r>
    <r>
      <rPr>
        <rFont val="Arial"/>
        <b/>
        <color rgb="FF0000FF"/>
      </rPr>
      <t xml:space="preserve">
</t>
    </r>
    <r>
      <rPr>
        <rFont val="Arial"/>
        <color theme="1"/>
      </rPr>
      <t xml:space="preserve">Posted Query - 8
Completed - 4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Booked Hrs - 0.58</t>
    </r>
  </si>
  <si>
    <r>
      <rPr>
        <rFont val="Arial"/>
        <b/>
        <color rgb="FF0000FF"/>
      </rPr>
      <t xml:space="preserve">Task Total - 12 
</t>
    </r>
    <r>
      <rPr>
        <rFont val="Arial"/>
        <color theme="1"/>
      </rPr>
      <t xml:space="preserve">Posted Query - 8
Completed - 4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No Work</t>
    </r>
  </si>
  <si>
    <r>
      <rPr>
        <rFont val="Arial"/>
        <b/>
        <color rgb="FF0000FF"/>
      </rPr>
      <t xml:space="preserve">Task Total - 12 </t>
    </r>
    <r>
      <rPr>
        <rFont val="Arial"/>
        <color theme="1"/>
      </rPr>
      <t>(Divisha)</t>
    </r>
    <r>
      <rPr>
        <rFont val="Arial"/>
        <b/>
        <color rgb="FF0000FF"/>
      </rPr>
      <t xml:space="preserve">
</t>
    </r>
    <r>
      <rPr>
        <rFont val="Arial"/>
        <color theme="1"/>
      </rPr>
      <t xml:space="preserve">In Process - 1
Posted Query - 7
Completed - 4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Est Hr - 2</t>
    </r>
  </si>
  <si>
    <r>
      <rPr>
        <rFont val="Arial"/>
        <b/>
        <color rgb="FF0000FF"/>
      </rPr>
      <t xml:space="preserve">Task Total - 12 </t>
    </r>
    <r>
      <rPr>
        <rFont val="Arial"/>
        <color theme="1"/>
      </rPr>
      <t xml:space="preserve">(Divisha)
Posted Query - 8
Completed - 4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Booked Hrs - 3.83</t>
    </r>
  </si>
  <si>
    <t>Posted Query - 8
GRA Admin
Sirius Vapor
AC &amp; Heat
Russell
Victory Custom homes
Alliance Professional Service
J&amp;F Utility
Nordic Pure
1099 Posted Query - 5 (waiting on W9)
MTL Construction
AC and Healt
Alliance
J&amp;F Utility
Nordic Pure
Payroll Task - 1 (Waiting on Client Response)
Lincoln Consulting</t>
  </si>
  <si>
    <r>
      <rPr>
        <rFont val="Arial"/>
        <color theme="1"/>
      </rPr>
      <t>Renate Msg - I have separated the Russell Schmidt Live Checklist from the Nordic Pure Live Checklist &amp; shared with you.
I have noted the stmts &amp; dates on what has been done on the Russell Schmidt Live Checklist and the Nordic Pure Live Checklist. Please work off the Live Checklists for both Nordic &amp; Russell each week. These 2 clients need to be priority, as we have moved to a full seat &amp; the workload is heavy. I have been catching up with it all and updating the checklists as I go. Dec, Jan &amp; Feb are all still open for both.
Re 1287: I saved the January &amp; February stmts for 1287 in Canopy TSD. The statements, along with the reconciliations for Nov, Dec, Jan &amp; Feb all need to be saved in Teams &gt; RES Accounting &gt; Bank &amp; CC Stmts.
Re IB Mortgage 3397 &amp; 9739: Statements are not available online. These are scanned in at the office by Kathy Nash (nordic employee) &amp; sent by email to either me or RESaccounting@nordicpure.com - you should have access to this shared inbox in Megan's NP email. These need to be saved in Russell Schmidt Canopy FSD + Teams &gt; RES Accounting &gt; Payables &gt; LOAN PYMTS
Re Savings 1675: This account does not issue a statement. There is very little activity - usually just interest of less than $1 each month. We will save the activity for this account quarterly when logging into the bank
Can you please confirm that you have access to both Nordic &amp; Russell's live checklists in Google? Please go through each month's tabs, work on the assigned work &amp; update the checklists as much as you can. Let me know if you cannot access something, or don't know where to find it. We will go over the updates on the books/tasks of both</t>
    </r>
    <r>
      <rPr>
        <rFont val="Arial"/>
        <b/>
        <color theme="1"/>
      </rPr>
      <t xml:space="preserve"> in our weekly meeting on Wednesday morning (your Tuesday evening)</t>
    </r>
    <r>
      <rPr>
        <rFont val="Arial"/>
        <color theme="1"/>
      </rPr>
      <t>. These checklists need to be worked on throughout the week and updated. I am working with Nordic Tues, Wed &amp; Thurs so I need to make sure that this work is getting done on your side. Thank you</t>
    </r>
  </si>
  <si>
    <r>
      <rPr>
        <rFont val="Arial"/>
        <b/>
        <color rgb="FF0000FF"/>
      </rPr>
      <t xml:space="preserve">Task Total - 12 </t>
    </r>
    <r>
      <rPr>
        <rFont val="Arial"/>
        <color theme="1"/>
      </rPr>
      <t>(Divisha)</t>
    </r>
    <r>
      <rPr>
        <rFont val="Arial"/>
        <b/>
        <color rgb="FF0000FF"/>
      </rPr>
      <t xml:space="preserve">
</t>
    </r>
    <r>
      <rPr>
        <rFont val="Arial"/>
        <color theme="1"/>
      </rPr>
      <t xml:space="preserve">In Process - 1
Posted Query - 7
Completed - 4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Est Hr - 2</t>
    </r>
  </si>
  <si>
    <r>
      <rPr>
        <rFont val="Arial"/>
        <b/>
        <color rgb="FF0000FF"/>
      </rPr>
      <t xml:space="preserve">Task Total - 12 </t>
    </r>
    <r>
      <rPr>
        <rFont val="Arial"/>
        <color theme="1"/>
      </rPr>
      <t xml:space="preserve">(Divisha)
Posted Query - 8
Completed - 5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Booked Hrs - 2.96</t>
    </r>
  </si>
  <si>
    <t>Weekly meeting with Renate at 5.30 pm IST</t>
  </si>
  <si>
    <r>
      <rPr>
        <rFont val="Arial"/>
        <b/>
        <color rgb="FF0000FF"/>
      </rPr>
      <t xml:space="preserve">Task Total - 13 </t>
    </r>
    <r>
      <rPr>
        <rFont val="Arial"/>
        <color theme="1"/>
      </rPr>
      <t>(Divisha &amp; Uma)</t>
    </r>
    <r>
      <rPr>
        <rFont val="Arial"/>
        <b/>
        <color rgb="FF0000FF"/>
      </rPr>
      <t xml:space="preserve">
</t>
    </r>
    <r>
      <rPr>
        <rFont val="Arial"/>
        <color theme="1"/>
      </rPr>
      <t xml:space="preserve">In Process - 4
Posted Query - 6
Completed - 4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Est Hr - 8</t>
    </r>
  </si>
  <si>
    <r>
      <rPr>
        <rFont val="Arial"/>
        <b/>
        <color rgb="FF0000FF"/>
      </rPr>
      <t xml:space="preserve">Task Total - 13 </t>
    </r>
    <r>
      <rPr>
        <rFont val="Arial"/>
        <color theme="1"/>
      </rPr>
      <t xml:space="preserve">(Divisha)
In Process - 1
Posted Query - 7
Completed - 6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Booked Hrs - 6.86</t>
    </r>
  </si>
  <si>
    <t>Posted Query - 7
BL Realty LLC
Sirius Vapor
AC &amp; Heat
Victory Custom homes
Alliance Professional Service
J&amp;F Utility
Nordic Pure
1099 Posted Query - 5 (waiting on W9)
MTL Construction
AC and Healt
Alliance
J&amp;F Utility
Nordic Pure
Payroll Task - 1 (Waiting on Client Response)
Lincoln Consulting</t>
  </si>
  <si>
    <r>
      <rPr>
        <rFont val="Arial"/>
        <b/>
        <color rgb="FF0000FF"/>
      </rPr>
      <t xml:space="preserve">Task Total - 13 </t>
    </r>
    <r>
      <rPr>
        <rFont val="Arial"/>
        <color theme="1"/>
      </rPr>
      <t>(Divisha &amp; Uma)</t>
    </r>
    <r>
      <rPr>
        <rFont val="Arial"/>
        <b/>
        <color rgb="FF0000FF"/>
      </rPr>
      <t xml:space="preserve">
</t>
    </r>
    <r>
      <rPr>
        <rFont val="Arial"/>
        <color theme="1"/>
      </rPr>
      <t xml:space="preserve">In Process - 1
Posted Query - 7
Completed - 6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Est Hr - 4</t>
    </r>
  </si>
  <si>
    <r>
      <rPr>
        <rFont val="Arial"/>
        <b/>
        <color rgb="FF0000FF"/>
      </rPr>
      <t xml:space="preserve">Task Total - 13 </t>
    </r>
    <r>
      <rPr>
        <rFont val="Arial"/>
        <color theme="1"/>
      </rPr>
      <t xml:space="preserve">(Divisha)
In Process - 1
Posted Query - 7
Completed - 6
</t>
    </r>
    <r>
      <rPr>
        <rFont val="Arial"/>
        <b/>
        <color rgb="FF0000FF"/>
      </rPr>
      <t>1099 Task - 5</t>
    </r>
    <r>
      <rPr>
        <rFont val="Arial"/>
        <color theme="1"/>
      </rPr>
      <t xml:space="preserve">
Posted Query - 5
</t>
    </r>
    <r>
      <rPr>
        <rFont val="Arial"/>
        <b/>
        <color rgb="FF0000FF"/>
      </rPr>
      <t xml:space="preserve">Payroll Task - 1 </t>
    </r>
    <r>
      <rPr>
        <rFont val="Arial"/>
        <color theme="1"/>
      </rPr>
      <t xml:space="preserve">
Query posted - 1
Booked Hrs - 6.08</t>
    </r>
  </si>
  <si>
    <t>Waiting for Megan to provide verification code to login Independent bank for Nordic Pure file.</t>
  </si>
  <si>
    <r>
      <rPr>
        <rFont val="Arial"/>
        <b/>
        <color rgb="FF0000FF"/>
      </rPr>
      <t xml:space="preserve">Task Total - 13 </t>
    </r>
    <r>
      <rPr>
        <rFont val="Arial"/>
        <color theme="1"/>
      </rPr>
      <t>(Divisha)</t>
    </r>
    <r>
      <rPr>
        <rFont val="Arial"/>
        <b/>
        <color rgb="FF0000FF"/>
      </rPr>
      <t xml:space="preserve">
</t>
    </r>
    <r>
      <rPr>
        <rFont val="Arial"/>
        <color theme="1"/>
      </rPr>
      <t>In Process - 14
Est Hr - 5</t>
    </r>
  </si>
  <si>
    <r>
      <rPr>
        <rFont val="Arial"/>
        <b/>
        <color rgb="FF0000FF"/>
      </rPr>
      <t xml:space="preserve">Task Total - 13 </t>
    </r>
    <r>
      <rPr>
        <rFont val="Arial"/>
        <color theme="1"/>
      </rPr>
      <t>(Divisha)</t>
    </r>
    <r>
      <rPr>
        <rFont val="Arial"/>
        <b/>
        <color rgb="FF0000FF"/>
      </rPr>
      <t xml:space="preserve">
</t>
    </r>
    <r>
      <rPr>
        <rFont val="Arial"/>
        <color theme="1"/>
      </rPr>
      <t>In Process - 14
Booked Hrs - 5.23</t>
    </r>
  </si>
  <si>
    <r>
      <rPr>
        <rFont val="Arial"/>
        <b/>
        <color rgb="FF0000FF"/>
      </rPr>
      <t xml:space="preserve">Task Total - 13 </t>
    </r>
    <r>
      <rPr>
        <rFont val="Arial"/>
        <color theme="1"/>
      </rPr>
      <t>(Divisha)</t>
    </r>
    <r>
      <rPr>
        <rFont val="Arial"/>
        <b/>
        <color rgb="FF0000FF"/>
      </rPr>
      <t xml:space="preserve">
</t>
    </r>
    <r>
      <rPr>
        <rFont val="Arial"/>
        <color theme="1"/>
      </rPr>
      <t>In Process - 14
Est Hr - 8</t>
    </r>
  </si>
  <si>
    <r>
      <rPr>
        <rFont val="Arial"/>
        <b/>
        <color rgb="FF0000FF"/>
      </rPr>
      <t xml:space="preserve">Task Total - 13 </t>
    </r>
    <r>
      <rPr>
        <rFont val="Arial"/>
        <color theme="1"/>
      </rPr>
      <t>(Divisha)</t>
    </r>
    <r>
      <rPr>
        <rFont val="Arial"/>
        <b/>
        <color rgb="FF0000FF"/>
      </rPr>
      <t xml:space="preserve">
</t>
    </r>
    <r>
      <rPr>
        <rFont val="Arial"/>
        <color theme="1"/>
      </rPr>
      <t>In Process - 13
Query posted - 1
Booked Hrs - 4.48</t>
    </r>
  </si>
  <si>
    <r>
      <rPr>
        <rFont val="Arial"/>
        <b/>
        <color rgb="FF0000FF"/>
      </rPr>
      <t xml:space="preserve">Task Total - 13 </t>
    </r>
    <r>
      <rPr>
        <rFont val="Arial"/>
        <color theme="1"/>
      </rPr>
      <t>(Divisha)</t>
    </r>
    <r>
      <rPr>
        <rFont val="Arial"/>
        <b/>
        <color rgb="FF0000FF"/>
      </rPr>
      <t xml:space="preserve">
</t>
    </r>
    <r>
      <rPr>
        <rFont val="Arial"/>
        <color theme="1"/>
      </rPr>
      <t>In Process - 14
Est Hr - 8</t>
    </r>
  </si>
  <si>
    <r>
      <rPr>
        <rFont val="Arial"/>
        <b/>
        <color rgb="FF0000FF"/>
      </rPr>
      <t xml:space="preserve">Task Total - 13 </t>
    </r>
    <r>
      <rPr>
        <rFont val="Arial"/>
        <color theme="1"/>
      </rPr>
      <t>(Divisha)</t>
    </r>
    <r>
      <rPr>
        <rFont val="Arial"/>
        <b/>
        <color rgb="FF0000FF"/>
      </rPr>
      <t xml:space="preserve">
</t>
    </r>
    <r>
      <rPr>
        <rFont val="Arial"/>
        <color theme="1"/>
      </rPr>
      <t>In Process - 13
Query posted - 1
Booked Hrs - 5.08</t>
    </r>
  </si>
  <si>
    <t>Posted Query - 1 
Dallas Intergroup Association (DIA)</t>
  </si>
  <si>
    <r>
      <rPr>
        <rFont val="Arial"/>
        <b/>
        <color rgb="FF0000FF"/>
      </rPr>
      <t xml:space="preserve">Task Total - 13 </t>
    </r>
    <r>
      <rPr>
        <rFont val="Arial"/>
        <color theme="1"/>
      </rPr>
      <t>(Divisha)</t>
    </r>
    <r>
      <rPr>
        <rFont val="Arial"/>
        <b/>
        <color rgb="FF0000FF"/>
      </rPr>
      <t xml:space="preserve">
</t>
    </r>
    <r>
      <rPr>
        <rFont val="Arial"/>
        <color theme="1"/>
      </rPr>
      <t>In Process - 13
Query posted - 1
Est Hr - 8</t>
    </r>
  </si>
  <si>
    <r>
      <rPr>
        <rFont val="Arial"/>
        <b/>
        <color rgb="FF0000FF"/>
      </rPr>
      <t xml:space="preserve">Task Total - 13 </t>
    </r>
    <r>
      <rPr>
        <rFont val="Arial"/>
        <color theme="1"/>
      </rPr>
      <t>(Divisha)</t>
    </r>
    <r>
      <rPr>
        <rFont val="Arial"/>
        <b/>
        <color rgb="FF0000FF"/>
      </rPr>
      <t xml:space="preserve">
</t>
    </r>
    <r>
      <rPr>
        <rFont val="Arial"/>
        <color theme="1"/>
      </rPr>
      <t>In Process - 13
Query posted - 1
Booked Hr - 6.36</t>
    </r>
  </si>
  <si>
    <r>
      <rPr>
        <rFont val="Arial"/>
        <b/>
        <color rgb="FF0000FF"/>
      </rPr>
      <t xml:space="preserve">Task Total - 13 </t>
    </r>
    <r>
      <rPr>
        <rFont val="Arial"/>
        <color theme="1"/>
      </rPr>
      <t>(Divisha)</t>
    </r>
    <r>
      <rPr>
        <rFont val="Arial"/>
        <b/>
        <color rgb="FF0000FF"/>
      </rPr>
      <t xml:space="preserve">
</t>
    </r>
    <r>
      <rPr>
        <rFont val="Arial"/>
        <color theme="1"/>
      </rPr>
      <t>In Process - 13
Query posted - 1
Est Hr - 8</t>
    </r>
  </si>
  <si>
    <r>
      <rPr>
        <rFont val="Arial"/>
        <b/>
        <color rgb="FF0000FF"/>
      </rPr>
      <t xml:space="preserve">Task Total - 13 </t>
    </r>
    <r>
      <rPr>
        <rFont val="Arial"/>
        <color theme="1"/>
      </rPr>
      <t>(Divisha)</t>
    </r>
    <r>
      <rPr>
        <rFont val="Arial"/>
        <b/>
        <color rgb="FF0000FF"/>
      </rPr>
      <t xml:space="preserve">
</t>
    </r>
    <r>
      <rPr>
        <rFont val="Arial"/>
        <color theme="1"/>
      </rPr>
      <t>In Process - 13
Query posted - 1
Booked Hr - 6.32</t>
    </r>
  </si>
  <si>
    <r>
      <rPr>
        <rFont val="Arial"/>
        <b/>
        <color rgb="FF0000FF"/>
      </rPr>
      <t xml:space="preserve">Task Total - 13 </t>
    </r>
    <r>
      <rPr>
        <rFont val="Arial"/>
        <color theme="1"/>
      </rPr>
      <t>(Divisha)</t>
    </r>
    <r>
      <rPr>
        <rFont val="Arial"/>
        <b/>
        <color rgb="FF0000FF"/>
      </rPr>
      <t xml:space="preserve">
</t>
    </r>
    <r>
      <rPr>
        <rFont val="Arial"/>
        <color theme="1"/>
      </rPr>
      <t>In Process - 12
Query posted - 2
Est Hr - 8</t>
    </r>
  </si>
  <si>
    <r>
      <rPr>
        <rFont val="Arial"/>
        <b/>
        <color rgb="FF0000FF"/>
      </rPr>
      <t xml:space="preserve">Task Total - 13 </t>
    </r>
    <r>
      <rPr>
        <rFont val="Arial"/>
        <color theme="1"/>
      </rPr>
      <t>(Divisha)</t>
    </r>
    <r>
      <rPr>
        <rFont val="Arial"/>
        <b/>
        <color rgb="FF0000FF"/>
      </rPr>
      <t xml:space="preserve">
</t>
    </r>
    <r>
      <rPr>
        <rFont val="Arial"/>
        <color theme="1"/>
      </rPr>
      <t>In Process - 12
Query posted - 2 (DIA &amp; Gateway)
Booked Hr - 5.00</t>
    </r>
  </si>
  <si>
    <r>
      <rPr>
        <rFont val="Arial"/>
        <b/>
        <color rgb="FF0000FF"/>
      </rPr>
      <t xml:space="preserve">Task Total - 13 </t>
    </r>
    <r>
      <rPr>
        <rFont val="Arial"/>
        <color theme="1"/>
      </rPr>
      <t>(Divisha)</t>
    </r>
    <r>
      <rPr>
        <rFont val="Arial"/>
        <b/>
        <color rgb="FF0000FF"/>
      </rPr>
      <t xml:space="preserve">
</t>
    </r>
    <r>
      <rPr>
        <rFont val="Arial"/>
        <color theme="1"/>
      </rPr>
      <t>In Process - 13
Query posted - 1
Est Hr - 6</t>
    </r>
  </si>
  <si>
    <r>
      <rPr>
        <rFont val="Arial"/>
        <b/>
        <color rgb="FF0000FF"/>
      </rPr>
      <t xml:space="preserve">Task Total - 13 </t>
    </r>
    <r>
      <rPr>
        <rFont val="Arial"/>
        <color theme="1"/>
      </rPr>
      <t>(Divisha)</t>
    </r>
    <r>
      <rPr>
        <rFont val="Arial"/>
        <b/>
        <color rgb="FF0000FF"/>
      </rPr>
      <t xml:space="preserve">
</t>
    </r>
    <r>
      <rPr>
        <rFont val="Arial"/>
        <color theme="1"/>
      </rPr>
      <t>In Process - 12
Query posted - 2 (DIA &amp; Gateway)
Booked Hr - 3.85</t>
    </r>
  </si>
  <si>
    <r>
      <rPr>
        <rFont val="Arial"/>
        <b/>
        <color rgb="FF0000FF"/>
      </rPr>
      <t xml:space="preserve">Task Total - 13 </t>
    </r>
    <r>
      <rPr>
        <rFont val="Arial"/>
        <color theme="1"/>
      </rPr>
      <t>(Divisha)</t>
    </r>
    <r>
      <rPr>
        <rFont val="Arial"/>
        <b/>
        <color rgb="FF0000FF"/>
      </rPr>
      <t xml:space="preserve">
</t>
    </r>
    <r>
      <rPr>
        <rFont val="Arial"/>
        <color theme="1"/>
      </rPr>
      <t>In Process - 13
Query posted - 1
Est Hr - 7</t>
    </r>
  </si>
  <si>
    <r>
      <rPr>
        <rFont val="Arial"/>
        <b/>
        <color rgb="FF0000FF"/>
      </rPr>
      <t xml:space="preserve">Task Total - 13 </t>
    </r>
    <r>
      <rPr>
        <rFont val="Arial"/>
        <color theme="1"/>
      </rPr>
      <t>(Divisha)</t>
    </r>
    <r>
      <rPr>
        <rFont val="Arial"/>
        <b/>
        <color rgb="FF0000FF"/>
      </rPr>
      <t xml:space="preserve">
</t>
    </r>
    <r>
      <rPr>
        <rFont val="Arial"/>
        <color theme="1"/>
      </rPr>
      <t>In Process - 11
Query posted - 3 
Booked Hr - 8.28</t>
    </r>
  </si>
  <si>
    <t>Posted Query - 1 
Dallas Intergroup Association (DIA)
Gateway
Nordic Pure</t>
  </si>
  <si>
    <r>
      <rPr>
        <rFont val="Arial"/>
        <b/>
        <color rgb="FF0000FF"/>
      </rPr>
      <t xml:space="preserve">Task Total - 13 </t>
    </r>
    <r>
      <rPr>
        <rFont val="Arial"/>
        <color theme="1"/>
      </rPr>
      <t>(Divisha)</t>
    </r>
    <r>
      <rPr>
        <rFont val="Arial"/>
        <b/>
        <color rgb="FF0000FF"/>
      </rPr>
      <t xml:space="preserve">
</t>
    </r>
    <r>
      <rPr>
        <rFont val="Arial"/>
        <color theme="1"/>
      </rPr>
      <t>In Process - 13
Query posted - 1
Est Hr - 8</t>
    </r>
  </si>
  <si>
    <r>
      <rPr>
        <rFont val="Arial"/>
        <b/>
        <color rgb="FF0000FF"/>
      </rPr>
      <t xml:space="preserve">Task Total - 13 </t>
    </r>
    <r>
      <rPr>
        <rFont val="Arial"/>
        <color theme="1"/>
      </rPr>
      <t>(Divisha)</t>
    </r>
    <r>
      <rPr>
        <rFont val="Arial"/>
        <b/>
        <color rgb="FF0000FF"/>
      </rPr>
      <t xml:space="preserve">
</t>
    </r>
    <r>
      <rPr>
        <rFont val="Arial"/>
        <color theme="1"/>
      </rPr>
      <t>In Process - 10
Query posted - 3 
Completed - 1
Booked Hr - 6.74</t>
    </r>
  </si>
  <si>
    <t>Posted Query - 3
Russell
Gateway
Nordic Pure</t>
  </si>
  <si>
    <r>
      <rPr>
        <rFont val="Arial"/>
        <b/>
        <color rgb="FF0000FF"/>
      </rPr>
      <t xml:space="preserve">Task Total - 13 </t>
    </r>
    <r>
      <rPr>
        <rFont val="Arial"/>
        <color theme="1"/>
      </rPr>
      <t>(Divisha)</t>
    </r>
    <r>
      <rPr>
        <rFont val="Arial"/>
        <b/>
        <color rgb="FF0000FF"/>
      </rPr>
      <t xml:space="preserve">
</t>
    </r>
    <r>
      <rPr>
        <rFont val="Arial"/>
        <color theme="1"/>
      </rPr>
      <t>In Process - 11
Query posted - 2
Completed - 1
Est Hr - 8</t>
    </r>
  </si>
  <si>
    <r>
      <rPr>
        <rFont val="Arial"/>
        <b/>
        <color rgb="FF0000FF"/>
      </rPr>
      <t xml:space="preserve">Task Total - 13 </t>
    </r>
    <r>
      <rPr>
        <rFont val="Arial"/>
        <color theme="1"/>
      </rPr>
      <t>(Divisha)</t>
    </r>
    <r>
      <rPr>
        <rFont val="Arial"/>
        <b/>
        <color rgb="FF0000FF"/>
      </rPr>
      <t xml:space="preserve">
</t>
    </r>
    <r>
      <rPr>
        <rFont val="Arial"/>
        <color theme="1"/>
      </rPr>
      <t>In Process - 8
Query posted - 5
Completed - 1
Booked Hr - 8.98</t>
    </r>
  </si>
  <si>
    <t>Weekly meeting with Renate at 5.30 P.M IST</t>
  </si>
  <si>
    <r>
      <rPr>
        <rFont val="Arial"/>
        <b/>
        <color rgb="FF0000FF"/>
      </rPr>
      <t xml:space="preserve">Task Total - 13 </t>
    </r>
    <r>
      <rPr>
        <rFont val="Arial"/>
        <color theme="1"/>
      </rPr>
      <t>(Divisha)</t>
    </r>
    <r>
      <rPr>
        <rFont val="Arial"/>
        <b/>
        <color rgb="FF0000FF"/>
      </rPr>
      <t xml:space="preserve">
</t>
    </r>
    <r>
      <rPr>
        <rFont val="Arial"/>
        <color theme="1"/>
      </rPr>
      <t>In Process - 10
Query posted - 3
Completed - 1
Est Hr - 8</t>
    </r>
  </si>
  <si>
    <r>
      <rPr>
        <rFont val="Arial"/>
        <b/>
        <color rgb="FF0000FF"/>
      </rPr>
      <t xml:space="preserve">Task Total - 13 </t>
    </r>
    <r>
      <rPr>
        <rFont val="Arial"/>
        <color theme="1"/>
      </rPr>
      <t>(Divisha)</t>
    </r>
    <r>
      <rPr>
        <rFont val="Arial"/>
        <b/>
        <color rgb="FF0000FF"/>
      </rPr>
      <t xml:space="preserve">
</t>
    </r>
    <r>
      <rPr>
        <rFont val="Arial"/>
        <color theme="1"/>
      </rPr>
      <t>In Process - 7
Query posted - 6
Completed - 1
Booked Hr - 6.23</t>
    </r>
  </si>
  <si>
    <t>Posted Query - 3
Russell
Gateway
Nordic Pure
St.Andrew Legacy
J&amp;F utility</t>
  </si>
  <si>
    <r>
      <rPr>
        <rFont val="Arial"/>
        <b/>
        <color rgb="FF0000FF"/>
      </rPr>
      <t xml:space="preserve">Task Total - 13 </t>
    </r>
    <r>
      <rPr>
        <rFont val="Arial"/>
        <color theme="1"/>
      </rPr>
      <t>(Divisha)</t>
    </r>
    <r>
      <rPr>
        <rFont val="Arial"/>
        <b/>
        <color rgb="FF0000FF"/>
      </rPr>
      <t xml:space="preserve">
</t>
    </r>
    <r>
      <rPr>
        <rFont val="Arial"/>
        <color theme="1"/>
      </rPr>
      <t>In Process - 7
Query posted - 6
Completed - 2
Est Hr - 6</t>
    </r>
  </si>
  <si>
    <r>
      <rPr>
        <rFont val="Arial"/>
        <b/>
        <color rgb="FF0000FF"/>
      </rPr>
      <t xml:space="preserve">Task Total - 13 </t>
    </r>
    <r>
      <rPr>
        <rFont val="Arial"/>
        <color theme="1"/>
      </rPr>
      <t>(Divisha)</t>
    </r>
    <r>
      <rPr>
        <rFont val="Arial"/>
        <b/>
        <color rgb="FF0000FF"/>
      </rPr>
      <t xml:space="preserve">
</t>
    </r>
    <r>
      <rPr>
        <rFont val="Arial"/>
        <color theme="1"/>
      </rPr>
      <t>In Process - 4
Query posted - 7
Completed - 3
Booked Hr - 3.89</t>
    </r>
  </si>
  <si>
    <t>Posted Query - 7
Russell
Gateway
Nordic Pure
St.Andrew Legacy
J&amp;F utility
GRA Admin
Sirius Vapor</t>
  </si>
  <si>
    <r>
      <rPr>
        <rFont val="Arial"/>
        <b/>
        <color rgb="FF0000FF"/>
      </rPr>
      <t xml:space="preserve">Task Total - 13 </t>
    </r>
    <r>
      <rPr>
        <rFont val="Arial"/>
        <color theme="1"/>
      </rPr>
      <t>(Divisha)</t>
    </r>
    <r>
      <rPr>
        <rFont val="Arial"/>
        <b/>
        <color rgb="FF0000FF"/>
      </rPr>
      <t xml:space="preserve">
</t>
    </r>
    <r>
      <rPr>
        <rFont val="Arial"/>
        <color theme="1"/>
      </rPr>
      <t>In Process - 4
Query posted - 7
Completed - 3
Est Hr - 6</t>
    </r>
  </si>
  <si>
    <r>
      <rPr>
        <rFont val="Arial"/>
        <b/>
        <color rgb="FF0000FF"/>
      </rPr>
      <t xml:space="preserve">Task Total - 13 </t>
    </r>
    <r>
      <rPr>
        <rFont val="Arial"/>
        <color theme="1"/>
      </rPr>
      <t>(Divisha)</t>
    </r>
    <r>
      <rPr>
        <rFont val="Arial"/>
        <b/>
        <color rgb="FF0000FF"/>
      </rPr>
      <t xml:space="preserve">
</t>
    </r>
    <r>
      <rPr>
        <rFont val="Arial"/>
        <color theme="1"/>
      </rPr>
      <t>In Process - 2
Query posted - 9
Completed - 3
Booked Hr - 3.98</t>
    </r>
  </si>
  <si>
    <t>Posted Query - 7
Russell
Gateway
Nordic Pure
St.Andrew Legacy
J&amp;F utility
GRA Admin
Sirius Vapor
Alliance Professional Services
All PEst Solutions</t>
  </si>
  <si>
    <r>
      <rPr>
        <rFont val="Arial"/>
        <b/>
        <color rgb="FF0000FF"/>
      </rPr>
      <t xml:space="preserve">Task Total - 13 </t>
    </r>
    <r>
      <rPr>
        <rFont val="Arial"/>
        <color theme="1"/>
      </rPr>
      <t>(Divisha)</t>
    </r>
    <r>
      <rPr>
        <rFont val="Arial"/>
        <b/>
        <color rgb="FF0000FF"/>
      </rPr>
      <t xml:space="preserve">
</t>
    </r>
    <r>
      <rPr>
        <rFont val="Arial"/>
        <color theme="1"/>
      </rPr>
      <t>In Process - 4
Query posted - 7
Completed - 3
Est Hr - 6</t>
    </r>
  </si>
  <si>
    <r>
      <rPr>
        <rFont val="Arial"/>
        <b/>
        <color rgb="FF0000FF"/>
      </rPr>
      <t xml:space="preserve">Task Total - 13 </t>
    </r>
    <r>
      <rPr>
        <rFont val="Arial"/>
        <color theme="1"/>
      </rPr>
      <t>(Divisha)</t>
    </r>
    <r>
      <rPr>
        <rFont val="Arial"/>
        <b/>
        <color rgb="FF0000FF"/>
      </rPr>
      <t xml:space="preserve">
</t>
    </r>
    <r>
      <rPr>
        <rFont val="Arial"/>
        <color theme="1"/>
      </rPr>
      <t>In Process - 2
Query posted - 8
Completed - 4
Booked Hr - 7.06</t>
    </r>
  </si>
  <si>
    <t>Posted Query - 8
Russell
Nordic Pure
St.Andrew Legacy
J&amp;F utility
GRA Admin
Sirius Vapor
Alliance Professional Services
All PEst Solutions</t>
  </si>
  <si>
    <r>
      <rPr>
        <rFont val="Arial"/>
        <b/>
        <color rgb="FF0000FF"/>
      </rPr>
      <t xml:space="preserve">Task Total - 13 </t>
    </r>
    <r>
      <rPr>
        <rFont val="Arial"/>
        <color theme="1"/>
      </rPr>
      <t>(Divisha)</t>
    </r>
    <r>
      <rPr>
        <rFont val="Arial"/>
        <b/>
        <color rgb="FF0000FF"/>
      </rPr>
      <t xml:space="preserve">
</t>
    </r>
    <r>
      <rPr>
        <rFont val="Arial"/>
        <color theme="1"/>
      </rPr>
      <t>In Process - 3
Query posted - 7
Completed - 4
Est Hr - 6</t>
    </r>
  </si>
  <si>
    <r>
      <rPr>
        <rFont val="Arial"/>
        <b/>
        <color rgb="FF0000FF"/>
      </rPr>
      <t xml:space="preserve">Task Total - 13 </t>
    </r>
    <r>
      <rPr>
        <rFont val="Arial"/>
        <color theme="1"/>
      </rPr>
      <t>(Divisha)</t>
    </r>
    <r>
      <rPr>
        <rFont val="Arial"/>
        <b/>
        <color rgb="FF0000FF"/>
      </rPr>
      <t xml:space="preserve">
</t>
    </r>
    <r>
      <rPr>
        <rFont val="Arial"/>
        <color theme="1"/>
      </rPr>
      <t>In Process - 2
Query posted - 7
Completed - 5
Booked Hr - 5.07</t>
    </r>
  </si>
  <si>
    <t>Posted Query - 7
Waiting on Renate -6 
All Pest Solutions
Nordic Pure
J&amp;F utility
GRA Admin
Sirius Vapor
Alliance Professional Services
Waiing on Client - 1
St.Andrew Legacy</t>
  </si>
  <si>
    <r>
      <rPr>
        <rFont val="Arial"/>
        <b/>
        <color rgb="FF0000FF"/>
      </rPr>
      <t xml:space="preserve">Task Total - 13 </t>
    </r>
    <r>
      <rPr>
        <rFont val="Arial"/>
        <color theme="1"/>
      </rPr>
      <t>(Divisha)</t>
    </r>
    <r>
      <rPr>
        <rFont val="Arial"/>
        <b/>
        <color rgb="FF0000FF"/>
      </rPr>
      <t xml:space="preserve">
</t>
    </r>
    <r>
      <rPr>
        <rFont val="Arial"/>
        <color theme="1"/>
      </rPr>
      <t>In Process - 2
Query posted - 7
Completed - 5
Est Hr - 5</t>
    </r>
  </si>
  <si>
    <r>
      <rPr>
        <rFont val="Arial"/>
        <b/>
        <color rgb="FF0000FF"/>
      </rPr>
      <t xml:space="preserve">Task Total - 13 </t>
    </r>
    <r>
      <rPr>
        <rFont val="Arial"/>
        <color theme="1"/>
      </rPr>
      <t>(Divisha)</t>
    </r>
    <r>
      <rPr>
        <rFont val="Arial"/>
        <b/>
        <color rgb="FF0000FF"/>
      </rPr>
      <t xml:space="preserve">
</t>
    </r>
    <r>
      <rPr>
        <rFont val="Arial"/>
        <color theme="1"/>
      </rPr>
      <t>In Process - 1
Query posted - 8
Completed - 5
Booked Hr - 5.89</t>
    </r>
  </si>
  <si>
    <t>Posted Query - 8
Waiting on Renate -7
All Pest Solutions
Nordic Pure
J&amp;F utility
GRA Admin
Sirius Vapor
BL Realty LLC
Alliance Professional Services
Waiing on Client - 1
St.Andrew Legacy</t>
  </si>
  <si>
    <r>
      <rPr>
        <rFont val="Arial"/>
        <b/>
        <color rgb="FF0000FF"/>
      </rPr>
      <t xml:space="preserve">Task Total - 13 </t>
    </r>
    <r>
      <rPr>
        <rFont val="Arial"/>
        <color theme="1"/>
      </rPr>
      <t>(Divisha)</t>
    </r>
    <r>
      <rPr>
        <rFont val="Arial"/>
        <b/>
        <color rgb="FF0000FF"/>
      </rPr>
      <t xml:space="preserve">
</t>
    </r>
    <r>
      <rPr>
        <rFont val="Arial"/>
        <color theme="1"/>
      </rPr>
      <t>In Process - 1
Mails - 4
Query posted - 8
Completed - 5
Est Hr - 3</t>
    </r>
  </si>
  <si>
    <r>
      <rPr>
        <rFont val="Arial"/>
        <b/>
        <color rgb="FF0000FF"/>
      </rPr>
      <t xml:space="preserve">Task Total - 13 
</t>
    </r>
    <r>
      <rPr>
        <rFont val="Arial"/>
        <color theme="1"/>
      </rPr>
      <t>In Process - 1
Query posted - 3
Completed - 10
Booked Hrs - 3.72</t>
    </r>
  </si>
  <si>
    <t>Posted Query - 3
Waiting on Renate -2
Nordic Pure
Russell
Waiing on Client - 1
St.Andrew Legacy</t>
  </si>
  <si>
    <r>
      <rPr>
        <rFont val="Arial"/>
        <b/>
        <color rgb="FF0000FF"/>
      </rPr>
      <t xml:space="preserve">Task Total - 13 </t>
    </r>
    <r>
      <rPr>
        <rFont val="Arial"/>
        <color theme="1"/>
      </rPr>
      <t>(Divisha)</t>
    </r>
    <r>
      <rPr>
        <rFont val="Arial"/>
        <b/>
        <color rgb="FF0000FF"/>
      </rPr>
      <t xml:space="preserve">
</t>
    </r>
    <r>
      <rPr>
        <rFont val="Arial"/>
        <color theme="1"/>
      </rPr>
      <t>In Process - 2
Mails - 3
Query posted - 2
Completed - 10
Est Hr - 8</t>
    </r>
  </si>
  <si>
    <r>
      <rPr>
        <rFont val="Arial"/>
        <b/>
        <color rgb="FF0000FF"/>
      </rPr>
      <t xml:space="preserve">Task Total - 13 </t>
    </r>
    <r>
      <rPr>
        <rFont val="Arial"/>
        <color theme="1"/>
      </rPr>
      <t xml:space="preserve">
Query posted - 4
Completed - 10
Booked Hrs - </t>
    </r>
  </si>
  <si>
    <t>Posted Query - 4
Waiting on Renate -2
Nordic Pure
Russell
all Pest solutions
Waiing on Client - 1
St.Andrew Legacy</t>
  </si>
  <si>
    <r>
      <rPr>
        <rFont val="Arial"/>
        <b/>
        <color rgb="FF0000FF"/>
      </rPr>
      <t xml:space="preserve">Task Total - 13 </t>
    </r>
    <r>
      <rPr>
        <rFont val="Arial"/>
        <color theme="1"/>
      </rPr>
      <t>(Divisha)</t>
    </r>
    <r>
      <rPr>
        <rFont val="Arial"/>
        <b/>
        <color rgb="FF0000FF"/>
      </rPr>
      <t xml:space="preserve">
</t>
    </r>
    <r>
      <rPr>
        <rFont val="Arial"/>
        <color theme="1"/>
      </rPr>
      <t>Weekly Accepting - 3
Query posted - 4
Completed - 10
Est Hr - 2</t>
    </r>
  </si>
  <si>
    <r>
      <rPr>
        <rFont val="Arial"/>
        <b/>
        <color rgb="FF0000FF"/>
      </rPr>
      <t xml:space="preserve">Task Total - 13 </t>
    </r>
    <r>
      <rPr>
        <rFont val="Arial"/>
        <color theme="1"/>
      </rPr>
      <t>(Divisha)
Query posted - 4
Completed - 10
Booked Hrs - 1.89</t>
    </r>
  </si>
  <si>
    <t>Posted Query - 4
Waiting on Renate response -3
Nordic Pure
Russell
all Pest solutions
Waiing on Client response - 1
St.Andrew Legacy</t>
  </si>
  <si>
    <r>
      <rPr>
        <rFont val="Arial"/>
        <b/>
        <color rgb="FF0000FF"/>
      </rPr>
      <t xml:space="preserve">Task Total - 13 </t>
    </r>
    <r>
      <rPr>
        <rFont val="Arial"/>
        <color theme="1"/>
      </rPr>
      <t>(Divisha)</t>
    </r>
    <r>
      <rPr>
        <rFont val="Arial"/>
        <b/>
        <color rgb="FF0000FF"/>
      </rPr>
      <t xml:space="preserve">
</t>
    </r>
    <r>
      <rPr>
        <rFont val="Arial"/>
        <color theme="1"/>
      </rPr>
      <t>Weekly Accepting - 4
Query posted - 4
Completed - 10
Est Hr - 3</t>
    </r>
  </si>
  <si>
    <r>
      <rPr>
        <rFont val="Arial"/>
        <b/>
        <color rgb="FF0000FF"/>
      </rPr>
      <t xml:space="preserve">Task Total - 13 </t>
    </r>
    <r>
      <rPr>
        <rFont val="Arial"/>
        <color theme="1"/>
      </rPr>
      <t>(Divisha)
Query posted - 4
Completed - 10
Booked Hrs - 3.72</t>
    </r>
  </si>
  <si>
    <r>
      <rPr>
        <rFont val="Arial"/>
        <b/>
        <color rgb="FF0000FF"/>
      </rPr>
      <t xml:space="preserve">Task Total - 13 </t>
    </r>
    <r>
      <rPr>
        <rFont val="Arial"/>
        <color theme="1"/>
      </rPr>
      <t>(Divisha)
Query posted - 4
Completed - 10
No Work</t>
    </r>
  </si>
  <si>
    <r>
      <rPr>
        <rFont val="Arial"/>
        <b/>
        <color rgb="FF0000FF"/>
      </rPr>
      <t xml:space="preserve">Task Total - 13 </t>
    </r>
    <r>
      <rPr>
        <rFont val="Arial"/>
        <color theme="1"/>
      </rPr>
      <t>(Divisha)
Query posted - 4
Completed - 10
No Work</t>
    </r>
  </si>
  <si>
    <r>
      <rPr>
        <rFont val="Arial"/>
        <b/>
        <color rgb="FF0000FF"/>
      </rPr>
      <t xml:space="preserve">Task Total - 13 </t>
    </r>
    <r>
      <rPr>
        <rFont val="Arial"/>
        <color theme="1"/>
      </rPr>
      <t>(Divisha)
Query posted - 4
Completed - 10
No Work</t>
    </r>
  </si>
  <si>
    <t>Weekly meeting with Renate at 5.30 P.M IST - Renate has not come for the call</t>
  </si>
  <si>
    <r>
      <rPr>
        <rFont val="Arial"/>
        <b/>
        <color rgb="FF0000FF"/>
      </rPr>
      <t xml:space="preserve">Task Total - 13 </t>
    </r>
    <r>
      <rPr>
        <rFont val="Arial"/>
        <color theme="1"/>
      </rPr>
      <t>(Divisha)
Query posted - 4
Completed - 10
No Work</t>
    </r>
  </si>
  <si>
    <r>
      <rPr>
        <rFont val="Arial"/>
        <b/>
        <color rgb="FF0000FF"/>
      </rPr>
      <t xml:space="preserve">Task Total - 13 </t>
    </r>
    <r>
      <rPr>
        <rFont val="Arial"/>
        <color theme="1"/>
      </rPr>
      <t xml:space="preserve">(Divisha)
Inprogress - 4
Query posted - 3
Completed - 10
Est Hr- 3 </t>
    </r>
  </si>
  <si>
    <r>
      <rPr>
        <rFont val="Arial"/>
        <b/>
        <color rgb="FF0000FF"/>
      </rPr>
      <t xml:space="preserve">Task Total - 13 </t>
    </r>
    <r>
      <rPr>
        <rFont val="Arial"/>
        <color theme="1"/>
      </rPr>
      <t>(Divisha)
Query posted - 4
Completed - 10
Booked Hrs - 2.81</t>
    </r>
  </si>
  <si>
    <r>
      <rPr>
        <rFont val="Arial"/>
        <b/>
        <color rgb="FF0000FF"/>
      </rPr>
      <t xml:space="preserve">Task Total - 13 </t>
    </r>
    <r>
      <rPr>
        <rFont val="Arial"/>
        <color theme="1"/>
      </rPr>
      <t>(Divisha)
Inprogress - 4
Query posted - 3
Completed - 10
Est Hr- 3</t>
    </r>
  </si>
  <si>
    <r>
      <rPr>
        <rFont val="Arial"/>
        <b/>
        <color rgb="FF0000FF"/>
      </rPr>
      <t xml:space="preserve">Task Total - 13 </t>
    </r>
    <r>
      <rPr>
        <rFont val="Arial"/>
        <color theme="1"/>
      </rPr>
      <t>(Divisha)
Completed - 4
Query posted - 3
Completed - 10
Booked Hr- 5.40</t>
    </r>
  </si>
  <si>
    <t>Renate message in Outlook  - Can you please give me an update on All Pest receipts? There are 125 receipts in QBO. The receipts need to be worked on weekly. I know we discussed this in a prior meeting. The receipts should get added and matched to transactions in the bank feed first. Then if we don't have a receipt, add with the Need Receipt tag. </t>
  </si>
  <si>
    <r>
      <rPr>
        <rFont val="Arial"/>
        <b/>
        <color rgb="FF0000FF"/>
      </rPr>
      <t xml:space="preserve">Task Total - 13 </t>
    </r>
    <r>
      <rPr>
        <rFont val="Arial"/>
        <color theme="1"/>
      </rPr>
      <t>(Divisha)
Inprogress - 13
Est Hr - 6</t>
    </r>
  </si>
  <si>
    <r>
      <rPr>
        <rFont val="Arial"/>
        <b/>
        <color rgb="FF0000FF"/>
      </rPr>
      <t xml:space="preserve">Task Total - 13 </t>
    </r>
    <r>
      <rPr>
        <rFont val="Arial"/>
        <color theme="1"/>
      </rPr>
      <t>(Divisha)
Inprogress - 13
Booked Hr - 4.70</t>
    </r>
  </si>
  <si>
    <t>Waiting for the statement to grab from the bank login</t>
  </si>
  <si>
    <r>
      <rPr>
        <rFont val="Arial"/>
        <b/>
        <color rgb="FF0000FF"/>
      </rPr>
      <t xml:space="preserve">Task Total - 13 </t>
    </r>
    <r>
      <rPr>
        <rFont val="Arial"/>
        <color theme="1"/>
      </rPr>
      <t>(Divisha)
Inprogress - 13 (DIA-Priority)
Est Hr - 6</t>
    </r>
  </si>
  <si>
    <r>
      <rPr>
        <rFont val="Arial"/>
        <b/>
        <color rgb="FF0000FF"/>
      </rPr>
      <t xml:space="preserve">Task Total - 13 </t>
    </r>
    <r>
      <rPr>
        <rFont val="Arial"/>
        <color theme="1"/>
      </rPr>
      <t>(Divisha)
Inprogress - 13
Booked Hr - 5.25</t>
    </r>
  </si>
  <si>
    <t>Weekly meeting with Renate at 5.30P.M IST</t>
  </si>
  <si>
    <r>
      <rPr>
        <rFont val="Arial"/>
        <b/>
        <color rgb="FF0000FF"/>
      </rPr>
      <t xml:space="preserve">Task Total - 13 </t>
    </r>
    <r>
      <rPr>
        <rFont val="Arial"/>
        <color theme="1"/>
      </rPr>
      <t>(Divisha)
Inprogress - 13 (3-Priority)
Est Hr - 8</t>
    </r>
  </si>
  <si>
    <r>
      <rPr>
        <rFont val="Arial"/>
        <b/>
        <color rgb="FF0000FF"/>
      </rPr>
      <t xml:space="preserve">Task Total - 13 </t>
    </r>
    <r>
      <rPr>
        <rFont val="Arial"/>
        <color theme="1"/>
      </rPr>
      <t>(Divisha)
Inprogress - 13
Posted query - 1 file
Booked Hr - 5.74</t>
    </r>
  </si>
  <si>
    <r>
      <rPr>
        <rFont val="Arial"/>
        <b/>
        <color rgb="FF0000FF"/>
      </rPr>
      <t xml:space="preserve">Task Total - 13 </t>
    </r>
    <r>
      <rPr>
        <rFont val="Arial"/>
        <color theme="1"/>
      </rPr>
      <t>(Divisha)
Inprogress - 13 (2-Priority)
Posted query - 1 
Est Hr - 8</t>
    </r>
  </si>
  <si>
    <r>
      <rPr>
        <rFont val="Arial"/>
        <b/>
        <color rgb="FF0000FF"/>
      </rPr>
      <t xml:space="preserve">Task Total - 13 </t>
    </r>
    <r>
      <rPr>
        <rFont val="Arial"/>
        <color theme="1"/>
      </rPr>
      <t>(Divisha)
Inprogress - 13 (2-Priority)
Posted query - 1 
Booked Hr - 6.41</t>
    </r>
  </si>
  <si>
    <t xml:space="preserve">Renate message in Outlook - This is the video that I mentioned in our meeting on Wednesday. Kathy is the AP accountant, and this is one of the processes that I would like to move over to you. The email that she receives the invoices is accounting@nordicpure.com which Megan should have access to as a shared mailbox. I am going to share this video with Megan's Nordic email also as I'm not sure that the link will work with an outside email address. 
For now, please don't do anything, but please log in to the inbox to see an example of the invoice she received, and then take note of the steps in NetSuite. If you are comfortable with the process &amp; understand it, please let me know so we can set up a meeting with Kathy so you can practice with her on the call. It is very important that no mistakes are made with this process so extra care and attention needs to be taken to make the changeover go as smoothly as possible. 
Thanks, </t>
  </si>
  <si>
    <r>
      <rPr>
        <rFont val="Arial"/>
        <b/>
        <color rgb="FF0000FF"/>
      </rPr>
      <t xml:space="preserve">Task Total - 13 </t>
    </r>
    <r>
      <rPr>
        <rFont val="Arial"/>
        <color theme="1"/>
      </rPr>
      <t>(Divisha)
Inprogress - 13 (4-Priority)
Est Hr - 8</t>
    </r>
  </si>
  <si>
    <r>
      <rPr>
        <rFont val="Arial"/>
        <b/>
        <color rgb="FF0000FF"/>
      </rPr>
      <t xml:space="preserve">Task Total - 13 </t>
    </r>
    <r>
      <rPr>
        <rFont val="Arial"/>
        <color theme="1"/>
      </rPr>
      <t>(Divisha)
Inprogress - 13 (4-Priority)
Booked Hr - 8.73</t>
    </r>
  </si>
  <si>
    <r>
      <rPr>
        <rFont val="Arial"/>
        <b/>
        <color rgb="FF0000FF"/>
      </rPr>
      <t xml:space="preserve">Task Total - 13 </t>
    </r>
    <r>
      <rPr>
        <rFont val="Arial"/>
        <color theme="1"/>
      </rPr>
      <t>(Divisha)
Inprogress - 13 (4-Priority)
Est Hr - 4</t>
    </r>
  </si>
  <si>
    <r>
      <rPr>
        <rFont val="Arial"/>
        <b/>
        <color rgb="FF0000FF"/>
      </rPr>
      <t xml:space="preserve">Task Total - 13 </t>
    </r>
    <r>
      <rPr>
        <rFont val="Arial"/>
        <color theme="1"/>
      </rPr>
      <t>(Divisha)
Inprogress - 13 (4-Priority)
Completed  - 1 File
Booked Hr - 4.05</t>
    </r>
  </si>
  <si>
    <r>
      <rPr>
        <rFont val="Arial"/>
        <b/>
        <color rgb="FF0000FF"/>
      </rPr>
      <t xml:space="preserve">Task Total - 13 </t>
    </r>
    <r>
      <rPr>
        <rFont val="Arial"/>
        <color theme="1"/>
      </rPr>
      <t>(Divisha)
Inprogress - 13 (3-Priority)
Completed - 1 file
Est Hr - 7</t>
    </r>
  </si>
  <si>
    <r>
      <rPr>
        <rFont val="Arial"/>
        <b/>
        <color rgb="FF0000FF"/>
      </rPr>
      <t xml:space="preserve">Task Total - 13 </t>
    </r>
    <r>
      <rPr>
        <rFont val="Arial"/>
        <color theme="1"/>
      </rPr>
      <t>(Divisha)
Inprogress - 13 (3-Priority)
Completed - 1 file
Booked Hr - 6.48</t>
    </r>
  </si>
  <si>
    <r>
      <rPr>
        <rFont val="Arial"/>
        <b/>
        <color rgb="FF0000FF"/>
      </rPr>
      <t xml:space="preserve">Task Total - 13 </t>
    </r>
    <r>
      <rPr>
        <rFont val="Arial"/>
        <color theme="1"/>
      </rPr>
      <t>(Divisha)
Inprogress - 13 (3-Priority)
Completed - 1 file
Est Hr - 7</t>
    </r>
  </si>
  <si>
    <r>
      <rPr>
        <rFont val="Arial"/>
        <b/>
        <color rgb="FF0000FF"/>
      </rPr>
      <t xml:space="preserve">Task Total - 13 </t>
    </r>
    <r>
      <rPr>
        <rFont val="Arial"/>
        <color theme="1"/>
      </rPr>
      <t xml:space="preserve">
Inprogress - 13 (3-Priority)
Completed - 1 file
Booked Hr - 7.15</t>
    </r>
  </si>
  <si>
    <r>
      <rPr>
        <rFont val="Arial"/>
        <b/>
        <color rgb="FF0000FF"/>
      </rPr>
      <t xml:space="preserve">Task Total - 13 </t>
    </r>
    <r>
      <rPr>
        <rFont val="Arial"/>
        <color theme="1"/>
      </rPr>
      <t>(Divisha)
Inprogress - 12 (2-Priority)
Completed - 2 file
Est Hr - 7</t>
    </r>
  </si>
  <si>
    <r>
      <rPr>
        <rFont val="Arial"/>
        <b/>
        <color rgb="FF0000FF"/>
      </rPr>
      <t xml:space="preserve">Task Total - 13 </t>
    </r>
    <r>
      <rPr>
        <rFont val="Arial"/>
        <color theme="1"/>
      </rPr>
      <t xml:space="preserve">
Inprogress - 12 (2-Priority)
Completed - 2 file
Booked Hr - 5.99</t>
    </r>
  </si>
  <si>
    <r>
      <rPr>
        <rFont val="Arial"/>
        <b/>
        <color rgb="FF0000FF"/>
      </rPr>
      <t xml:space="preserve">Task Total - 13 </t>
    </r>
    <r>
      <rPr>
        <rFont val="Arial"/>
        <color theme="1"/>
      </rPr>
      <t>(Divisha)
Inprogress - 12 (2-Priority)
Completed - 2 file
Est Hr - 7</t>
    </r>
  </si>
  <si>
    <r>
      <rPr>
        <rFont val="Arial"/>
        <b/>
        <color rgb="FF0000FF"/>
      </rPr>
      <t xml:space="preserve">Task Total - 13 </t>
    </r>
    <r>
      <rPr>
        <rFont val="Arial"/>
        <color theme="1"/>
      </rPr>
      <t xml:space="preserve">
Inprogress - 10 
Completed - 2 file
Posted Query - 2
Booked Hr - 6.06</t>
    </r>
  </si>
  <si>
    <r>
      <rPr>
        <rFont val="Arial"/>
        <b/>
        <color rgb="FF0000FF"/>
      </rPr>
      <t xml:space="preserve">Task Total - 13 </t>
    </r>
    <r>
      <rPr>
        <rFont val="Arial"/>
        <color theme="1"/>
      </rPr>
      <t xml:space="preserve">(Divisha)
Inprogress - 10 files
Posted query- 2 files
Completed - 2 files
</t>
    </r>
    <r>
      <rPr>
        <rFont val="Arial"/>
        <b/>
        <color theme="1"/>
      </rPr>
      <t>Payroll</t>
    </r>
    <r>
      <rPr>
        <rFont val="Arial"/>
        <color theme="1"/>
      </rPr>
      <t xml:space="preserve"> - 5 files
Est hr - 7</t>
    </r>
  </si>
  <si>
    <r>
      <rPr>
        <rFont val="Arial"/>
        <b/>
        <color rgb="FF0000FF"/>
      </rPr>
      <t xml:space="preserve">Task Total - 13 </t>
    </r>
    <r>
      <rPr>
        <rFont val="Arial"/>
        <color theme="1"/>
      </rPr>
      <t xml:space="preserve">(Divisha)
Inprogress - 8 files
Posted query- 3 files
Completed - 3 files
</t>
    </r>
    <r>
      <rPr>
        <rFont val="Arial"/>
        <b/>
        <color theme="1"/>
      </rPr>
      <t>Payroll</t>
    </r>
    <r>
      <rPr>
        <rFont val="Arial"/>
        <color theme="1"/>
      </rPr>
      <t xml:space="preserve"> - 5 files
Booked Hrs - 5.80</t>
    </r>
  </si>
  <si>
    <r>
      <rPr>
        <rFont val="Arial"/>
        <b/>
        <color rgb="FF0000FF"/>
      </rPr>
      <t xml:space="preserve">Task Total - 13 </t>
    </r>
    <r>
      <rPr>
        <rFont val="Arial"/>
        <color theme="1"/>
      </rPr>
      <t xml:space="preserve">(Divisha)
Inprogress - 8 files
Posted query- 3 files
Completed - 3 files
</t>
    </r>
    <r>
      <rPr>
        <rFont val="Arial"/>
        <b/>
        <color theme="1"/>
      </rPr>
      <t>Payroll</t>
    </r>
    <r>
      <rPr>
        <rFont val="Arial"/>
        <color theme="1"/>
      </rPr>
      <t xml:space="preserve"> - 5 files
Est Hr - 7</t>
    </r>
  </si>
  <si>
    <r>
      <rPr>
        <rFont val="Arial"/>
        <b/>
        <color rgb="FF0000FF"/>
      </rPr>
      <t xml:space="preserve">Task Total - 13 </t>
    </r>
    <r>
      <rPr>
        <rFont val="Arial"/>
        <color theme="1"/>
      </rPr>
      <t xml:space="preserve">(Divisha)
Inprogress - 7 files
Posted query- 4 files
Completed - 3 files
</t>
    </r>
    <r>
      <rPr>
        <rFont val="Arial"/>
        <b/>
        <color theme="1"/>
      </rPr>
      <t>Payroll</t>
    </r>
    <r>
      <rPr>
        <rFont val="Arial"/>
        <color theme="1"/>
      </rPr>
      <t xml:space="preserve"> - 5 files
Booked Hrs - 4.43</t>
    </r>
  </si>
  <si>
    <r>
      <rPr>
        <rFont val="Arial"/>
        <b/>
        <color rgb="FF0000FF"/>
      </rPr>
      <t xml:space="preserve">Task Total - 13 </t>
    </r>
    <r>
      <rPr>
        <rFont val="Arial"/>
        <color theme="1"/>
      </rPr>
      <t xml:space="preserve">(Divisha)
Inprogress - 7 files
Posted query- 4 files
Completed - 3 files
</t>
    </r>
    <r>
      <rPr>
        <rFont val="Arial"/>
        <b/>
        <color theme="1"/>
      </rPr>
      <t>Payroll</t>
    </r>
    <r>
      <rPr>
        <rFont val="Arial"/>
        <color theme="1"/>
      </rPr>
      <t xml:space="preserve"> - 5 files
Est Hr - 7</t>
    </r>
  </si>
  <si>
    <r>
      <rPr>
        <rFont val="Arial"/>
        <b/>
        <color rgb="FF0000FF"/>
      </rPr>
      <t xml:space="preserve">Task Total - 13 </t>
    </r>
    <r>
      <rPr>
        <rFont val="Arial"/>
        <color theme="1"/>
      </rPr>
      <t xml:space="preserve">(Divisha)
Inprogress - 5 files
Posted query- 6 files
Completed - 3 files
</t>
    </r>
    <r>
      <rPr>
        <rFont val="Arial"/>
        <b/>
        <color theme="1"/>
      </rPr>
      <t>Payroll</t>
    </r>
    <r>
      <rPr>
        <rFont val="Arial"/>
        <color theme="1"/>
      </rPr>
      <t xml:space="preserve"> - 5 files
Booked Hrs - 5.05</t>
    </r>
  </si>
  <si>
    <r>
      <rPr>
        <rFont val="Arial"/>
        <b/>
        <color rgb="FF0000FF"/>
      </rPr>
      <t xml:space="preserve">Task Total - 13 </t>
    </r>
    <r>
      <rPr>
        <rFont val="Arial"/>
        <color theme="1"/>
      </rPr>
      <t xml:space="preserve">(Divisha)
Inprogress - 6 files
Posted query- 4 files
Completed - 3 files
</t>
    </r>
    <r>
      <rPr>
        <rFont val="Arial"/>
        <b/>
        <color theme="1"/>
      </rPr>
      <t>Payroll</t>
    </r>
    <r>
      <rPr>
        <rFont val="Arial"/>
        <color theme="1"/>
      </rPr>
      <t xml:space="preserve"> - 5 files
Est Hr - 8</t>
    </r>
  </si>
  <si>
    <r>
      <rPr>
        <rFont val="Arial"/>
        <b/>
        <color rgb="FF0000FF"/>
      </rPr>
      <t xml:space="preserve">Task Total - 13 </t>
    </r>
    <r>
      <rPr>
        <rFont val="Arial"/>
        <color theme="1"/>
      </rPr>
      <t xml:space="preserve">(Divisha)
Inprogress - 4 files
Posted query- 6 files
Completed - 3 files
</t>
    </r>
    <r>
      <rPr>
        <rFont val="Arial"/>
        <b/>
        <color theme="1"/>
      </rPr>
      <t>Payroll</t>
    </r>
    <r>
      <rPr>
        <rFont val="Arial"/>
        <color theme="1"/>
      </rPr>
      <t xml:space="preserve"> - 5 files
Booked Hr - 6.25</t>
    </r>
  </si>
  <si>
    <r>
      <rPr>
        <rFont val="Arial"/>
        <b/>
        <color rgb="FF0000FF"/>
      </rPr>
      <t xml:space="preserve">Task Total - 13 </t>
    </r>
    <r>
      <rPr>
        <rFont val="Arial"/>
        <color theme="1"/>
      </rPr>
      <t xml:space="preserve">(Divisha)
Inprogress - 4 files
Posted query- 6 files
Completed - 3 files
</t>
    </r>
    <r>
      <rPr>
        <rFont val="Arial"/>
        <b/>
        <color theme="1"/>
      </rPr>
      <t>Payroll</t>
    </r>
    <r>
      <rPr>
        <rFont val="Arial"/>
        <color theme="1"/>
      </rPr>
      <t xml:space="preserve"> - 5 files
Est Hr - 8</t>
    </r>
  </si>
  <si>
    <r>
      <rPr>
        <rFont val="Arial"/>
        <b/>
        <color rgb="FF0000FF"/>
      </rPr>
      <t xml:space="preserve">Task Total - 13 </t>
    </r>
    <r>
      <rPr>
        <rFont val="Arial"/>
        <color theme="1"/>
      </rPr>
      <t xml:space="preserve">(Divisha)
Inprogress - 3 files
Posted query- 6 files
Completed - 3 files
</t>
    </r>
    <r>
      <rPr>
        <rFont val="Arial"/>
        <b/>
        <color theme="1"/>
      </rPr>
      <t>Payroll</t>
    </r>
    <r>
      <rPr>
        <rFont val="Arial"/>
        <color theme="1"/>
      </rPr>
      <t xml:space="preserve"> - 5 files
Inprogress - 2 files
Posted query - 1 file
completed - 2 files
Booked Hr - 4.65</t>
    </r>
  </si>
  <si>
    <r>
      <rPr>
        <rFont val="Arial"/>
        <b/>
        <color rgb="FF0000FF"/>
      </rPr>
      <t xml:space="preserve">Task Total - 13 </t>
    </r>
    <r>
      <rPr>
        <rFont val="Arial"/>
        <color theme="1"/>
      </rPr>
      <t xml:space="preserve">(Divisha)
Inprogress - 5 files
Posted query- 5 files
Completed - 3 files
</t>
    </r>
    <r>
      <rPr>
        <rFont val="Arial"/>
        <b/>
        <color theme="1"/>
      </rPr>
      <t>Payroll</t>
    </r>
    <r>
      <rPr>
        <rFont val="Arial"/>
        <color theme="1"/>
      </rPr>
      <t xml:space="preserve"> - 5 files
Inprogress - 2 files
Posted query - 1 file
completed - 2 files
Est Hr - 8</t>
    </r>
  </si>
  <si>
    <r>
      <rPr>
        <rFont val="Arial"/>
        <b/>
        <color rgb="FF0000FF"/>
      </rPr>
      <t xml:space="preserve">Task Total - 13 </t>
    </r>
    <r>
      <rPr>
        <rFont val="Arial"/>
        <color theme="1"/>
      </rPr>
      <t xml:space="preserve">(Divisha)
Inprogress - 5 files
Posted query- 5 files
Completed - 3 files
</t>
    </r>
    <r>
      <rPr>
        <rFont val="Arial"/>
        <b/>
        <color theme="1"/>
      </rPr>
      <t>Payroll</t>
    </r>
    <r>
      <rPr>
        <rFont val="Arial"/>
        <color theme="1"/>
      </rPr>
      <t xml:space="preserve"> - 5 files
Inprogress - 2 files
Posted query - 1 file
completed - 2 files
Booked Hr - 7.19</t>
    </r>
  </si>
  <si>
    <r>
      <rPr>
        <rFont val="Arial"/>
        <b/>
        <color rgb="FF0000FF"/>
      </rPr>
      <t xml:space="preserve">Task Total - 13 </t>
    </r>
    <r>
      <rPr>
        <rFont val="Arial"/>
        <color theme="1"/>
      </rPr>
      <t xml:space="preserve">(Divisha)
Inprogress - 4 files
Posted query- 6 files
Completed - 3 files
</t>
    </r>
    <r>
      <rPr>
        <rFont val="Arial"/>
        <b/>
        <color theme="1"/>
      </rPr>
      <t>Payroll</t>
    </r>
    <r>
      <rPr>
        <rFont val="Arial"/>
        <color theme="1"/>
      </rPr>
      <t xml:space="preserve"> - 5 files
Inprogress - 1 file
Posted query - 1 file
completed - 3 files
Est Hr - 7</t>
    </r>
  </si>
  <si>
    <r>
      <rPr>
        <rFont val="Arial"/>
        <b/>
        <color rgb="FF0000FF"/>
      </rPr>
      <t xml:space="preserve">Task Total - 13 </t>
    </r>
    <r>
      <rPr>
        <rFont val="Arial"/>
        <color theme="1"/>
      </rPr>
      <t xml:space="preserve">(Divisha)
Inprogress - 4 files
Posted query- 6 files
Completed - 3 files
</t>
    </r>
    <r>
      <rPr>
        <rFont val="Arial"/>
        <b/>
        <color theme="1"/>
      </rPr>
      <t>Payroll</t>
    </r>
    <r>
      <rPr>
        <rFont val="Arial"/>
        <color theme="1"/>
      </rPr>
      <t xml:space="preserve"> - 5 files
Inprogress - 1 file
Posted query - 1 file
completed - 3 files
Booked Hr - </t>
    </r>
  </si>
  <si>
    <r>
      <rPr>
        <rFont val="Arial"/>
        <b/>
        <color theme="1"/>
      </rPr>
      <t>Weekly meeting with Renate at 5.30 P.M IST.</t>
    </r>
    <r>
      <rPr>
        <rFont val="Arial"/>
        <color theme="1"/>
      </rPr>
      <t xml:space="preserve">
Renate E-mail - </t>
    </r>
    <r>
      <rPr>
        <rFont val="Arial"/>
        <b/>
        <color theme="1"/>
      </rPr>
      <t>Regarding Nordic Pure</t>
    </r>
    <r>
      <rPr>
        <rFont val="Arial"/>
        <color theme="1"/>
      </rPr>
      <t xml:space="preserve">,
Hi Team, 
I met with Kathy at Nordic Pure this afternoon and discussed you processing an OKF invoice the way she showed in the video I sent you a few weeks back. 
We are going to start with just this one invoice from OKF #144290, which can be found in the accounting@nordicpure.com inbox (you should have access to this inbox with Megan's log in). 
Please review the video again and process the steps for this invoice, and let me know when this has been done. If you have any issues or concerns, or you are not sure about anything, please let me know so I can follow up with Kathy. I would like to discuss in our meeting tomorrow morning. </t>
    </r>
  </si>
  <si>
    <r>
      <rPr>
        <rFont val="Arial"/>
        <b/>
        <color rgb="FF0000FF"/>
      </rPr>
      <t xml:space="preserve">Task Total - 13 </t>
    </r>
    <r>
      <rPr>
        <rFont val="Arial"/>
        <color theme="1"/>
      </rPr>
      <t xml:space="preserve">(Divisha)
Inprogress - 4 files
Posted query- 6 files
Completed - 3 files
</t>
    </r>
    <r>
      <rPr>
        <rFont val="Arial"/>
        <b/>
        <color theme="1"/>
      </rPr>
      <t>Payroll</t>
    </r>
    <r>
      <rPr>
        <rFont val="Arial"/>
        <color theme="1"/>
      </rPr>
      <t xml:space="preserve"> - 5 files
Inprogress - 1 file
Posted query - 1 file
completed - 3 files</t>
    </r>
  </si>
  <si>
    <t>Divisha is on PTO</t>
  </si>
  <si>
    <t xml:space="preserve">Hi Penny, 
Nordic Pure's bank (Independent Financial) is merging with South State Bank next month, so they have sent out the below instructions for users to log in to their new site.
Each online user will need to have the Treasury Navigator Secure Browser on their workstation, which requires Admin privileges to download. 
The official changeover to the new Navigator will be May 23rd, with the preview period being May 5-23rd.
Currently, Megan and I have to use the VIP Access app for a token that changes every 30 seconds, so if you are able to get this downloaded on your server, the team in India should be able to log in without us having to send codes etc. 
Here are the instructions for the download for your IT dept: Secure Browser Download Guide 
The bank will be sending out an Activation Key in the next few weeks to be able to activate the log in, but I wanted to give you a heads up so you can get the browser downloaded. </t>
  </si>
  <si>
    <r>
      <rPr>
        <rFont val="Arial"/>
        <b/>
        <color rgb="FF0000FF"/>
      </rPr>
      <t xml:space="preserve">Task Total - 13 </t>
    </r>
    <r>
      <rPr>
        <rFont val="Arial"/>
        <color theme="1"/>
      </rPr>
      <t xml:space="preserve">(Divisha)
Inprogress - 4 files
Posted query- 6 files
Completed - 3 files
</t>
    </r>
    <r>
      <rPr>
        <rFont val="Arial"/>
        <b/>
        <color theme="1"/>
      </rPr>
      <t>Payroll</t>
    </r>
    <r>
      <rPr>
        <rFont val="Arial"/>
        <color theme="1"/>
      </rPr>
      <t xml:space="preserve"> - 5 files
completed - 5 files
Est Hrs- 7</t>
    </r>
  </si>
  <si>
    <r>
      <rPr>
        <rFont val="Arial"/>
        <b/>
        <color rgb="FF0000FF"/>
      </rPr>
      <t xml:space="preserve">Task Total - 13 </t>
    </r>
    <r>
      <rPr>
        <rFont val="Arial"/>
        <color theme="1"/>
      </rPr>
      <t xml:space="preserve">(Divisha)
Inprogress - 4 files
Posted query- 6 files
Completed - 3 files
</t>
    </r>
    <r>
      <rPr>
        <rFont val="Arial"/>
        <b/>
        <color theme="1"/>
      </rPr>
      <t>Payroll</t>
    </r>
    <r>
      <rPr>
        <rFont val="Arial"/>
        <color theme="1"/>
      </rPr>
      <t xml:space="preserve"> - 5 files
completed - 5 files
Booked Hrs- 7.21</t>
    </r>
  </si>
  <si>
    <r>
      <rPr>
        <rFont val="Arial"/>
        <b/>
        <color rgb="FF0000FF"/>
      </rPr>
      <t xml:space="preserve">Task Total - 13 </t>
    </r>
    <r>
      <rPr>
        <rFont val="Arial"/>
        <color theme="1"/>
      </rPr>
      <t xml:space="preserve">(Divisha)
Inprogress - 1 files
Posted query- 2 files
Completed - 10 files
</t>
    </r>
    <r>
      <rPr>
        <rFont val="Arial"/>
        <b/>
        <color theme="1"/>
      </rPr>
      <t>Payroll</t>
    </r>
    <r>
      <rPr>
        <rFont val="Arial"/>
        <color theme="1"/>
      </rPr>
      <t xml:space="preserve"> - 5 files (Completed)
Est Hrs- 5</t>
    </r>
  </si>
  <si>
    <r>
      <rPr>
        <rFont val="Arial"/>
        <b/>
        <color rgb="FF0000FF"/>
      </rPr>
      <t xml:space="preserve">Task Total - 13 </t>
    </r>
    <r>
      <rPr>
        <rFont val="Arial"/>
        <color theme="1"/>
      </rPr>
      <t xml:space="preserve">
Inprogress - 1 files
Posted query- 2 files
Completed - 10 files
</t>
    </r>
    <r>
      <rPr>
        <rFont val="Arial"/>
        <b/>
        <color theme="1"/>
      </rPr>
      <t>Payroll</t>
    </r>
    <r>
      <rPr>
        <rFont val="Arial"/>
        <color theme="1"/>
      </rPr>
      <t xml:space="preserve"> - 5 files (Completed)
Booked Hrs - 5.41</t>
    </r>
  </si>
  <si>
    <t>Email from Megan - Regarding Noridc Pure- Netsuite login
Hi Divisha,
I sent the answer in the Nordic Slack channel for you early this morning. Please make sure these questions and answers are getting added to the google sheet, as well as Whale.
Im sorry they weren’t there in the first place. Generally Im pretty good about making sure they are there.</t>
  </si>
  <si>
    <r>
      <rPr>
        <rFont val="Arial"/>
        <b/>
        <color rgb="FF0000FF"/>
      </rPr>
      <t xml:space="preserve">Task Total - 13 </t>
    </r>
    <r>
      <rPr>
        <rFont val="Arial"/>
        <color theme="1"/>
      </rPr>
      <t xml:space="preserve">(Divisha)
Inprogress - 1 file (Nordic AP)
E-mail - 11 (Receipts)
Posted query- 2 files
Completed - 10 files
</t>
    </r>
    <r>
      <rPr>
        <rFont val="Arial"/>
        <b/>
        <color theme="1"/>
      </rPr>
      <t>Payroll</t>
    </r>
    <r>
      <rPr>
        <rFont val="Arial"/>
        <color theme="1"/>
      </rPr>
      <t xml:space="preserve"> - 5 files (Completed)
Est Hrs- 7</t>
    </r>
  </si>
  <si>
    <r>
      <rPr>
        <rFont val="Arial"/>
        <b/>
        <color rgb="FF0000FF"/>
      </rPr>
      <t xml:space="preserve">Task Total - 13 </t>
    </r>
    <r>
      <rPr>
        <rFont val="Arial"/>
        <color theme="1"/>
      </rPr>
      <t xml:space="preserve">(Divisha)
Inprogress - 1 file (Nordic AP)
E-mail - 11 (Receipts)
Posted query- 2 files
Completed - 10 files
</t>
    </r>
    <r>
      <rPr>
        <rFont val="Arial"/>
        <b/>
        <color theme="1"/>
      </rPr>
      <t>Payroll</t>
    </r>
    <r>
      <rPr>
        <rFont val="Arial"/>
        <color theme="1"/>
      </rPr>
      <t xml:space="preserve"> - 5 files (Completed)
Booked Hrs- 6.24</t>
    </r>
  </si>
  <si>
    <r>
      <rPr>
        <rFont val="Arial"/>
        <b/>
        <color rgb="FF0000FF"/>
      </rPr>
      <t xml:space="preserve">Task Total - 13 </t>
    </r>
    <r>
      <rPr>
        <rFont val="Arial"/>
        <color theme="1"/>
      </rPr>
      <t xml:space="preserve">(Divisha)
Inprogress - 1 file (Nordic AP)
E-mail - 11 (Receipts)
Posted query- 2 files
Completed - 10 files
</t>
    </r>
    <r>
      <rPr>
        <rFont val="Arial"/>
        <b/>
        <color theme="1"/>
      </rPr>
      <t>Payroll</t>
    </r>
    <r>
      <rPr>
        <rFont val="Arial"/>
        <color theme="1"/>
      </rPr>
      <t xml:space="preserve"> - 5 files (Completed)
Est Hrs- 5</t>
    </r>
  </si>
  <si>
    <r>
      <rPr>
        <rFont val="Arial"/>
        <b/>
        <color rgb="FF0000FF"/>
      </rPr>
      <t xml:space="preserve">Task Total - 13 </t>
    </r>
    <r>
      <rPr>
        <rFont val="Arial"/>
        <color theme="1"/>
      </rPr>
      <t xml:space="preserve">(Divisha)
Inprogress - 1 file (Nordic AP)
E-mail - 11 (Receipts)
Posted query- 2 files
Completed - 10 files
</t>
    </r>
    <r>
      <rPr>
        <rFont val="Arial"/>
        <b/>
        <color theme="1"/>
      </rPr>
      <t>Payroll</t>
    </r>
    <r>
      <rPr>
        <rFont val="Arial"/>
        <color theme="1"/>
      </rPr>
      <t xml:space="preserve"> - 5 files (Completed)
Booked Hrs- 2.65</t>
    </r>
  </si>
  <si>
    <t>Weekly meeting with Renate at 1.30 P.M IST.</t>
  </si>
  <si>
    <r>
      <rPr>
        <rFont val="Arial"/>
        <b/>
        <color rgb="FF0000FF"/>
      </rPr>
      <t xml:space="preserve">Task Total - 13 </t>
    </r>
    <r>
      <rPr>
        <rFont val="Arial"/>
        <color theme="1"/>
      </rPr>
      <t>(Divisha)
Inprogress - 13 files
Est Hrs- 7</t>
    </r>
  </si>
  <si>
    <r>
      <rPr>
        <rFont val="Arial"/>
        <b/>
        <color rgb="FF0000FF"/>
      </rPr>
      <t xml:space="preserve">Task Total - 13 </t>
    </r>
    <r>
      <rPr>
        <rFont val="Arial"/>
        <color theme="1"/>
      </rPr>
      <t>(Divisha)
Inprogress - 13 files
Booked Hrs- 1.59</t>
    </r>
  </si>
  <si>
    <t>Renate has requested a meeting for today at 3:30 p.m. IST.</t>
  </si>
  <si>
    <r>
      <rPr>
        <rFont val="Arial"/>
        <b/>
        <color rgb="FF0000FF"/>
      </rPr>
      <t xml:space="preserve">Task Total - 13 </t>
    </r>
    <r>
      <rPr>
        <rFont val="Arial"/>
        <color theme="1"/>
      </rPr>
      <t>(Divisha)
Inprogress - 13 files
Est Hrs- 7</t>
    </r>
  </si>
  <si>
    <r>
      <rPr>
        <rFont val="Arial"/>
        <b/>
        <color rgb="FF0000FF"/>
      </rPr>
      <t xml:space="preserve">Task Total - 13 </t>
    </r>
    <r>
      <rPr>
        <rFont val="Arial"/>
        <color theme="1"/>
      </rPr>
      <t>(Divisha)
Inprogress - 13 files
Booked Hrs- 3.69</t>
    </r>
  </si>
  <si>
    <r>
      <rPr>
        <rFont val="Arial"/>
        <b/>
        <color rgb="FF0000FF"/>
      </rPr>
      <t xml:space="preserve">Task Total - 13 </t>
    </r>
    <r>
      <rPr>
        <rFont val="Arial"/>
        <color theme="1"/>
      </rPr>
      <t>(Pavithira)
Inprogress - 13 files (2 Priority-DIA, All pest Solutions)
Est Hrs- 7</t>
    </r>
  </si>
  <si>
    <r>
      <rPr>
        <rFont val="Arial"/>
        <b/>
        <color rgb="FF0000FF"/>
      </rPr>
      <t xml:space="preserve">Task Total - 13 </t>
    </r>
    <r>
      <rPr>
        <rFont val="Arial"/>
        <color theme="1"/>
      </rPr>
      <t>(Divisha)
Inprogress - 13 files (2 Priority-DIA, All pest Solutions)
Booked Hrs- 4 hrs</t>
    </r>
  </si>
  <si>
    <t>Message from Renate - Team, can you please make All Pest bank feeds/receipts a priority today? They have a monthly meeting on the first Tuesday of each month so Wendell is expecting updated books for pulling reports etc. Please update me by 3pm your time (Tuesday) on how far you have gotten, or if you have any issues. Thank you</t>
  </si>
  <si>
    <r>
      <rPr>
        <rFont val="Arial"/>
        <b/>
        <color rgb="FF0000FF"/>
      </rPr>
      <t xml:space="preserve">Task Total - 13 </t>
    </r>
    <r>
      <rPr>
        <rFont val="Arial"/>
        <color theme="1"/>
      </rPr>
      <t>(Pavithira)
Inprogress - 13 files (1 Priority-DIA)
Est Hrs- 7</t>
    </r>
  </si>
  <si>
    <r>
      <rPr>
        <rFont val="Arial"/>
        <b/>
        <color rgb="FF0000FF"/>
      </rPr>
      <t xml:space="preserve">Task Total - 13 </t>
    </r>
    <r>
      <rPr>
        <rFont val="Arial"/>
        <color theme="1"/>
      </rPr>
      <t>(Pavithira)
Inprogress - 13 files (1 Priority-DIA)
Booked Hrs- 4.49</t>
    </r>
  </si>
  <si>
    <t>Weekly meeting with Renate at 2.00 p.m. IST</t>
  </si>
  <si>
    <t>No work processed due to co-axis issue</t>
  </si>
  <si>
    <r>
      <rPr>
        <rFont val="Arial"/>
        <b/>
        <color rgb="FF0000FF"/>
      </rPr>
      <t xml:space="preserve">Task Total - 12 </t>
    </r>
    <r>
      <rPr>
        <rFont val="Arial"/>
        <color theme="1"/>
      </rPr>
      <t>(Pavithira)
Inprogress - 12 files (1 Priority-Gateway)
Est Hrs- 7</t>
    </r>
  </si>
  <si>
    <r>
      <rPr>
        <rFont val="Arial"/>
        <b/>
        <color rgb="FF0000FF"/>
      </rPr>
      <t xml:space="preserve">Task Total - 12 </t>
    </r>
    <r>
      <rPr>
        <rFont val="Arial"/>
        <color theme="1"/>
      </rPr>
      <t>(Pavithira)
Inprogress - 12 files (1 Priority-Gateway)
Booked Hrs- 5.50</t>
    </r>
  </si>
  <si>
    <r>
      <rPr>
        <rFont val="Arial"/>
        <b/>
        <color rgb="FF0000FF"/>
      </rPr>
      <t xml:space="preserve">Task Total - 12 </t>
    </r>
    <r>
      <rPr>
        <rFont val="Arial"/>
        <color theme="1"/>
      </rPr>
      <t>(Pavithira)
Inprogress - 11 files 
Completed - 1 file
Est Hrs- 8</t>
    </r>
  </si>
  <si>
    <r>
      <rPr>
        <rFont val="Arial"/>
        <b/>
        <color rgb="FF0000FF"/>
      </rPr>
      <t xml:space="preserve">Task Total - 12 </t>
    </r>
    <r>
      <rPr>
        <rFont val="Arial"/>
        <color theme="1"/>
      </rPr>
      <t xml:space="preserve">(Pavithira)
Inprogress - 11 files 
Completed - 1 file
Booked Hrs - 1.25 </t>
    </r>
  </si>
  <si>
    <r>
      <rPr>
        <rFont val="Arial"/>
        <b/>
        <color rgb="FF0000FF"/>
      </rPr>
      <t xml:space="preserve">Task Total - 12 </t>
    </r>
    <r>
      <rPr>
        <rFont val="Arial"/>
        <color theme="1"/>
      </rPr>
      <t>(Pavithira)
Inprogress - 11 files 
Completed - 1 file
Est Hrs- 8</t>
    </r>
  </si>
  <si>
    <r>
      <rPr>
        <rFont val="Arial"/>
        <b/>
        <color rgb="FF0000FF"/>
      </rPr>
      <t xml:space="preserve">Task Total - 12 </t>
    </r>
    <r>
      <rPr>
        <rFont val="Arial"/>
        <color theme="1"/>
      </rPr>
      <t>(Pavithira)
Inprogress - 11 files 
Completed - 1 file
Booked Hrs - 5.50</t>
    </r>
  </si>
  <si>
    <r>
      <rPr>
        <rFont val="Arial"/>
        <b/>
        <color rgb="FF0000FF"/>
      </rPr>
      <t xml:space="preserve">Task Total - 12 </t>
    </r>
    <r>
      <rPr>
        <rFont val="Arial"/>
        <color theme="1"/>
      </rPr>
      <t>(Pavithira)
Inprogress - 11 files 
Completed - 1 file
Est Hrs- 8</t>
    </r>
  </si>
  <si>
    <r>
      <rPr>
        <rFont val="Arial"/>
        <b/>
        <color rgb="FF0000FF"/>
      </rPr>
      <t xml:space="preserve">Task Total - 12 </t>
    </r>
    <r>
      <rPr>
        <rFont val="Arial"/>
        <color theme="1"/>
      </rPr>
      <t>(Pavithira)
Inprogress - 5 files 
Completed - 1 file
Booked Hrs - 7.15</t>
    </r>
  </si>
  <si>
    <t>Task Total - 12 (Pavithira)
Inprogress - 4 files
Waiting on client - 2
Completed - 2 file
Est Hrs- 8</t>
  </si>
  <si>
    <t>Task Total - 12 (Pavithira)
Inprogress - 3 files
Waiting on client - 4 files
Prepare - 3 files
Completed - 2 files
Booked Hrs - 5 hrs</t>
  </si>
  <si>
    <t>Task Total - 12 (Pavithira)
Inprogress - 3 files
Waiting on client - 4 files
Prepare - 3 files
Completed - 2 files
Est Hrs- 8</t>
  </si>
  <si>
    <t>Task Total - 12 (Pavithira)
Inprogress - 3 files
Waiting on client - 4 files
Prepare - 3 files
Completed - 2 files
Booked Hrs - 6 hrs</t>
  </si>
  <si>
    <t>Task Total - 12 (Pavithira)
Inprogress - 3 files
Waiting on client - 4 files
Prepare - 3 files
Completed - 2 files
Booked Hrs - 4.08 hrs</t>
  </si>
  <si>
    <t>Task Total - 12 (Pavithira)
Mail - 3
Inprogress - 3 files
Waiting on client - 6 files
Prepare - 1 files
Completed - 2 files
Est Hrs- 6</t>
  </si>
  <si>
    <t>Task Total - 12 (Pavithira)
Mail - 3
Inprogress - 3 files
Waiting on client - 6 files
Prepare - 1 files
Completed - 2 files
Booked Hrs- 4.14</t>
  </si>
  <si>
    <t>Task Total - 
Mail - 3
Inprogress - 3 files
Waiting on client - 6 files
Prepare - 1 files
Completed - 2 files</t>
  </si>
  <si>
    <t>Task Total - 12 (Pavithira)
Mail - 4 (weekly task)
Inprogress - 1 files
Waiting on client - 8 files
Prepare - 1 files
Completed - 2 files
Est Hrs- 6</t>
  </si>
  <si>
    <t>Task Total - 12 (Pavithira)
Mail - 4 (weekly task)
Inprogress - 1 files
Waiting on client - 8 files
Prepare - 1 files
Completed - 2 files
Booked Hrs- 3.16</t>
  </si>
  <si>
    <t>Task Total - 12 (Pavithira)
Mail - 0 (weekly task)
Inprogress - 1 files
Waiting on client - 8 files
Prepare - 1 files
Completed - 2 files - Waiting for Renate response.</t>
  </si>
  <si>
    <t>Task Total - 12 (Pavithira)
Mail - 0 (weekly task)
Inprogress - 1 files
Waiting on client - 8 files
Prepare - 1 files
Completed - 2 files
Booked Hrs- 25mins</t>
  </si>
  <si>
    <t xml:space="preserve">Renate is on vacation. We are waiting for her to reply to the questions posted. </t>
  </si>
  <si>
    <t>Task Total - 12 (Pavithira)
Mail - 0 (weekly task)
Inprogress - 1 files
Waiting on client - 8 files
Prepare - 1 files
Completed - 2 files - Waiting for Renate response.
EST hrs - 1 hr</t>
  </si>
  <si>
    <t>Task Total - 12 (Pavithira)
Mail - 0 (weekly task)
Inprogress - 1 files
Waiting on client - 8 files
Prepare - 1 files
Completed - 2 files
Booked Hrs- 1 hr</t>
  </si>
  <si>
    <t>Task Total - 12 (Pavithira)
Mail - 0 (weekly task)
Inprogress - 1 files
Waiting on client - 8 files
Prepare - 1 files
Completed - 2 files - Waiting for Renate response.
EST hrs - 3 hrs</t>
  </si>
  <si>
    <t>Task Total - 12 (Pavithira)
Mail - 0 (weekly task)
Inprogress - 1 files
Waiting on client - 8 files
Prepare - 1 files
Completed - 2 files
Booked Hrs- 5.35 hr</t>
  </si>
  <si>
    <t>Today we have weekly meeting with Renate. Waiting for the reply for question posted in Teams, wether she is avaialble for the meeting.</t>
  </si>
  <si>
    <t>Task Total - 12 (Divisha)
Mail - 0 (weekly task)
Inprogress - 1 files
Waiting on client - 8 files
Prepare - 1 files
Completed - 2 files - Waiting for Renate response.
EST hrs - 2 hrs</t>
  </si>
  <si>
    <t>Task Total - 12 (Pavithira)
Mail -14 (weekly task)
Prepare - 13 files
EST hrs - 8 hrs</t>
  </si>
  <si>
    <t>Task Total - 12 (Pavithira)
Mail -14 (weekly task)
Prepare - 12 files
Inprocess - 1 file
Booked hrs - 4 hrs</t>
  </si>
  <si>
    <t>Yes, QuickBooks Online (QBO) will be discontinuing the use of Tags on May 1, 2025, and replacing them with Custom Fields. You will no longer be able to create new tags after March 8, 2025. Existing tags will remain read-only until May 15, 2028</t>
  </si>
  <si>
    <t>Task Total - 12 (Pavithira)
Mail -14 (weekly task)
Prepare - 12 files
Inprocess - 1 file
Est hrs - 8 hrs</t>
  </si>
  <si>
    <t>Task Total - 12 (Pavithira)
Mail -14 (weekly task)
Prepare - 12 files
Inprocess - 1 file
Booked hrs - 6 hrs</t>
  </si>
  <si>
    <t>We have weekly meeting with Renate. Iam goin discuss about creating the weekly task and mothly task in canopy(other than bookkeeping files).</t>
  </si>
  <si>
    <t>Task Total - 12 (Pavithira)
Mail -14 (weekly task)
Prepare - 12 files
Inprocess - 1 file
Est hrs - 6 hrs</t>
  </si>
  <si>
    <t>Task Total - 12 (Pavithira)
Mail -14 (weekly task)
Prepare - 12 files
Inprocess - 1 file
Booked hrs - 5.35 hrs</t>
  </si>
  <si>
    <t>Task Total - 12 (Pavithira)
Mail -1 (weekly task)
Prepare - 12 files
Inprocess - 1 file
Est hrs - 6 hrs</t>
  </si>
  <si>
    <t>Task Total - 12 (Pavithira)
Mail -1 (weekly task)
Prepare - 9 files
Inprocess -2 files
Waiting on Info - 2 files
Booked hrs - 5.20 hrs</t>
  </si>
  <si>
    <t>Task Total - 12 (Pavithira)
Mail -1 (weekly task)
Prepare - 9 files
Inprocess -2 files
Waiting on Info - 2 files
Booked hrs - 4.50 hrs</t>
  </si>
  <si>
    <t>Task Total - 13 (Pavithira)
Mail -3 (weekly task)
Prepare - 7 files
Inprocess - 2 files
Waiting on Info - 4 files
Est hrs - 6 hrs</t>
  </si>
  <si>
    <t>Task Total - 13 (Pavithira)
Mail -3 (weekly task)
Prepare - 6 files
Inprocess -1 files
Waiting on Info - 5 files
Booked hrs - 5.55 hrs</t>
  </si>
  <si>
    <t>Task Total - 13 (Pavithira)
Mail -3 (weekly task)
Prepare - 6 files
Inprocess -1 files
Waiting on Info - 5 files
Est hrs - 8 hrs</t>
  </si>
  <si>
    <t>Task Total - 13 (Pavithira)
Mail -3 (weekly task)
Prepare - 6 files
Inprocess -1 files
Waiting on Info - 5 files
Booked hrs - 6.40 hrs</t>
  </si>
  <si>
    <t>Task Total - 13 (Pavithira)
Mail -3 (weekly task)
Prepare - 6 files
Inprocess -1 files
Waiting on Info - 5 files
Booked hrs - 6.45 hrs</t>
  </si>
  <si>
    <t>Priority DIA, Nordic pure, Gateway</t>
  </si>
  <si>
    <t>Task Total - 13 (Pavithira)
Mail - 13 
Prepare - 5 files
Inprocess -4 files
Waiting on Info - 4 files
Est hrs - 8 hrs</t>
  </si>
  <si>
    <t>Task Total - 13 (Pavithira)
Mail - 13 
Prepare - 5 files
Inprocess -4 files
Waiting on Info - 4 files
Booked hrs - 4.50 hrs</t>
  </si>
  <si>
    <t>Task Total - 13 (Pavithira)
Mail - 14 
Prepare - 5 files
Inprocess -4 files
Waiting on Info - 4 files
Est hrs - 8 hrs</t>
  </si>
  <si>
    <t>Task Total - 13 (Pavithira)
Mail - 11
Prepare - 5 files
Inprocess -4 files
Waiting on Info - 4 files
Booked hrs - 4.30 hrs</t>
  </si>
  <si>
    <t>Task Total - 14 (Pavithira)
Mail - 14 
Prepare - 6 files
Inprocess - 4 files
Waiting on Info - 4 files
Est hrs - 8 hrs</t>
  </si>
  <si>
    <t>Task Total - 14 (Pavithira)
Mail - 14 
Prepare - 6 files
Inprocess - 4 files
Waiting on Info - 4 files
Booked hrs - 6.05 hrs</t>
  </si>
  <si>
    <t>Task Total - 14 (Pavithira)
Mail - 17 
Prepare - 6 files
Inprocess - 4 files
Waiting on Info - 4 files
Est hrs - 8 hrs</t>
  </si>
  <si>
    <t>Task Total - 14 (Pavithira)
Mail - 17 
Prepare - 6 files
Inprocess - 4 files
Waiting on Info - 4 files
Booked hrs - 4.50 hrs</t>
  </si>
  <si>
    <t>Task Total - 14 (Pavithira)
Mail - 10 
Prepare - 6 files
Inprocess - 4 files
Waiting on Info - 2 files
Est hrs - 8 hrs</t>
  </si>
  <si>
    <t>Task Total - 14 (Pavithira)
Mail - 10 
Prepare - 6 files
Inprocess - 4 files
Waiting on Info - 2 files
Booked hrs - 6.23 hrs</t>
  </si>
  <si>
    <t>Task Total - 14 (Pavithira)
Mail - 4 
Yet to Start - 6 files
In process - 3 files
Waiting on Info - 2 files
Est hrs - 6 hrs</t>
  </si>
  <si>
    <t>Task Total - 14 (Pavithira)
Mail - 4 
Yet to Start - 6 files
In process - 3 files
Waiting on Info - 2 files
Booked hrs - 4.40 hrs</t>
  </si>
  <si>
    <t>Task Total - 14 (Pavithira)
Mail - 4 
Yet to Start - 5 files
In process - 3 files(DIA - completed from our end)
Waiting on Info - 3 files
Completed - 3 files
Est hrs - 8 hrs</t>
  </si>
  <si>
    <t>Task Total - 14 (Pavithira)
Mail - 4 
Yet to Start - 5 files
In process - 3 files(DIA - completed from our end)
Waiting on Info - 3 files
Completed - 3 files
Booked hrs - 6.25 hrs</t>
  </si>
  <si>
    <t>Task Total - 14 (Pavithira)
Mail - 5 
Yet to Start - 5 files (1 No need to process)
In process - 2 files(DIA - completed from our end)
Waiting on Info - 4 files
Completed - 3 files
Est hrs - 8 hrs</t>
  </si>
  <si>
    <t>Task Total - 14 (Pavithira)
Mail - 0 
Yet to Start - 4 files (1 No need to process)
In process - 3 files(DIA - completed from our end)
Waiting on Info - 4 files
Completed - 3 files
Booked hrs - 6 hrs ( fixed the unclear transaction of apr, mar)</t>
  </si>
  <si>
    <t>Task Total - 14 (Pavithira)
Mail - 1 
Yet to Start - 4 files (1 No need to process)
In process - 3 files(DIA - completed from our end)
Waiting on Info - 4 files
Completed - 3 files
Est hrs - 8 hrs</t>
  </si>
  <si>
    <t>Task Total - 14 (Pavithira)
Mail - 0 
Yet to Start - 2 files (1 No need to process)
In process - 3 files(DIA - completed from our end)
Waiting on Info - 6 files
Completed - 3 files
Booked hrs - 6 hrs</t>
  </si>
  <si>
    <t>Task Total - 14 (Pavithira)
Mail - 1 
Yet to Start - 2 files (1 No need to process)
In process - 3 files(DIA - completed from our end)
Waiting on Info - 6 files
Completed - 3 files
Est hrs - 8 hrs</t>
  </si>
  <si>
    <t>Task Total - 14 (Pavithira)
Mail - 1 
Yet to Start - 2 files (1 No need to process)
In process - 3 files(DIA - completed from our end)
Waiting on Info - 6 files
Completed - 3 filesBooked hrs - 5.30 hrs</t>
  </si>
  <si>
    <t>Task Total - 14 (Pavithira)
Mail - 0
Yet to Start - 1 files (1 No need to process)
In process - 1 files(DIA - completed from our end)
Waiting on Info - 9 files
Completed - 3 files
Est hrs - 1 hr</t>
  </si>
  <si>
    <t>Task Total - 14 (Pavithira)
Mail - 0
Yet to Start - 1 files (1 No need to process)
In process - 1 files(DIA - completed from our end)
Waiting on Info - 9 files
Completed - 3 files
Booked hrs - 1 hr</t>
  </si>
  <si>
    <t>Task Total - 14 (Pavithira)
Mail - 1
Yet to Start - 1 files (1 No need to process)
In process - 1 files(DIA - completed from our end)
Waiting on Info - 9 files
Completed - 3 files
Est hrs - 4 hrs</t>
  </si>
  <si>
    <t>Task Total - 14 (Pavithira)
Mail - 1
Yet to Start - 1 files (1 No need to process)
In process - 1 files(DIA - completed from our end)
Waiting on Info - 9 files
Completed - 3 files
Booked hrs - 2.40 hrs</t>
  </si>
  <si>
    <t>Task Total - 14 (Pavithira)
Mail - 5
Yet to Start - 1 files (1 No need to process)
In process - 1 files(DIA - completed from our end)
Waiting on Info - 9 files
Completed - 3 files
Est hrs -  5 hrs</t>
  </si>
  <si>
    <t>Task Total - 14 (Pavithira)
Mail - 0
Yet to Start - 1 files (1 No need to process)
In process - 1 files(DIA - completed from our end)
Waiting on Info - 9 files
Completed - 3 files
Booked hrs -  5 hrs</t>
  </si>
  <si>
    <t>Task Total - 12 (Pavithira)
Mail - 10
Yet to Start - 18 files (1 No need to process)
In process - 0 files
Waiting on Info - 0 files
Completed - 0 files
Payroll - 6 files
Est hrs - 8 hrs</t>
  </si>
  <si>
    <t>Task Total - 12 (Pavithira)
Mail - 0
Yet to Start - 18 files (1 No need to process)
In process - 0 files
Waiting on Info - 0 files
Completed - 0 files
Payroll - 6 files
Booked hrs - 2.10 hrs</t>
  </si>
  <si>
    <t>Task Total - 12 (Pavithira)
Mail - 16
Yet to Start - 18 files (1 No need to process)
In process - 0 files
Waiting on Info - 0 files
Completed - 0 files
Payroll - 6 files
Est hrs - 8 hrs</t>
  </si>
  <si>
    <t>Task Total - 12 (Pavithira)
Mail - 1
Yet to Start - 17 files (1 No need to process)
In process - 1 files
Waiting on Info - 0 files
Completed - 0 files
Payroll - 6 files
Booked hrs - 5.30 hrs</t>
  </si>
  <si>
    <t>Task Total - 12 (Pavithira)
Mail - 5
Yet to Start - 17 files (1 No need to process)
In process - 1 files
Waiting on Info - 0 files
Completed - 0 files
Payroll - 6 files
Est hrs - 8 hrs</t>
  </si>
  <si>
    <t>Task Total - 12 (Pavithira)
Mail - 2
Yet to Start - 17 files (1 No need to process)
In process - 1 files
Waiting on Info - 0 files
Completed - 0 files
Payroll - 6 files
Booked hrs - 5.35 hrs</t>
  </si>
  <si>
    <t>Task Total - 12 (Pavithira)
Mail - 4
Yet to Start - 17 files (1 No need to process)
In process - 1 files
Waiting on Info - 0 files
Completed - 0 files
Payroll - 6 files
Est hrs - 8 hrs</t>
  </si>
  <si>
    <t>Task Total - 12 (Pavithira)
Mail - 2
Yet to Start - 17 files (1 No need to process)
In process - 1 files
Waiting on Info - 0 files
Completed - 0 files
Payroll - 6 files
Booked hrs - 5.30 hrs</t>
  </si>
  <si>
    <t>Task Total - 12 (Pavithira)
Mail - 5
Yet to Start - 16 files (1 No need to process)
In process - 1 files
Waiting on Info - 1 files
Completed - 0 files
Payroll - 6 files
Est hrs - 8 hrs</t>
  </si>
  <si>
    <t>Task Total - 12 (Pavithira)
Mail - 2
Yet to Start - 14 files (1 No need to process)
In process - 1 files
Waiting on Info - 1 files
Completed - 2 files
Payroll - 6 files
Booked hrs - 6.50 hrs</t>
  </si>
  <si>
    <t>Task Total - 12 (Pavithira)
Mail - 6
Yet to Start - 14 files (1 No need to process)
In process - 0 files
Waiting on Info - 1 files
Completed - 2 files
Payroll - 6 files
Est hrs - 8 hrs</t>
  </si>
  <si>
    <t>Task Total - 12 (Pavithira)
Mail - 2
Yet to Start - 14 files (1 No need to process)
In process - 0 files
Waiting on Info - 1 files
Completed - 2 files
Payroll - 5 files Booked hrs - 6.35 hrs</t>
  </si>
  <si>
    <t>Task Total - 18 (Pavithira)
Mail - 10
Yet to Start - 10 files (1 No need to process)
In process - 1 files
Waiting on Info - 4 files
Completed - 3 files
Payroll - 6 files 
Est hrs - 8 hrs</t>
  </si>
  <si>
    <t>Task Total - 18 (Pavithira)
Mail - 10
Yet to Start - 10 files (1 No need to process)
In process - 1 files
Waiting on Info - 4 files
Completed - 3 files
Payroll - 6 files 
Booked hrs - 4.35 hrs</t>
  </si>
  <si>
    <t>Task Total - 18 (Payroll - 6 files) (Pavithira)
Mail - 10
Yet to Start - 9 task (1 No need to process)
In process - 2 files
Waiting on Info - 3 files
Completed - 4 files
Est hrs - 8 hrs</t>
  </si>
  <si>
    <t>Task Total - 18 (Payroll - 6 files) (Pavithira)
Mail - 10
Yet to Start - 9 task (1 No need to process)
In process - 2 files
Waiting on Info - 3 files
Completed - 4 files
Booked hrs -2.30 hrs</t>
  </si>
  <si>
    <t>Task Total - 18 (Payroll - 6 task) (Pavithira)
Mail - 10
Yet to Start - 9 task (1 No need to process)
In process - 2 task
Waiting on Info - 3 task
Completed - 4 task
 Booked hrs - 5.45  hrs</t>
  </si>
  <si>
    <t>Task Total - 18 (Payroll - 6 task) (Pavithira)
Mail - 14
Yet to Start - 9 task (1 No need to process)
In process - 1 task
Waiting on Info - 4 task
Completed - 4 task
Est hrs - 8 hrs</t>
  </si>
  <si>
    <t>Task Total - 18 (Payroll - 6 task) (Pavithira)
Mail -3
Yet to Start - 9 task (1 No need to process)
In process - 1 task
Waiting on Info - 4 task
Completed - 4 task Booked hrs - 6.45 hrs</t>
  </si>
  <si>
    <t>Task Total - 18 (Payroll - 6 task) (Pavithira)
Mail - 8
Yet to Start - 9 task (1 No need to process)
In process - 1 task
Waiting on Info - 4 task
Completed - 4 task
Est hrs - 8 hrs</t>
  </si>
  <si>
    <t>Task Total - 18 (Payroll - 6 task) (Pavithira)
Mail - 8
Yet to Start - 9 task (1 No need to process)
In process - 2 task
Waiting on Info - 3 task
Completed - 4 task
Booked hrs -6.15 hrs</t>
  </si>
  <si>
    <t>Task Total - 18 (Payroll - 6 task) (Pavithira)
Mail - 8
Yet to Start - 9 task (1 No need to process)
In process - 2 task
Waiting on Info - 3 task
Completed - 4 task
Est hrs - 8 hrs</t>
  </si>
  <si>
    <t>Task Total - 18 (Payroll - 6 task) (Pavithira)
Mail - 8
Yet to Start - 9 task (1 No need to process)
In process - 2 task
Waiting on Info - 3 task
Completed - 4 task
Booked hrs - 6.30 hrs</t>
  </si>
  <si>
    <t>Task Total - 18 (Payroll - 6 task) (Pavithira)
Mail - 11
Yet to Start - 9 task (1 No need to process)
In process - 2 task
Waiting on Info - 3 task
Completed - 4 task
Est hrs - 8 hrs</t>
  </si>
  <si>
    <t>Task Total - 18 (Payroll - 6 task) (Pavithira)
Mail - 4
Yet to Start - 9 task (1 No need to process)
In process - 2 task
Waiting on Info - 3 task
Completed - 4 task
Booked hrs - 6.20 hrs</t>
  </si>
  <si>
    <t>Task Total - 18 (Payroll - 6 task) (Pavithira)
Mail - 5
Yet to Start - 5 task (1 No need to process)
In process - 3 task
Waiting on Info - 4 task
Completed - 6 task
Est hrs - 8 hrs</t>
  </si>
  <si>
    <t>Task Total - 18 (Payroll - 6 task) (Pavithira)
Mail - 5
Yet to Start - 5 task (1 No need to process)
In process - 3 task
Waiting on Info - 4 task
Completed - 6 task Booked hrs - 6 hrs</t>
  </si>
  <si>
    <t>Task Total - 18 (Payroll - 6 task) (Pavithira)
Mail - 7
Yet to Start - 5 task (1 No need to process)
In process - 2 task
Waiting on Info - 5 task
Completed - 6 task
Est hrs - 8 hrs</t>
  </si>
  <si>
    <t>Task Total - 18 (Payroll - 6 task) (Pavithira)
Mail - 7
Yet to Start - 4 task (1 No need to process)
In process - 1 task
Waiting on Info - 7 task
Completed - 6 task
Booked hrs - 6.15 hrs</t>
  </si>
  <si>
    <t>Task Total - 18 (Payroll - 6 task) (Pavithira)
Mail - 7
Yet to Start - 4 task (1 No need to process)
In process - 1 task
Waiting on Info - 7 task
Completed - 6 task
Est hrs - 8 hrs</t>
  </si>
  <si>
    <t>Task Total - 18 (Payroll - 6 task) (Pavithira)
Mail - 7
Yet to Start - 4 task (1 No need to process)
In process - 1 task
Waiting on Info - 7 task
Completed - 6 task
Booked hrs - 6.25 hrs</t>
  </si>
  <si>
    <t>Task Total - 18 (Payroll - 6 task) (Pavithira)
Mail - 4
Yet to Start - 3 task (1 No need to process)
In process - 1 task
Waiting on Info - 8 task
Completed - 6 task
Est hrs - 8 hrs</t>
  </si>
  <si>
    <t>Task Total - 18 (Payroll - 6 task) (Pavithira)
Mail - 4
Yet to Start - 3 task (1 No need to process)
In process - 1 task
Waiting on Info - 8 task
Completed - 6 task
Booked hrs - 5.20 hrs</t>
  </si>
  <si>
    <t>Task Total - 17 (Payroll - 6 task) (Pavithira)
Mail - 2
Yet to Start - 0 task 
In process - 1 task
Waiting on Info - 10 task
Completed - 6 task Booked hrs - 5.15 hrs</t>
  </si>
  <si>
    <t xml:space="preserve">Task Total - 18 (Payroll - 6 task) 
Mail - 4
Yet to Start - 3 task (1 No need to process)
In process - 1 task
Waiting on Info - 8 task
Completed - 6 task
</t>
  </si>
  <si>
    <t>Task Total - 17 (Payroll - 6 task) (Pavithira)
Mail - 6
Yet to Start - 2 task 
In process - 3 task
Waiting on Info - 6 task
Completed - 6 task
Est hrs - 8 hrs</t>
  </si>
  <si>
    <t>Task Total - 17 (Payroll - 6 task) (Pavithira)
Mail - 6
Yet to Start - 2 task 
In process - 3 task
Waiting on Info - 6 task
Completed - 6 task
Booked hrs - 6.45 hrs</t>
  </si>
  <si>
    <t>Task Total - 17 (Payroll - 6 task) (Pavithira)
Mail - 10
Yet to Start - 2 task 
In process - 3 task
Waiting on Info - 6 task
Completed - 6 task
Est hrs - 8 hrs</t>
  </si>
  <si>
    <t>Task Total - 17 (Payroll - 6 task) (Pavithira)
Mail - 10
Yet to Start - 2 task 
In process - 3 task
Waiting on Info - 6 task
Completed - 6 task Booked hrs - 5.45 hrs</t>
  </si>
  <si>
    <t>Task Total - 17 (Payroll - 6 task) (Pavithira)
Mail - 12
Yet to Start - 1 task 
In process - 4 task
Waiting on Info - 6 task
Completed - 6 task
Est hrs - 8 hrs</t>
  </si>
  <si>
    <t>Task Total - 17 (Payroll - 6 task) (Pavithira)
Mail - 12
Yet to Start - 1 task 
In process - 4 task
Waiting on Info - 6 task
Completed - 6 task
Booked hrs - 6.20 hrs</t>
  </si>
  <si>
    <t>Treasury navigator bank App - able to access today.</t>
  </si>
  <si>
    <t>Task Total - 17 (Payroll - 6 task) (Pavithira)
Mail - 12
Yet to Start - 1 task 
In process - 1 task
Waiting on Info - 9 task
Completed - 6 task
Est hrs - 8 hrs</t>
  </si>
  <si>
    <t>Task Total - 17 (Payroll - 6 task) (Pavithira)
Mail - 12
Yet to Start - 1 task 
In process - 0 task
Waiting on Info - 7 task
Completed - 9 task
Booked hrs - 4.05 hrs</t>
  </si>
  <si>
    <t>Treasury navigator not able to access TODAY.</t>
  </si>
  <si>
    <t>Task Total - 11 (Pavithira)
Mail - 1
Yet to Start - 10 task 
In process - 1 task
Waiting on Info - 0 task
Completed - 0 task
Est hrs - 8 hrs</t>
  </si>
  <si>
    <t>Task Total - 11 (Pavithira)
Mail - 0
Yet to Start - 10 task 
In process - 1 task
Waiting on Info - 0 task
Completed - 0 task
Booked hrs - 6 hrs</t>
  </si>
  <si>
    <t>Treasury navigator not able to access TODAY. DIA Priority, All pest - weekly task</t>
  </si>
  <si>
    <t>"Task Total - 11 (Pavithira)
Mail - 5
Yet to Start - 10 task 
In process - 1 task
Waiting on Info - 0 task
Completed - 0 task
Est hrs - 8 hrs"</t>
  </si>
  <si>
    <t>"Task Total - 11 (Pavithira)
Mail - 5
Yet to Start - 9 task 
In process - 2 task
Waiting on Info - 0 task
Completed - 0 taskBooked hrs - 7.06 hrs"</t>
  </si>
  <si>
    <t>Task Total - 11 (Pavithira)
Mail - 12
Yet to Start - 9 task 
In process - 2 task
Waiting on Info - 0 task
Completed - 0 task
Est hrs - 8 hrs</t>
  </si>
  <si>
    <t>Task Total - 11 (Pavithira)
Mail - 12
Yet to Start - 9 task 
In process - 2 task
Waiting on Info - 0 task
Completed - 0 task
Booked hrs - 6.45 hrs</t>
  </si>
  <si>
    <t>Task Total - 11 (Pavithira)
Mail - 15
Yet to Start - 8 task 
In process - 2 task
Waiting on Info - 0 task
Completed - 1 task
Est hrs - 8 hrs</t>
  </si>
  <si>
    <t>Task Total - 11 (Pavithira)
Mail - 15
Yet to Start - 8 task 
In process - 2 task
Waiting on Info - 0 task
Completed - 1 task
Booked hrs - 6.05 hrs</t>
  </si>
  <si>
    <t>Task Total - 11 (Pavithira)
Mail - 11
Yet to Start - 8 task 
In process - 2 task
Waiting on Info - 0 task
Completed - 1 task
Est hrs - 8 hrs</t>
  </si>
  <si>
    <t>Task Total - 11 (Pavithira)
Mail - 11
Yet to Start - 7 task 
In process - 3 task
Waiting on Info - 0 task
Completed - 1 task
Booked hrs - 7.23 hrs</t>
  </si>
  <si>
    <t>Task Total - 11 (Pavithira)
Mail - 11
Yet to Start - 7 task 
In process - 3 task
Waiting on Info - 0 task
Completed - 1 task
Est hrs - 8 hrs</t>
  </si>
  <si>
    <t>Task Total - 11 (Pavithira)
Mail - 11
Yet to Start - 7 task 
In process - 3 task
Waiting on Info - 0 task
Completed - 1 task
Booked hrs - 7.15 hrs</t>
  </si>
  <si>
    <t>Task Total - 11 (Pavithira)
Mail - 11
Yet to Start - 7 task 
In process - 3 task
Waiting on Info - 0 task
Completed - 1 task
Booked hrs - 7.2 hrs</t>
  </si>
  <si>
    <t>Task Total - 9 (Pavithira)
Mail - 11
Yet to Start - 6task 
In process - 2 task
Waiting on Info - 0 task
Completed - 1 task
Est hrs - 8 hrs</t>
  </si>
  <si>
    <t>Task Total - 9 (Pavithira)
Mail - 8
Yet to Start - 6task 
In process - 2 task
Waiting on Info - 0 task
Completed - 1 task
Booked hrs - 6.35 hrs</t>
  </si>
  <si>
    <t>I'm writing to let you know that effective immediately, we have cancelled services with Nordic Pure and Russell Schmidt. This is not a reflection of the quality of work that was provided - the client hired a replacement in-house Accountant so we will not need to continue with the work that we have been doing. 
I have archived all the tasks in Canopy and I will work on shifting other work over to you in the coming weeks.</t>
  </si>
  <si>
    <t>Task Total - 9 (Pavithira)
Mail - 13
Yet to Start - 6task 
In process - 2 task
Waiting on Info - 0 task
Completed - 1 task
Est hrs - 6 hrs</t>
  </si>
  <si>
    <t>Task Total - 9 (Pavithira)
Mail - 13
Yet to Start - 6task 
In process - 2 task
Waiting on Info - 0 task
Completed - 1 task
Booked hrs - 4 hrs</t>
  </si>
  <si>
    <t>Task Total - 9 (Pavithira)
Mail - 10
Yet to Start - 6 task 
In process - 1 task
Waiting on Info - 0 task
Completed - 2 task
Est hrs - 8 hrs</t>
  </si>
  <si>
    <t>Task Total - 9 (Pavithira)
Mail - 6
Yet to Start - 4 task 
In process - 1 task
Waiting on Info - 2 task
Completed - 2 task
Booked hrs - 6.20 hrs</t>
  </si>
  <si>
    <t>Task Total - 9 (Pavithira)
Mail - 9
Yet to Start - 4 task 
In process - 1 task
Waiting on Info - 2 task
Completed - 2 task
Est hrs - 7 hrs</t>
  </si>
  <si>
    <t>Task Total - 9 (Pavithira)
Mail - 9
Yet to Start - 4 task 
In process - 1 task
Waiting on Info - 2 task
Completed - 2 task
Booked hrs - 6.20 hrs</t>
  </si>
  <si>
    <t>Task Total -10 (Pavithira)
Mail - 3
Yet to Start - 5 task 
In process - 1 task
Waiting on Info - 2 task
Completed - 2 task
Est hrs - 7 hrs</t>
  </si>
  <si>
    <t>Task Total -10 (Pavithira)
Mail - 3
Yet to Start - 3 task 
In process - 1 task
Waiting on Info - 4 task
Completed - 2 task
Booked hrs - 6.20 hrs</t>
  </si>
  <si>
    <t xml:space="preserve">Task Total -10 
Mail - 3
Yet to Start - 5 task 
In process - 1 task
Waiting on Info - 2 task
Completed - 2 task
</t>
  </si>
  <si>
    <t>Task Total -10 (Pavithira)
Mail - 12
Yet to Start - 3 task 
In process - 1 task
Waiting on Info - 4 task
Completed - 2 task
Est hrs - 7 hrs</t>
  </si>
  <si>
    <t>Task Total -10 (Pavithira)
Mail - 9
Yet to Start - 2 task 
In process - 1 task
Waiting on Info - 5 task
Completed - 2 task
Booked hrs - 6.45 hrs</t>
  </si>
  <si>
    <t>Task Total -10 (Pavithira)
Mail - 9
Yet to Start - 2 task 
In process - 1 task
Waiting on Info - 5 task
Completed - 2 task
Est hrs - 7 hrs</t>
  </si>
  <si>
    <t>Task Total -10 (Pavithira)
Mail - 0
Yet to Start - 1 task 
In process - 1 task
Waiting on Info - 5 task
Completed - 3 taskBooked  hrs - 6.40 hrs</t>
  </si>
  <si>
    <t>Task Total -10 (Pavithira)
Mail - 4
Yet to Start - 1 task 
In process - 2 task
Waiting on Info - 4 task
Completed - 3 task
Est hrs - 6 hrs</t>
  </si>
  <si>
    <t>Task Total -10 (Pavithira)
Mail - 0
Yet to Start - 1 task 
In process - 1 task
Waiting on Info - 5 task
Completed - 3 task
Booked hrs - 5 hrs</t>
  </si>
  <si>
    <t>Task Total -10 (Pavithira)
Mail - 2
Yet to Start - 0 task 
In process - 1 task
Waiting on Info - 6 task
Completed - 3 task
Est hrs - 7 hrs</t>
  </si>
  <si>
    <t>Task Total -10 (Pavithira)
Mail - 0
Yet to Start - 0 task 
In process - 1 task
Waiting on Info - 6 task
Completed - 3 task
Booked hrs - 6 hrs</t>
  </si>
  <si>
    <t>Task Total -10 (Pavithira)
Mail - 0
Yet to Start - 0 task 
In process - 0 task
Waiting on Info - 7 task
Completed - 3 task
Est hrs - 2 hrs</t>
  </si>
  <si>
    <t>Task Total -10 (Pavithira)
Mail - 0
Yet to Start - 0 task 
In process - 0 task
Waiting on Info - 7 task
Completed - 3 taskBooked hrs - 5.35 hrs</t>
  </si>
  <si>
    <t>Task Total -11 (Pavithira)
Mail - 2
Yet to Start - 11 task 
In process - 0 task
Waiting on Info - 0 task
Completed - 0 task
Est hrs - 8 hrs</t>
  </si>
  <si>
    <t>Task Total -11 (Pavithira)
Mail - 0
Yet to Start - 10 task 
In process - 1 task
Waiting on Info - 0 task
Completed - 0 task
Booked hrs - 6.52 hrs</t>
  </si>
  <si>
    <t>Task Total -11 (Pavithira)
Mail - 1
Yet to Start - 9 task 
In process - 2 task
Waiting on Info - 0 task
Completed - 0 task
Est hrs - 8 hrs</t>
  </si>
  <si>
    <t>Task Total -11 (Pavithira)
Mail - 1
Yet to Start - 9 task 
In process - 0 task
Waiting on Info - 2 task
Completed - 0 task
Booked hrs - 5.25 hrs</t>
  </si>
  <si>
    <t>Task Total -11 (Pavithira)
Mail - 5
Yet to Start - 9 task 
In process - 1 task
Waiting on Info - 1 task
Completed - 0 task
Est hrs - 8 hrs</t>
  </si>
  <si>
    <t>Task Total -11 (Pavithira)
Mail - 3
Yet to Start - 6 task 
In process - 2 task
Waiting on Info - 2 task
Completed - 1 task
Booked hrs - 7 hrs</t>
  </si>
  <si>
    <t>Task Total -11 (Pavithira)
Mail - 6
Yet to Start - 6 task 
In process - 2 task
Waiting on Info - 2 task
Completed - 1 task
Est hrs - 8 hrs</t>
  </si>
  <si>
    <t>Task Total -11 (Pavithira)
Mail - 3
Yet to Start - 4 task 
In process - 2 task
Waiting on Info - 5 task
Completed - 0 task
Booked hrs - 6.20 hrs</t>
  </si>
  <si>
    <t xml:space="preserve">Reviewed the GRA Admin for Jan 2025 and reclassified the 2025 transactions payee name. Unable to merge it. Fixed the plan fee transactions. </t>
  </si>
  <si>
    <t>"Task Total -11 (Pavithira)
Mail - 3
Yet to Start - 4 task 
In process - 2 task
Waiting on Info - 5 task
Completed - 0 task
Est hrs - 8 hrs"</t>
  </si>
  <si>
    <t>"""Task Total -11 (Pavithira)
Mail - 1
Yet to Start - 2 task 
In process - 3 task
Waiting on Info - 5 task
Completed - 1 task
Booked hrs - 7 hrs"""</t>
  </si>
  <si>
    <t>Didn't receive any response for Priority (DIA, Gateway)</t>
  </si>
  <si>
    <t>"Task Total -11 (Pavithira)
Mail - 5
Yet to Start - 2 task 
In process - 3 task
Waiting on Info - 5 task
Completed - 1 task
Est hrs - 8 hrs"</t>
  </si>
  <si>
    <t>"Task Total -11 (Pavithira)
Mail - 4
Yet to Start - 2 task 
In process - 2 task
Waiting on Info - 6task
Completed - 1 task
Booked hrs - 6 hrs"</t>
  </si>
  <si>
    <t>"Task Total -11 (Pavithira)
Mail - 11
Yet to Start - 2 task 
In process - 3 task
Waiting on Info - 5 task
Completed - 1 task
Est hrs - 4 hrs"</t>
  </si>
  <si>
    <t>"Task Total -11 (Pavithira)
Mail - 4
Yet to Start - 2 task 
In process - 2 task
Waiting on Info - 6task
Completed - 1 task
Booked hrs - 2.45 hrs"</t>
  </si>
  <si>
    <t xml:space="preserve">"Task Total -11 
Mail - 5
Yet to Start - 2 task 
In process - 3 task
Waiting on Info - 5 task
Completed - 1 task
</t>
  </si>
  <si>
    <t>Task Total -11 (Pavithira)
Mail - 21
Yet to Start - 2 task 
In process - 3 task
Waiting on Info - 4 task
Completed - 2 task
Est hrs - 8 hrs</t>
  </si>
  <si>
    <t>"Task Total -11 (Pavithira)
Mail - 21
Yet to Start - 2 task 
In process - 3 task
Waiting on Info - 4 task
Completed - 2 task
Booked hrs - 8.25 hrs"</t>
  </si>
  <si>
    <t>"Task Total -11 (Pavithira)
Mail - 21
Yet to Start - 2 task 
In process - 3 task
Waiting on Info - 4 task
Completed - 2 task
Est hrs - 8 hrs</t>
  </si>
  <si>
    <t>"Task Total -11 (Pavithira)
Mail - 21
Yet to Start - 2 task 
In process - 3 task
Waiting on Info - 4 task
Completed - 2 task
Booked hrs - 7.20 hrs</t>
  </si>
  <si>
    <t>"""Task Total -11 (Pavithira)
Mail - 19
Yet to Start - 2 task 
In process - 3 task
Waiting on Info - 4 task
Completed - 2 task
Est hrs - 6 hrs"</t>
  </si>
  <si>
    <t>"Task Total -11 (Pavithira)
Mail - 19
Yet to Start - 2 task 
In process - 3 task
Waiting on Info - 4 task
Completed - 2 task
Booked hrs - 7.50 hrs</t>
  </si>
  <si>
    <t>"""Task Total -11 (Pavithira)
Mail - 19
Yet to Start - 2 task 
In process - 3 task
Waiting on Info - 4 task
Completed - 2 task
Est hrs - 8 hrs"</t>
  </si>
  <si>
    <t>"Task Total -11 (Pavithira)
Mail - 6
Yet to Start - 2 task 
In process - 3 task
Waiting on Info - 4 task
Completed - 2 task
Booked hrs - 6.10 hrs</t>
  </si>
  <si>
    <t>Task Total -11 (Pavithira)
Mail - 7
Yet to Start - 2 task 
In process - 3 task
Waiting on Info - 4 task
Completed - 2 task
Est hrs - 8 hrs</t>
  </si>
  <si>
    <t>"Task Total -11 (Pavithira)
Mail - 7
Yet to Start - 2 task 
In process - 3 task
Waiting on Info - 4 task
Completed - 2 task
 Booked hrs - 6.48 hrs"</t>
  </si>
  <si>
    <t>"Task Total - 5 (Pavithira)
Mail - 5
Yet to Start - 1 task 
In process - 2 task
Waiting on Info - 2 task
Completed - 0 task
Est hrs - 8 hrs"</t>
  </si>
  <si>
    <t>"""Task Total - 9 (Pavithira)
Mail - 1
Yet to Start - 0 task 
In process -1 task
Waiting on Info - 4 task
Completed - 4 task
Booked hrs - 4.38 hrs"""</t>
  </si>
  <si>
    <t>Task Total - 9 (Pavithira)
Mail - 2
Yet to Start - 0 task 
In process - 1 task
Waiting on Info - 4 task
Completed - 4 task
Est hrs - 3 hrs</t>
  </si>
  <si>
    <t>"Task Total - 9 (Pavithira)
Mail - 1
Yet to Start - 0 task 
In process - 1 task
Waiting on Info - 4 task
Completed - 4 task
Booked hrs - 4.23 hrs"</t>
  </si>
  <si>
    <t>Task Total - 5 (Pavithira)
Mail - 2
Yet to Start - 0 task 
In process - 1 task
Waiting on Info - 4 task
Completed - 4 task
Est hrs - 0 hrs</t>
  </si>
  <si>
    <t>"Task Total - 9 (Pavithira)
Mail - 2
Yet to Start - 0 task 
In process - 1 task
Waiting on Info - 4 task
Completed - 4 task
Est hrs - 3 hrs"</t>
  </si>
  <si>
    <t>"Task Total - 9 (Pavithira)
Mail - 1
Yet to Start - 0 task 
In process - 0 task
Waiting on Info - 5 task
Completed - 4 task
Booked hrs - 3.05 hrs"</t>
  </si>
  <si>
    <t>"Task Total - 9 (Pavithira)
Mail - 1
Yet to Start - 0 task 
In process - 0 task
Waiting on Info - 5 task
Completed - 4 task
Est hrs - 10 mins</t>
  </si>
  <si>
    <t>"Task Total - 9 (Pavithira)
Mail - 1
Yet to Start - 0 task 
In process - 0 task
Waiting on Info - 5 task
Completed - 4 task
Booked hrs - 10 mins</t>
  </si>
  <si>
    <t>Need to discuss about the call. - We shall request to continue our call on 8th of October.</t>
  </si>
  <si>
    <t>"Task Total - 9 (Pavithira)
Mail - 1
Yet to Start - 0 task 
In process - 0 task
Waiting on Info - 5 task
Completed - 4 task
Est hrs - 1.15 hrs</t>
  </si>
  <si>
    <t>"""Task Total - 9 (Pavithira)
Mail - 1
Yet to Start - 0 task 
In process - 0 task
Waiting on Info - 5 task
Completed - 4 task
Booked hrs - 1.15 hrs"</t>
  </si>
  <si>
    <t>"Task Total - 9 (Pavithira)
Mail - 1
Yet to Start - 0 task 
In process - 0 task
Waiting on Info - 5 task
Completed - 4 task
Bokeed hrs - 10 mins</t>
  </si>
  <si>
    <t>"Task Total - 14 (Pavithira)
Mail - 13
Yet to Start - 13 task 
In process - 0 task
Waiting on Info - 0 task
Completed - 0 task
Est hrs - 4hrs</t>
  </si>
  <si>
    <t>"Task Total - 14 (Pavithira)
Mail -1
Yet to Start - 13 task 
In process - 1 task
Waiting on Info - 0 task
Completed - 0 task
Booked hrs - 7:20hrs</t>
  </si>
  <si>
    <t>Task Total - 14 (Pavithira)
Mail - 2
Yet to Start - 13 task 
In process - 1 task
Waiting on Info - 0 task
Completed - 0 task
Est hrs - 4hrs"</t>
  </si>
  <si>
    <t>"""Task Total - 14 (Pavithira)
Mail - 1
Yet to Start - 11 task 
In process - 2 task
Waiting on Info - 0 task
Completed - 0 task
Booked hrs - 4hrs</t>
  </si>
  <si>
    <t>Task Total - 14
Yet to Start - 11 task 
In process - 2 task
Waiting on Info - 0 task
Completed - 0 task
Est hrs - 4hrs"</t>
  </si>
  <si>
    <t>Task Total - 14
Yet to Start - 10 task 
In process - 1 task
Waiting on Info - 1 task
Completed - 1 task
Booked hrs - 5.35 hrs</t>
  </si>
  <si>
    <t>Task Total - 14 (Pavithira)
Mail -2
Yet to Start - 10 task 
In process - 2 task
Waiting on Info -  task
Completed -1 task
Est hrs - 4hrs"</t>
  </si>
  <si>
    <t>Task Total - 14 (Pavithira)
Mail -1
Yet to Start - 9 task 
In process - 0 task
Waiting on Info -  task
Completed - 4 task
Booked hrs - 3.40hrs</t>
  </si>
  <si>
    <t>Pavithra is on PTO. No hours booked</t>
  </si>
  <si>
    <t>Task Total - 14 (Pavithira)
Mail - 2
Yet to Start - 9 task 
In process - 1 task
Waiting on Info -  task
Completed - 4 task
Est hrs - 4hrs</t>
  </si>
  <si>
    <t>Task Total - 14 (Pavithira)
Mail - 2
Yet to Start - 9 task 
In process - 1 task
Waiting on Info -  task
Completed - 4 task
Booked hrs - 3.25 hrs</t>
  </si>
  <si>
    <t>Task Total - 14 (Pavithira)
Mail - 2
Yet to Start - 8 task 
In process - 0 task
Waiting on Info - 2 task
Completed - 4 task
Booked hrs - 3.10 hrs</t>
  </si>
  <si>
    <t>Task Total - 14 (Pavithira)
Mail - 2
Yet to Start - 8 task 
In process - 0 task
Waiting on Info - 2 task
Completed - 4 task
Est hrs - 4hrs</t>
  </si>
  <si>
    <t>Task Total - 14 (Pavithira)
Mail - 0
Yet to Start - 7 task 
In process - 1 task
Waiting on Info - 2 task
Completed - 4 task
Booked hrs - 3.15 hrs</t>
  </si>
  <si>
    <t>Task Total - 14 (Pavithira)
Mail - 0
Yet to Start - 7 task 
In process - 1 task
Waiting on Info - 2 task
Completed - 4 task
Est hrs - 4hrs</t>
  </si>
  <si>
    <t>Task Total - 14 (Pavithira)
Mail - 0
Yet to Start - 7 task 
In process - 1 task
Waiting on Info - 2 task
Completed - 4 task
Booked hrs - 1.45 hrs</t>
  </si>
  <si>
    <t>Task Total - 14 (Pavithira)
Mail - 0
Yet to Start - 6task 
In process - 1 task
Waiting on Info - 2 task
Completed - 4 task
Est hrs - 4 hrs</t>
  </si>
  <si>
    <t>Task Total - 14 (Pavithira)
Mail - 0
Yet to Start - 6 task 
In process - 0 task
Waiting on Info - 3 task
Completed - 4 task
Booked hrs - 2.05 hrs</t>
  </si>
  <si>
    <t>Task Total - 14 (Pavithira)
Mail - 0
Yet to Start - 4 task 
In process - 1 task
Waiting on Info - 3 task
Completed - 6 task
Est hrs - 4 hrs</t>
  </si>
  <si>
    <t>Task Total - 14 (Pavithira)
Mail - 0
Yet to Start - 4 task 
In process - 1 task
Waiting on Info - 3 task
Completed - 6 task
Bokked hrs - 2.05 hrs</t>
  </si>
  <si>
    <t>Task Total - 14 (Pavithira)
Mail - 0
Yet to Start - 3 task 
In process - 1 task
Waiting on Info - 4 task
Completed - 6 task
Est hrs - 4 hrs</t>
  </si>
  <si>
    <t>Task Total - 14 (Pavithira)
Mail - 0
Yet to Start - 3 task 
In process - 1 task
Waiting on Info - 4 task
Completed - 6 task
Booked hrs - 2.30 hrs</t>
  </si>
  <si>
    <t>Task Total - 14 (Pavithira)
Mail - 0
Yet to Start - 3 task 
In process - 0 task
Waiting on Info - 5 task
Completed - 6 task
Booked hrs - 1.51 hrs</t>
  </si>
  <si>
    <t>Task Total - 14 (Pavithira)
Mail - 3
Yet to Start - 3 task 
In process - 0 task
Waiting on Info - 5 task
Completed - 6 task
Est hrs - 4 hrs</t>
  </si>
  <si>
    <t>Task Total - 14 (Pavithira)
Mail - 0
Yet to Start - 2 task 
In process - 1 task
Waiting on Info - 5 task
Completed - 6 task
Booked hrs - 1.13 hrs</t>
  </si>
  <si>
    <t>Task Total - 14 (Pavithira)
Mail - 6
Yet to Start - 2 task 
In process - 2 task
Waiting on Info - 4 task
Completed - 6 task
Est hrs - 8 hrs</t>
  </si>
  <si>
    <t>Task Total - 14 (Pavithira)
Mail - 0
Yet to Start - 1 task 
In process - 1 task
Waiting on Info - 5 task
Completed - 7 task
Booked hrs - 4.05 hrs</t>
  </si>
  <si>
    <t>Task Total - 14 (Pavithira)
Mail - 1
Yet to Start - 1 task 
In process - 1 task
Waiting on Info - 5 task
Completed - 7 task
Est hrs - 4 hrs</t>
  </si>
  <si>
    <t>Task Total - 14 (Pavithira)
Mail - 0
Yet to Start - 1 task 
In process - 0 task
Waiting on Info - 6 task
Completed - 7 task
Booked hrs - 2.50 hrs</t>
  </si>
  <si>
    <t>Task Total - 14 (Pavithira)
Mail - 1
Yet to Start - 0 task 
In process - 1 task
Waiting on Info - 6 task
Completed - 7 task
Est hrs - 3 hrs</t>
  </si>
  <si>
    <t>Task Total - 14 (Pavithira)
Mail - 1
Yet to Start - 0 task 
In process - 0 task
Waiting on Info - 6 task
Completed - 8 task
Booked hrs - 1.55 hrs</t>
  </si>
  <si>
    <t>Task Total - 8 (Pavithira)
Mail - 1
Yet to Start - 8 task 
In process - 0 task
Waiting on Info - 0 task
Completed - 0 task
Est hrs - 4 hrs</t>
  </si>
  <si>
    <t>Task Total - 8 (Pavithira)
Mail - 0
Yet to Start - 7 task 
In process - 0 task
Waiting on Info - 1 task
Completed - 0 task
Booked hrs - 2.45 hrs</t>
  </si>
  <si>
    <t>Task Total - 8 (Pavithira)
Mail - 2
Yet to Start - 7 task 
In process - 1 task
Waiting on Info - 0 task
Completed - 0 task
Est hrs - 8 hrs</t>
  </si>
  <si>
    <t>Task Total - 8 (Pavithira)
Mail - 0
Yet to Start - 7 task 
In process - 0 task
Waiting on Info - 1 task
Completed - 0 task
Booked hrs - 6.45 hrs</t>
  </si>
  <si>
    <t>Task Total - 8 (Pavithira)
Mail - 1
Yet to Start - 7 task 
In process - 0 task
Waiting on Info - 1 task
Completed - 0 task
Est hrs - 4 hrs</t>
  </si>
  <si>
    <t>Task Total - 8 (Pavithira)
Mail - 1
Yet to Start - 5 task 
In process - 1 task
Waiting on Info - 2 task
Completed - 0 task
Booked hrs - 3.15 hrs</t>
  </si>
  <si>
    <t>Monthly meeting with Renate postpone to next week.</t>
  </si>
  <si>
    <t>"Task Total - 8 (Pavithira)
Mail - 1
Yet to Start - 5 task 
In process - 1 task
Waiting on Info - 2 task
Completed - 0 task
Est hrs - 4 hrs"</t>
  </si>
  <si>
    <t>"Task Total - 8 (Pavithira)
Mail - 1
Yet to Start - 5 task 
In process - 1 task
Waiting on Info - 2 task
Completed - 0 task
Booked hrs - 10mins"</t>
  </si>
  <si>
    <t>"Task Total - 9 (Pavithira)
Mail - 2
Yet to Start - 6 task 
In process - 2 task
Waiting on Info - 1 task
Completed - 0 task
Est hrs - 4 hrs"</t>
  </si>
  <si>
    <t>"Task Total - 9 (Pavithira)
Mail - 0
Yet to Start - 6 task 
In process - 2 task
Waiting on Info - 1 task
Completed - 0 task
Booked hrs - 3.15 hrs"</t>
  </si>
  <si>
    <t>"Task Total - 9 (Pavithira)
Mail - 7
Yet to Start - 5 task 
In process - 3 task
Waiting on Info - 1 task
Completed - 0 task
Est hrs - 4 hrs"</t>
  </si>
  <si>
    <t>"Task Total - 9 (Pavithira)
Mail - 0
Yet to Start - 5 task 
In process - 3 task
Waiting on Info - 1 task
Completed - 0 task
Booked hrs -40mins"</t>
  </si>
  <si>
    <t>Task Total - 9 (Pavithira)
Mail - 2
Yet to Start - 5 task 
In process - 3 task
Waiting on Info - 1 task
Completed - 0 task
Est hrs - 4 hrs</t>
  </si>
  <si>
    <t>Task Total - 9 (Pavithira)
Mail - 0
Yet to Start - 5 task 
In process - 3 task
Waiting on Info - 1 task
Completed - 0 task
Booked hrs - 1.20 hrs</t>
  </si>
  <si>
    <t>Task Total - 9 (Pavithira)
Mail - 0
Yet to Start - 5 task 
In process - 3 task
Waiting on Info - 1 task
Completed - 0 task
Est hrs - 4 hrs</t>
  </si>
  <si>
    <t>Task Total - 9 (Pavithira)
Mail - 0
Yet to Start - 5 task 
In process - 3 task
Waiting on Info - 1 task
Completed - 0 task
Booked hrs - 2.05 mins</t>
  </si>
  <si>
    <t>Task Total - 9 (Pavithira)
Mail - 0
Yet to Start - 5 task 
In process - 3 task
Waiting on Info - 1 task
Completed - 0 task
Booked hrs - 35 mins</t>
  </si>
  <si>
    <t>Task Total - 9 (Pavithira)
Mail - 1
Yet to Start - 5 task 
In process - 3 task
Waiting on Info - 1 task
Completed - 0 task
Est hrs - 4 hrs</t>
  </si>
  <si>
    <t>Task Total - 9 (Pavithira)
Mail - 0
Yet to Start - 5 task 
In process - 2 task
Waiting on Info - 1 task
Completed - 2 task
Bookked hrs - 1.20 hrs</t>
  </si>
  <si>
    <t>Task Total - 9 (Pavithira)
Mail - 0
Yet to Start - 5 task 
In process - 2 task
Waiting on Info - 1 task
Completed - 2 task
Est hrs - 4 hrs</t>
  </si>
  <si>
    <t>Task Total - 9 (Pavithira)
Mail - 0
Yet to Start - 4 task 
In process - 2 task
Waiting on Info - 1 task
Completed - 2 task
Booked hrs - 1.10 hrs</t>
  </si>
  <si>
    <t>Task Total - 9 (Pavithira)
Mail - 3
Yet to Start - 4 task 
In process - 2 task
Waiting on Info - 1 task
Completed - 2 task
Est hrs - 4 hrs</t>
  </si>
  <si>
    <t>Task Total - 9 (Pavithira)
Mail - 0
Yet to Start - 4 task 
In process - 2 task
Waiting on Info - 1 task
Completed - 2 task
Booked hrs - 10 mins</t>
  </si>
  <si>
    <t>Task Total - 9 (Pavithira)
Mail - 0
Yet to Start - 3 task 
In process - 2 task
Waiting on Info - 2 task
Completed - 2 task
Booked hrs - 3.30 hrs</t>
  </si>
  <si>
    <t>Task Total - 9 (Pavithira)
Mail - 0
Yet to Start - 3 task 
In process - 2 task
Waiting on Info - 2 task
Completed - 2 task
Est hrs - 4 hrs</t>
  </si>
  <si>
    <t>Task Total - 9 (Pavithira)
Mail - 0
Yet to Start - 3 task 
In process - 1 task
Waiting on Info - 3 task
Completed - 2 task
Booked hrs - 3hrs</t>
  </si>
  <si>
    <t>Task Total - 9 (Pavithira)
Mail - 1
Yet to Start - 3 task 
In process - 1 task
Waiting on Info - 3 task
Completed - 2 task
Est hrs - 4 hrs</t>
  </si>
  <si>
    <t>Task Total - 9 (Pavithira)
Mail - 0
Yet to Start - 3 task 
In process - 1 task
Waiting on Info - 3 task
Completed - 2 task
Booked hrs - 6.10 hrs</t>
  </si>
  <si>
    <t>Task Total - 9 (Pavithira)
Mail - 0
Yet to Start - 3 task 
In process - 1 task
Waiting on Info - 3 task
Completed - 2 task
Est hrs - 4 hrs</t>
  </si>
  <si>
    <t>Task Total - 9 (Pavithira)
Mail - 0
Yet to Start - 2 task 
In process - 1 task
Waiting on Info - 4 task
Completed - 2 task
Booked hrs - 3.15 hrs</t>
  </si>
  <si>
    <t>Task Total - 9 (Pavithira)
Mail - 0
Yet to Start - 2 task 
In process - 1 task
Waiting on Info - 4 task
Completed - 2 task
Est hrs - 4 hrs</t>
  </si>
  <si>
    <t>Task Total - 9 (Pavithira)
Mail - 0
Yet to Start - 1 task 
In process - 1 task
Waiting on Info - 4 task
Completed - 3 task
Booked hrs - 2.45 hrs</t>
  </si>
  <si>
    <t>Task Total - 9 (Pavithira)
Mail - 1
Yet to Start - 1 task 
In process - 1 task
Waiting on Info - 4 task
Completed - 3 task
Est hrs - 4 hrs</t>
  </si>
  <si>
    <t>Task Total - 9 (Pavithira)
Mail - 1
Yet to Start - 1 task 
In process - 1 task
Waiting on Info - 4 task
Completed - 3 task
Booked hrs - 20mins</t>
  </si>
  <si>
    <t>Task Total - 9 (Pavithira)
Mail - 1
Yet to Start - 1 task 
In process - 1 task
Waiting on Info - 4 task
Completed - 3 task
Booked hrs - 50 Mins</t>
  </si>
  <si>
    <t>Task Total - 9 (Pavithira)
Mail - 1
Yet to Start - 0 task 
In process - 0 task
Waiting on Info - 6 task
Completed - 3 task
Booked hrs - 4 hrs</t>
  </si>
  <si>
    <t>Task Total - 9 (Pavithira)
Mail - 1
Yet to Start - 9 task 
In process - 0 task
Waiting on Info - 0 task
Completed - 0 task
Est hrs - 4 hrs</t>
  </si>
  <si>
    <t>Task Total - 9 (Pavithira)
Mail - 1
Yet to Start - 9 task 
In process - 0 task
Waiting on Info - 0 task
Completed - 0 task
Booked hrs - NIl</t>
  </si>
  <si>
    <t>Task Total - 9 (Pavithira)
Mail - 1
Yet to Start - 8 task 
In process - 1 task
Waiting on Info - 0 task
Completed - 0 task
Booked hrs - 3.45 hrs</t>
  </si>
  <si>
    <t>2 Priorities (Alliance billing, DIA) Gateway is assifned to us.</t>
  </si>
  <si>
    <t>Task Total - 9 (Pavithira)
Mail - 1
Yet to Start - 8 task 
In process - 1 task
Waiting on Info - 0 task
Completed - 0 task
Est hrs - 4 hrs</t>
  </si>
  <si>
    <t>Task Total - 9 (Pavithira)
Mail - 1
Yet to Start - 8 task 
In process - 1 task
Waiting on Info - 0 task
Completed - 0 task
Booked hrs - 3.55 hrs</t>
  </si>
  <si>
    <t>Task Total - 9 (Pavithira)
Mail - 1
Yet to Start - 8 task 
In process - 0 task
Waiting on Info - 1 task
Completed - 0 task
Booked hrs - 3.10 hrs</t>
  </si>
  <si>
    <t>Task Total - 9 (Pavithira)
Mail - 5
Yet to Start - 7 task 
In process - 1 task
Waiting on Info - 1 task
Completed - 0 task
Est hrs - 4 hrs</t>
  </si>
  <si>
    <t>Task Total - 9 (Pavithira)
Mail - 5
Yet to Start - 7 task
Waiting on Info - 1 task
Completed - 0 task
Booked hrs - 4.48 hrs</t>
  </si>
  <si>
    <t>Task Total - 9 (Pavithira)
Mail - 0
Yet to Start - 7 task 
In process - 1 task
Waiting on Info - 1 task
Completed - 0 task
Booked hrs - 1.45 hrs</t>
  </si>
  <si>
    <t>Task Total - 9 (Pavithira)
Mail - 1
Yet to Start - 7 task 
In process - 1 task
Waiting on Info - 1 task
Completed - 0 task
Est hrs - 4 hrs</t>
  </si>
  <si>
    <t>Task Total - 9 (Pavithira)
Mail - 1
Yet to Start - 7 task 
In process - 1 task
Waiting on Info - 1 task
Completed - 0 task
Booked hrs - 20mins</t>
  </si>
  <si>
    <t>Task Total - 9 (Pavithira)
Mail - 2
Yet to Start - 7 task 
In process - 1 task
Waiting on Info - 1 task
Completed - 0 task
Est hrs - 4 hrs</t>
  </si>
  <si>
    <t>Task Total - 9 (Pavithira)
Mail - 0
Yet to Start - 6 task 
In process - 2 task
Waiting on Info - 1 task
Completed - 0 task
Booked hrs - 55mins</t>
  </si>
  <si>
    <t>Task Total - 9 (Pavithira)
Mail - 2
Yet to Start - 6 task 
In process - 2 task
Waiting on Info - 0 task
Completed - 1 task
Est hrs - 4 hrs</t>
  </si>
  <si>
    <t>Task Total - 9 (Pavithira)
Mail - 0
Yet to Start - 6 task 
In process - 2 task
Waiting on Info - 0 task
Completed - 1 task
Booked hrs - 1.49 hrs</t>
  </si>
  <si>
    <t>Task Total - 9 (Pavithira)
Mail - 0
Yet to Start - 6 task 
In process - 2 task
Waiting on Info - 0 task
Completed - 1 task
Booked hrs - 5.57 hrs</t>
  </si>
  <si>
    <t>Task Total - 9 (Pavithira)
Mail - 3
Yet to Start - 6 task 
In process - 2 task
Waiting on Info - 0 task
Completed - 1 task
Est hrs - 4 hrs</t>
  </si>
  <si>
    <t>Task Total - 9 (Pavithira)
Mail - 3
Yet to Start - 6 task 
In process - 2 task
Waiting on Info - 0 task
Completed - 1 task
Booked hrs -  3.06hrs</t>
  </si>
  <si>
    <t>Monthly files - 1 Inprocess
Completed - 1 task
Booked - 4.18 hrs</t>
  </si>
  <si>
    <t>Task Total - 9 (Pavithira)
Mail - 3
Yet to Start - 6 task 
In process - 1 task
Waiting on Info - 1 task
Completed - 1 task
Est hrs - 4 hrs</t>
  </si>
  <si>
    <t>Monthly files - 1 Inprocess
Completed - 1 task
Booked - 4.40 hrs</t>
  </si>
  <si>
    <t>Gateway - Priority</t>
  </si>
  <si>
    <t>Task Total - 9 (Pavithira)
Mail - 1
Yet to Start - 6 task 
In process - 1 task
Waiting on Info - 1 task
Completed - 1 task
Est hrs - 4 hrs</t>
  </si>
  <si>
    <t>Monthly files - 1 Inprocess
Completed - 1 task
Booked - 20 mins</t>
  </si>
  <si>
    <t>Task Total - 9 (Pavithira)
Mail - 1
Yet to Start - 6 task 
In process - 0 task
Waiting on Info - 1 task
Completed - 2 task
Est hrs - 4 hrs</t>
  </si>
  <si>
    <t>Monthly files - 1 Inprocess
Completed - 2 task
Booked - 55 mins</t>
  </si>
  <si>
    <t>Task Total - 9 (Pavithira)
Mail - 18
Yet to Start - 6 task 
In process - 0 task
Waiting on Info - 1 task
Completed - 2 task
Est hrs - 4 hrs</t>
  </si>
  <si>
    <t>Monthly files - 1 Inprocess
Completed - 2 task
Booked - 0.15 mins</t>
  </si>
  <si>
    <t>Monthly files - 1 Inprocess
Completed - 2 task
Booked - 3.36 mins</t>
  </si>
  <si>
    <t>Task Total - 9 (Pavithira)
Mail - 9
Yet to Start - 6 task 
In process - 0 task
Waiting on Info - 1 task
Completed - 2 task
Est hrs - 4 hrs</t>
  </si>
  <si>
    <t>Monthly files - 1 Inprocess
Completed - 2 task
Booked - 1.20 hrs</t>
  </si>
  <si>
    <t>Monthly files - 1 Inprocess
Completed - 3 task
Booked - 7.6 hrs</t>
  </si>
  <si>
    <t>Task Total - 9 (Pavithira)
Mail - 4
Yet to Start - 4 task 
In process - 1 task
Waiting on Info - 1 task
Completed - 3 task
Est hrs - 4 hrs</t>
  </si>
  <si>
    <t>Monthly files - 1 Inprocess
Completed - 3 task
Booked - 3.29 hrs</t>
  </si>
  <si>
    <t>Task Total - 9 (Pavithira)
Mail - 5
Yet to Start - 3 task 
In process - 1 task
Waiting on Info - 2 task
Completed - 3 task
Est hrs - 4 hrs</t>
  </si>
  <si>
    <t>Monthly files - 1 Inprocess
Completed - 3 task
Booked - 2.15 hrs</t>
  </si>
  <si>
    <t>Task Total - 9 (Pavithira)
Mail - 5
Yet to Start - 2 task 
In process - 2 task
Waiting on Info - 2 task
Completed - 3 task
Est hrs - 4 hrs</t>
  </si>
  <si>
    <t>Monthly files - 1 Inprocess
Completed - 3 task
Booked - 7.81 hrs</t>
  </si>
  <si>
    <r>
      <rPr>
        <rFont val="Arial"/>
        <color rgb="FF0000FF"/>
      </rPr>
      <t>Task Total - 18</t>
    </r>
    <r>
      <rPr>
        <rFont val="Arial"/>
        <color theme="1"/>
      </rPr>
      <t xml:space="preserve"> (Pavithira)
Mail - 3
Yet to Start - 18 task 
In process - 0 task
Waiting on Info - 0 task
Completed - 0 task
Est hrs - 4 hrs</t>
    </r>
  </si>
  <si>
    <t>Monthly files - 1 Inprocess
Completed - 0 task
Booked - 3.81 hrs</t>
  </si>
  <si>
    <r>
      <rPr>
        <rFont val="Arial"/>
        <color rgb="FF0000FF"/>
      </rPr>
      <t>Task Total - 21</t>
    </r>
    <r>
      <rPr>
        <rFont val="Arial"/>
        <color theme="1"/>
      </rPr>
      <t xml:space="preserve"> (Pavithira)
Mail - 9
Yet to Start - 20 task 
In process - 1 task
Waiting on Info - 0 task
Completed - 0 task
Est hrs - 4 hrs</t>
    </r>
  </si>
  <si>
    <t>Monthly files - 1 Inprocess
Completed - 0 task
Booked - 3.65  hrs</t>
  </si>
  <si>
    <t>DIA monthly file - Priority</t>
  </si>
  <si>
    <r>
      <rPr>
        <rFont val="Arial"/>
        <color rgb="FF0000FF"/>
      </rPr>
      <t>Task Total - 21</t>
    </r>
    <r>
      <rPr>
        <rFont val="Arial"/>
        <color theme="1"/>
      </rPr>
      <t xml:space="preserve"> (Pavithira)
Mail - 9
Yet to Start - 20 task 
In process - 1 task
Waiting on Info - 0 task
Completed - 0 task
Est hrs - 4 hrs</t>
    </r>
  </si>
  <si>
    <t>Monthly files - 1 Inprocess
Completed - 0 task
Booked - 6.26 hrs</t>
  </si>
  <si>
    <t xml:space="preserve">Renate confirmed for the monthly meeting tomorrow. </t>
  </si>
  <si>
    <r>
      <rPr>
        <rFont val="Arial"/>
        <color rgb="FF0000FF"/>
      </rPr>
      <t>Task Total - 21</t>
    </r>
    <r>
      <rPr>
        <rFont val="Arial"/>
        <color theme="1"/>
      </rPr>
      <t xml:space="preserve"> (Pavithira)
Mail - 6
Yet to Start - 20 task 
In process - 1 task
Waiting on Info - 0 task
Completed - 0 task
Est hrs - 4 hrs</t>
    </r>
  </si>
  <si>
    <t>Monthly files - 1 Inprocess
Completed - 0 task
Booked - 5.19 hrs</t>
  </si>
  <si>
    <t xml:space="preserve">We have meeting with Renate. GRA monthly call. </t>
  </si>
  <si>
    <r>
      <rPr>
        <rFont val="Arial"/>
        <color rgb="FF0000FF"/>
      </rPr>
      <t>Task Total - 21</t>
    </r>
    <r>
      <rPr>
        <rFont val="Arial"/>
        <color theme="1"/>
      </rPr>
      <t xml:space="preserve"> (Pavithira)
Mail - 5
Yet to Start - 18 task 
In process - 2 task
Waiting on Info - 0 task
Completed - 0 task
Est hrs - 4 hrs</t>
    </r>
  </si>
  <si>
    <t>Monthly files - 1 Inprocess
Completed - 0 task
Booked - 3.15 hrs</t>
  </si>
  <si>
    <r>
      <rPr>
        <rFont val="Arial"/>
        <color rgb="FF0000FF"/>
      </rPr>
      <t>Task Total - 21</t>
    </r>
    <r>
      <rPr>
        <rFont val="Arial"/>
        <color theme="1"/>
      </rPr>
      <t xml:space="preserve"> (Pavithira)
Mail - 5
Yet to Start - 18 task 
In process - 2 task
Waiting on Info - 0 task
Completed - 0 task
Est hrs - 4 hrs</t>
    </r>
  </si>
  <si>
    <t>Monthly files - 3 Inprocess
Completed - 0 task
Booked - 2 hrs</t>
  </si>
  <si>
    <r>
      <rPr>
        <rFont val="Arial"/>
        <color rgb="FF0000FF"/>
      </rPr>
      <t>Task Total - 21</t>
    </r>
    <r>
      <rPr>
        <rFont val="Arial"/>
        <color theme="1"/>
      </rPr>
      <t xml:space="preserve"> (Pavithira)
Mail - 6
Yet to Start - 17 task 
In process - 3 task
Waiting on Info - 0 task
Completed - 0 task
Est hrs - 4 hrs</t>
    </r>
  </si>
  <si>
    <t>Monthly files - 3 Inprocess
Completed - 0 task
Booked - 3.80 hrs</t>
  </si>
  <si>
    <r>
      <rPr>
        <rFont val="Arial"/>
        <color rgb="FF0000FF"/>
      </rPr>
      <t>Task Total - 21</t>
    </r>
    <r>
      <rPr>
        <rFont val="Arial"/>
        <color theme="1"/>
      </rPr>
      <t xml:space="preserve"> (Pavithira)
Mail - 6
Yet to Start - 17 task 
In process - 3 task
Waiting on Info - 0 task
Completed - 1 task
Est hrs - 4 hrs</t>
    </r>
  </si>
  <si>
    <t>Monthly files - 3 Inprocess
Completed - 0 task
Booked - 6.23 hrs</t>
  </si>
  <si>
    <r>
      <rPr>
        <rFont val="Arial"/>
        <color rgb="FF0000FF"/>
      </rPr>
      <t>Task Total - 21</t>
    </r>
    <r>
      <rPr>
        <rFont val="Arial"/>
        <color theme="1"/>
      </rPr>
      <t xml:space="preserve"> (Pavithira)
Mail - 8
Yet to Start - 15 task 
In process - 4 task
Waiting on Info - 1 task
Completed - 1 task
Est hrs - 4 hrs</t>
    </r>
  </si>
  <si>
    <t>Monthly files - 3 Inprocess
Completed - 0 task
Booked - 4.22 hrs</t>
  </si>
  <si>
    <t>Booked - 4.99</t>
  </si>
  <si>
    <t xml:space="preserve">Prepred File status and reconciled the J&amp;F - After the escalation </t>
  </si>
  <si>
    <t>Inporcess</t>
  </si>
  <si>
    <r>
      <rPr>
        <rFont val="Arial"/>
        <color rgb="FF0000FF"/>
      </rPr>
      <t>Task Total - 21</t>
    </r>
    <r>
      <rPr>
        <rFont val="Arial"/>
        <color theme="1"/>
      </rPr>
      <t xml:space="preserve"> (Pavithira)
Mail - 0
Yet to Start - 16 task 
In process - 0 task
Waiting on Info - 0 task
Completed - 0 task
Est hrs - 6 hrs</t>
    </r>
  </si>
  <si>
    <t>Monthly Task - 14 Inprocess
Completed - 0 task
Booked - 5 hrs</t>
  </si>
  <si>
    <t xml:space="preserve">Thank you for sending this. 
Regarding 1099s, I will enter the data and file all 1099s in Tax1099 - I will need you to prepare the 1099 info sheet &amp; list out the recipients for each client that we need a W9 for.  As we have only 2 weeks left in January, I would like an update at the end of each day on the progress of the tasks below on Teams, so I'm not caught off guard. 
The most urgent thing today is getting a list of vendor W9s needed to each client.
 If you have a query on a transaction for a vendor that may need a 1099, note that on the 1099 info sheet &amp; add to the tabs on this spreadsheet &amp; highlight in yellow. 
Please complete these tasks in this order:
DIA 1099 info sheet
All Pest 1099 info sheet
J&amp;F December Review
J&amp;F 1099 info sheet 
BL Realty December Review 
BL Realty 1099 info sheet
GRA December Review
GRA 1099 info sheet 
Victory December Review
Victory 1099 info sheet 
Sirius December Review
4Q &amp; Annual Payroll report tasks &amp; update the FUTA/SUTA spreadsheet &amp; payroll tie in spreadsheets for: 
All Pest
Lincoln
Alliance
GRA
Sirius
Regarding your J&amp;F Query: I answered most your questions about the uncleared transactions that you included on this spreadsheet by email on Tuesday 1/13/26 &amp; already directed you to prepare the 1099 list.
You said you don't have access to the check images, but you have been attaching them to each transaction in QBO? Message me on Teams tomorrow when you first log in and I will send you whatever code you need to access the bank and save the check images &amp; code the checks ASAP for 1099s.  
Regarding Demetrius Douglas, the client said she wanted to remove these invoices. You can delete the received payments &amp; enter credit memos for these. 
If something is moved from your page in Canopy or completed, that means I reassigned it to get it done ASAP. 
</t>
  </si>
  <si>
    <r>
      <rPr>
        <rFont val="Arial"/>
        <color rgb="FF0000FF"/>
      </rPr>
      <t>Task Total - 21</t>
    </r>
    <r>
      <rPr>
        <rFont val="Arial"/>
        <color theme="1"/>
      </rPr>
      <t xml:space="preserve"> (Pavithira)
Mail - 0
Yet to Start - 14 task 
In process - 0 task
Waiting on Info - 2 task
Completed - 0 task
Est hrs - 7 hrs</t>
    </r>
  </si>
  <si>
    <t>Monthly Task - 13 Inprocess
Completed - 0 task
Booked - 4.31 hrs</t>
  </si>
  <si>
    <t>Wells Fargo does not have a “download all check images” function like Chase. The files in canopy with the check images are Word documents that I created, where I saved all the snips/screenshots of individual checks in one document.</t>
  </si>
  <si>
    <r>
      <rPr>
        <rFont val="Arial"/>
        <color rgb="FF0000FF"/>
      </rPr>
      <t>Task Total - 21</t>
    </r>
    <r>
      <rPr>
        <rFont val="Arial"/>
        <color theme="1"/>
      </rPr>
      <t xml:space="preserve"> (Pavithira)
Mail - 0
Yet to Start - 14 task 
In process - 0 task
Waiting on Info - 2 task
Completed - 0 task
Est hrs - 7 hrs</t>
    </r>
  </si>
  <si>
    <t>Monthly Task - 6 Inprocess
Completed - 0 task
Booked - 8.43 hrs</t>
  </si>
  <si>
    <r>
      <rPr>
        <rFont val="Arial"/>
        <color rgb="FF0000FF"/>
      </rPr>
      <t>Task Total - 21</t>
    </r>
    <r>
      <rPr>
        <rFont val="Arial"/>
        <color theme="1"/>
      </rPr>
      <t xml:space="preserve"> (Pavithira)
Mail - 0
Yet to Start - 6 task 
In process - 0 task
Waiting on Info - 3 task
Completed - 5 task
Est hrs - 7 hrs</t>
    </r>
  </si>
  <si>
    <t>Monthly Task - 4 Inprocess
Completed - 0 task
Booked - 4.32 hrs</t>
  </si>
  <si>
    <r>
      <rPr>
        <rFont val="Arial"/>
        <color rgb="FF0000FF"/>
      </rPr>
      <t>Task Total - 21</t>
    </r>
    <r>
      <rPr>
        <rFont val="Arial"/>
        <color theme="1"/>
      </rPr>
      <t xml:space="preserve"> (Pavithira)
Mail - 0
Yet to Start - 4 task 
In process -  task
Waiting on Info - 4 task
Completed - 13 task
Est hrs - 7 hrs</t>
    </r>
  </si>
  <si>
    <t xml:space="preserve"> Task - 1 Inprocess
Booked - 3.53 hrs</t>
  </si>
  <si>
    <r>
      <rPr>
        <rFont val="Arial"/>
        <color rgb="FF0000FF"/>
      </rPr>
      <t>Task Total - 21</t>
    </r>
    <r>
      <rPr>
        <rFont val="Arial"/>
        <color theme="1"/>
      </rPr>
      <t xml:space="preserve"> (Pavithira)
Mail - 0
Yet to Start - 1 task 
In process -  task
Waiting on Info - 4 task
Completed - 16 task
Est hrs - 4 hrs</t>
    </r>
  </si>
  <si>
    <t>Booked - 2.32 hrs</t>
  </si>
  <si>
    <t>Hrly</t>
  </si>
  <si>
    <t>CleanUP (Pavithira VM)
Est hrs:- 0.30</t>
  </si>
  <si>
    <t>CleanUP (Pavithira VM)
Est hrs:- 1</t>
  </si>
  <si>
    <t>Booked: 3.65 hrs</t>
  </si>
  <si>
    <t>CleanUP (Pavithira VM)
Est hrs:- 2</t>
  </si>
  <si>
    <t>Booked hrs: 2.</t>
  </si>
  <si>
    <t>CleanUP (Pavithira VM)
Est hrs:- 6</t>
  </si>
  <si>
    <t>Booked hrs: 6</t>
  </si>
  <si>
    <t>CleanUP (Pavithira VM)
Est hrs:- 4</t>
  </si>
  <si>
    <t>Booked hrs: 2.83</t>
  </si>
  <si>
    <t>Booked hrs: 0.16</t>
  </si>
  <si>
    <t>CleanUP (Pavithira VM)
Est hrs:- NIL</t>
  </si>
  <si>
    <t>No response from client</t>
  </si>
  <si>
    <t>Waiting on client response - Questions posted in Gchat</t>
  </si>
  <si>
    <t>Booked: 5  mins</t>
  </si>
  <si>
    <t>S.No</t>
  </si>
  <si>
    <t xml:space="preserve">MP reply </t>
  </si>
  <si>
    <t>Scars Farm</t>
  </si>
  <si>
    <t>We’ve been reviewing the transactions with the following memos, and would like to clarify the categorization for certain transaction types. We've observed that ATM withdrawals, Direct Pay, and Non-WF ATM withdrawals are often associated with specific vendors based on the purpose of the transaction. Additionally, most ATM deposits are being matched with corresponding payments.
To ensure accurate categorization, could you please advise on the following:
ATM Withdrawal, Direct Pay, Non-WF ATM Withdrawal, Withdrawal Made in a Branch/Store: How should these transactions be categorized when they are not linked to a specific vendor or payment?
ATM Cash Deposit: We’ve noticed that ATM deposits are often matched with payments. However, a few transactions were left in the bank feed as we couldn't find the exact match. We’re uncertain about the correct account coding for these deposits. Any guidance on this would be appreciated.
We appreciate your assistance in helping us categorize these transactions. Looking forward to your guidance.</t>
  </si>
  <si>
    <t>We have completed the allocation for 2025, with the exception of the withdrawals and ATM deposits. Could you kindly review the questions we've previously posted regarding these transactions and provide guidance so we can proceed with allocating the remaining items?
Additionally, we would appreciate your input on the following points:
A few transactions have been coded to the Uncategorized Expense and Uncategorized Income accounts. 
Could you please advise on the account coding? or provide us any supporting document if any.
We have noticed several transactions categorized under the Long-Term Liabilities account. Would it be possible for you to share any supporting documentation to help us verify the outstanding balance and ensure that the appropriate transactions are correctly coded?
We truly appreciate your assistance in ensuring the accurate categorization of these transactions and look forward to your guidance.
Thank you!</t>
  </si>
  <si>
    <t>Client: We met with the client and they will manually reconcile the Oct 2025 accounts as many transactions on the bank statement were not imported into QB. Did you notice this??
Client will confirm ATM deposits/withdrawals most of which were for miscellaneous labor.
Following this, we will meet to review the Nov and Dec bank records to ensure all transactions in the bank statements are in Quickbooks.
Long Term liability account to be updated with a review of the Klein loan which was fully repaid in September 2025 by the $2.2M loan from the Patel Trust. We have the loan documents and will ensure this is properly recorded as a liability, with monthly interest payments.
MP: We were in the process of allocation, so we did not notice this earlier as the reconciliation process has not yet started on our end.
Please also let us know how you would like us to assist further.</t>
  </si>
  <si>
    <t>Client: there is no further work needed on this client's books at this time.  Thanks
MP reply: Thanks for letting us know. Please feel free to reach out if you need any assistance.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</si>
</sst>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quot;/&quot;d&quot;/&quot;yy"/>
    <numFmt numFmtId="165" formatCode="m/d/yy"/>
    <numFmt numFmtId="166" formatCode="mm/dd/yy"/>
    <numFmt numFmtId="167" formatCode="m/d/yyyy"/>
    <numFmt numFmtId="168" formatCode="mm/yyyy"/>
    <numFmt numFmtId="169" formatCode="mmm d"/>
    <numFmt numFmtId="170" formatCode="mm/dd/yyyy"/>
  </numFmts>
  <fonts count="23">
    <font>
      <sz val="10.0"/>
      <color rgb="FF000000"/>
      <name val="Arial"/>
      <scheme val="minor"/>
    </font>
    <font>
      <b/>
      <color theme="1"/>
      <name val="Arial"/>
    </font>
    <font>
      <i/>
      <sz val="8.0"/>
      <color rgb="FF666666"/>
      <name val="Arial"/>
    </font>
    <font>
      <color theme="1"/>
      <name val="Arial"/>
    </font>
    <font>
      <i/>
      <sz val="8.0"/>
      <color rgb="FF0000FF"/>
      <name val="Arial"/>
    </font>
    <font>
      <color rgb="FF000000"/>
      <name val="Arial"/>
    </font>
    <font>
      <sz val="9.0"/>
      <color rgb="FF1F1F1F"/>
      <name val="Google Sans"/>
    </font>
    <font>
      <sz val="11.0"/>
      <color rgb="FF1D1C1D"/>
      <name val="Arial"/>
    </font>
    <font>
      <sz val="11.0"/>
      <color rgb="FF1D1C1D"/>
      <name val="Lato"/>
    </font>
    <font>
      <b/>
      <sz val="11.0"/>
      <color rgb="FF1D1C1D"/>
      <name val="Lato"/>
    </font>
    <font>
      <color theme="1"/>
      <name val="Arial"/>
      <scheme val="minor"/>
    </font>
    <font>
      <b/>
      <sz val="11.0"/>
      <color rgb="FF1D1C1D"/>
      <name val="Arial"/>
    </font>
    <font>
      <color rgb="FF868686"/>
      <name val="Lato"/>
    </font>
    <font>
      <color rgb="FF1D1C1D"/>
      <name val="Arial"/>
    </font>
    <font>
      <sz val="11.0"/>
      <color rgb="FF242633"/>
      <name val="Inter"/>
    </font>
    <font>
      <sz val="12.0"/>
      <color theme="1"/>
      <name val="&quot;Aptos&quot;"/>
    </font>
    <font>
      <sz val="11.0"/>
      <color rgb="FF000000"/>
      <name val="Aptos"/>
    </font>
    <font>
      <sz val="8.0"/>
      <color rgb="FF242D42"/>
      <name val="Inter"/>
    </font>
    <font>
      <sz val="12.0"/>
      <color rgb="FF000000"/>
      <name val="Aptos"/>
    </font>
    <font>
      <sz val="12.0"/>
      <color rgb="FF000000"/>
      <name val="Arial"/>
    </font>
    <font>
      <sz val="12.0"/>
      <color rgb="FF000000"/>
      <name val="Calibri"/>
    </font>
    <font>
      <sz val="12.0"/>
      <color theme="1"/>
      <name val="Aptos"/>
    </font>
    <font>
      <b/>
      <u/>
      <color rgb="FF0000FF"/>
      <name val="Arial"/>
    </font>
  </fonts>
  <fills count="5">
    <fill>
      <patternFill patternType="none"/>
    </fill>
    <fill>
      <patternFill patternType="lightGray"/>
    </fill>
    <fill>
      <patternFill patternType="solid">
        <fgColor rgb="FFFFFFFF"/>
        <bgColor rgb="FFFFFFFF"/>
      </patternFill>
    </fill>
    <fill>
      <patternFill patternType="solid">
        <fgColor rgb="FFF8F8F8"/>
        <bgColor rgb="FFF8F8F8"/>
      </patternFill>
    </fill>
    <fill>
      <patternFill patternType="solid">
        <fgColor rgb="FFF9F9FA"/>
        <bgColor rgb="FFF9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6">
    <xf borderId="0" fillId="0" fontId="0" numFmtId="0" xfId="0" applyAlignment="1" applyFont="1">
      <alignment readingOrder="0" shrinkToFit="0" vertical="bottom" wrapText="0"/>
    </xf>
    <xf quotePrefix="1" borderId="0" fillId="0" fontId="1" numFmtId="0" xfId="0" applyAlignment="1" applyFont="1">
      <alignment horizontal="center" shrinkToFit="0" wrapText="1"/>
    </xf>
    <xf borderId="0" fillId="0" fontId="1" numFmtId="0" xfId="0" applyAlignment="1" applyFont="1">
      <alignment horizontal="center" shrinkToFit="0" wrapText="1"/>
    </xf>
    <xf borderId="0" fillId="0" fontId="1" numFmtId="0" xfId="0" applyAlignment="1" applyFont="1">
      <alignment horizontal="center" shrinkToFit="0" vertical="bottom" wrapText="1"/>
    </xf>
    <xf borderId="0" fillId="0" fontId="2" numFmtId="0" xfId="0" applyAlignment="1" applyFont="1">
      <alignment horizontal="center" shrinkToFit="0" wrapText="1"/>
    </xf>
    <xf borderId="0" fillId="0" fontId="3" numFmtId="0" xfId="0" applyAlignment="1" applyFont="1">
      <alignment vertical="bottom"/>
    </xf>
    <xf borderId="0" fillId="0" fontId="2" numFmtId="0" xfId="0" applyAlignment="1" applyFont="1">
      <alignment shrinkToFit="0" wrapText="1"/>
    </xf>
    <xf borderId="0" fillId="0" fontId="4" numFmtId="0" xfId="0" applyAlignment="1" applyFont="1">
      <alignment shrinkToFit="0" wrapText="1"/>
    </xf>
    <xf borderId="0" fillId="0" fontId="3" numFmtId="164" xfId="0" applyAlignment="1" applyFont="1" applyNumberFormat="1">
      <alignment horizontal="center"/>
    </xf>
    <xf borderId="0" fillId="0" fontId="3" numFmtId="0" xfId="0" applyAlignment="1" applyFont="1">
      <alignment horizontal="center"/>
    </xf>
    <xf borderId="0" fillId="0" fontId="3" numFmtId="0" xfId="0" applyFont="1"/>
    <xf borderId="0" fillId="0" fontId="3" numFmtId="0" xfId="0" applyAlignment="1" applyFont="1">
      <alignment shrinkToFit="0" wrapText="1"/>
    </xf>
    <xf borderId="0" fillId="2" fontId="5" numFmtId="0" xfId="0" applyAlignment="1" applyFill="1" applyFont="1">
      <alignment horizontal="left"/>
    </xf>
    <xf borderId="0" fillId="2" fontId="6" numFmtId="0" xfId="0" applyFont="1"/>
    <xf borderId="0" fillId="2" fontId="6" numFmtId="0" xfId="0" applyAlignment="1" applyFont="1">
      <alignment shrinkToFit="0" wrapText="1"/>
    </xf>
    <xf borderId="0" fillId="0" fontId="3" numFmtId="0" xfId="0" applyAlignment="1" applyFont="1">
      <alignment horizontal="left"/>
    </xf>
    <xf borderId="0" fillId="2" fontId="5" numFmtId="0" xfId="0" applyAlignment="1" applyFont="1">
      <alignment horizontal="left" shrinkToFit="0" wrapText="1"/>
    </xf>
    <xf borderId="0" fillId="3" fontId="7" numFmtId="0" xfId="0" applyAlignment="1" applyFill="1" applyFont="1">
      <alignment horizontal="left"/>
    </xf>
    <xf borderId="0" fillId="3" fontId="7" numFmtId="0" xfId="0" applyAlignment="1" applyFont="1">
      <alignment horizontal="left" shrinkToFit="0" wrapText="1"/>
    </xf>
    <xf borderId="0" fillId="3" fontId="8" numFmtId="0" xfId="0" applyAlignment="1" applyFont="1">
      <alignment horizontal="left" shrinkToFit="0" wrapText="1"/>
    </xf>
    <xf borderId="0" fillId="2" fontId="7" numFmtId="0" xfId="0" applyAlignment="1" applyFont="1">
      <alignment horizontal="left" shrinkToFit="0" wrapText="1"/>
    </xf>
    <xf borderId="0" fillId="2" fontId="8" numFmtId="0" xfId="0" applyAlignment="1" applyFont="1">
      <alignment horizontal="left" shrinkToFit="0" wrapText="1"/>
    </xf>
    <xf borderId="0" fillId="0" fontId="3" numFmtId="165" xfId="0" applyFont="1" applyNumberFormat="1"/>
    <xf borderId="0" fillId="2" fontId="3" numFmtId="0" xfId="0" applyAlignment="1" applyFont="1">
      <alignment shrinkToFit="0" wrapText="1"/>
    </xf>
    <xf borderId="0" fillId="3" fontId="9" numFmtId="0" xfId="0" applyAlignment="1" applyFont="1">
      <alignment horizontal="left" shrinkToFit="0" wrapText="1"/>
    </xf>
    <xf borderId="0" fillId="0" fontId="1" numFmtId="0" xfId="0" applyAlignment="1" applyFont="1">
      <alignment shrinkToFit="0" wrapText="1"/>
    </xf>
    <xf borderId="0" fillId="0" fontId="3" numFmtId="165" xfId="0" applyAlignment="1" applyFont="1" applyNumberFormat="1">
      <alignment horizontal="center"/>
    </xf>
    <xf borderId="0" fillId="0" fontId="10" numFmtId="0" xfId="0" applyFont="1"/>
    <xf borderId="1" fillId="0" fontId="1" numFmtId="0" xfId="0" applyAlignment="1" applyBorder="1" applyFont="1">
      <alignment shrinkToFit="0" vertical="bottom" wrapText="1"/>
    </xf>
    <xf borderId="1" fillId="0" fontId="1" numFmtId="0" xfId="0" applyAlignment="1" applyBorder="1" applyFont="1">
      <alignment horizontal="center" shrinkToFit="0" vertical="bottom" wrapText="1"/>
    </xf>
    <xf borderId="1" fillId="0" fontId="1" numFmtId="0" xfId="0" applyAlignment="1" applyBorder="1" applyFont="1">
      <alignment shrinkToFit="0" wrapText="1"/>
    </xf>
    <xf borderId="1" fillId="0" fontId="3" numFmtId="0" xfId="0" applyAlignment="1" applyBorder="1" applyFont="1">
      <alignment horizontal="center"/>
    </xf>
    <xf borderId="0" fillId="0" fontId="3" numFmtId="166" xfId="0" applyFont="1" applyNumberFormat="1"/>
    <xf borderId="0" fillId="0" fontId="7" numFmtId="0" xfId="0" applyAlignment="1" applyFont="1">
      <alignment horizontal="left" shrinkToFit="0" wrapText="1"/>
    </xf>
    <xf borderId="0" fillId="0" fontId="8" numFmtId="0" xfId="0" applyAlignment="1" applyFont="1">
      <alignment horizontal="left" shrinkToFit="0" wrapText="1"/>
    </xf>
    <xf borderId="0" fillId="0" fontId="3" numFmtId="167" xfId="0" applyFont="1" applyNumberFormat="1"/>
    <xf borderId="0" fillId="0" fontId="5" numFmtId="0" xfId="0" applyAlignment="1" applyFont="1">
      <alignment horizontal="left" shrinkToFit="0" wrapText="1"/>
    </xf>
    <xf borderId="0" fillId="0" fontId="11" numFmtId="0" xfId="0" applyAlignment="1" applyFont="1">
      <alignment horizontal="left" shrinkToFit="0" wrapText="1"/>
    </xf>
    <xf borderId="0" fillId="0" fontId="12" numFmtId="0" xfId="0" applyAlignment="1" applyFont="1">
      <alignment horizontal="left" shrinkToFit="0" wrapText="1"/>
    </xf>
    <xf borderId="0" fillId="0" fontId="5" numFmtId="0" xfId="0" applyAlignment="1" applyFont="1">
      <alignment shrinkToFit="0" wrapText="1"/>
    </xf>
    <xf borderId="0" fillId="0" fontId="8" numFmtId="0" xfId="0" applyAlignment="1" applyFont="1">
      <alignment horizontal="left"/>
    </xf>
    <xf borderId="0" fillId="0" fontId="13" numFmtId="0" xfId="0" applyAlignment="1" applyFont="1">
      <alignment shrinkToFit="0" wrapText="1"/>
    </xf>
    <xf borderId="0" fillId="0" fontId="3" numFmtId="168" xfId="0" applyFont="1" applyNumberFormat="1"/>
    <xf borderId="0" fillId="0" fontId="14" numFmtId="0" xfId="0" applyFont="1"/>
    <xf borderId="0" fillId="0" fontId="3" numFmtId="169" xfId="0" applyFont="1" applyNumberFormat="1"/>
    <xf borderId="0" fillId="0" fontId="3" numFmtId="170" xfId="0" applyAlignment="1" applyFont="1" applyNumberFormat="1">
      <alignment horizontal="left"/>
    </xf>
    <xf borderId="0" fillId="0" fontId="1" numFmtId="0" xfId="0" applyFont="1"/>
    <xf borderId="0" fillId="0" fontId="3" numFmtId="167" xfId="0" applyAlignment="1" applyFont="1" applyNumberFormat="1">
      <alignment horizontal="center"/>
    </xf>
    <xf borderId="0" fillId="0" fontId="3" numFmtId="170" xfId="0" applyAlignment="1" applyFont="1" applyNumberFormat="1">
      <alignment horizontal="center"/>
    </xf>
    <xf borderId="0" fillId="0" fontId="14" numFmtId="0" xfId="0" applyAlignment="1" applyFont="1">
      <alignment shrinkToFit="0" wrapText="1"/>
    </xf>
    <xf borderId="0" fillId="0" fontId="3" numFmtId="170" xfId="0" applyFont="1" applyNumberFormat="1"/>
    <xf borderId="0" fillId="0" fontId="15" numFmtId="0" xfId="0" applyAlignment="1" applyFont="1">
      <alignment shrinkToFit="0" wrapText="1"/>
    </xf>
    <xf borderId="0" fillId="0" fontId="16" numFmtId="0" xfId="0" applyAlignment="1" applyFont="1">
      <alignment shrinkToFit="0" wrapText="1"/>
    </xf>
    <xf borderId="0" fillId="0" fontId="14" numFmtId="0" xfId="0" applyAlignment="1" applyFont="1">
      <alignment horizontal="left" shrinkToFit="0" wrapText="1"/>
    </xf>
    <xf borderId="0" fillId="0" fontId="3" numFmtId="0" xfId="0" applyAlignment="1" applyFont="1">
      <alignment horizontal="center" shrinkToFit="0" wrapText="1"/>
    </xf>
    <xf borderId="1" fillId="0" fontId="3" numFmtId="170" xfId="0" applyAlignment="1" applyBorder="1" applyFont="1" applyNumberFormat="1">
      <alignment horizontal="center"/>
    </xf>
    <xf borderId="0" fillId="0" fontId="3" numFmtId="170" xfId="0" applyAlignment="1" applyFont="1" applyNumberFormat="1">
      <alignment horizontal="center" shrinkToFit="0" wrapText="1"/>
    </xf>
    <xf borderId="0" fillId="0" fontId="17" numFmtId="0" xfId="0" applyFont="1"/>
    <xf borderId="1" fillId="0" fontId="3" numFmtId="165" xfId="0" applyBorder="1" applyFont="1" applyNumberFormat="1"/>
    <xf borderId="1" fillId="0" fontId="3" numFmtId="0" xfId="0" applyBorder="1" applyFont="1"/>
    <xf borderId="1" fillId="0" fontId="3" numFmtId="0" xfId="0" applyAlignment="1" applyBorder="1" applyFont="1">
      <alignment shrinkToFit="0" wrapText="1"/>
    </xf>
    <xf borderId="1" fillId="0" fontId="3" numFmtId="165" xfId="0" applyAlignment="1" applyBorder="1" applyFont="1" applyNumberFormat="1">
      <alignment horizontal="center"/>
    </xf>
    <xf borderId="1" fillId="0" fontId="3" numFmtId="14" xfId="0" applyAlignment="1" applyBorder="1" applyFont="1" applyNumberFormat="1">
      <alignment horizontal="center"/>
    </xf>
    <xf borderId="1" fillId="0" fontId="3" numFmtId="14" xfId="0" applyBorder="1" applyFont="1" applyNumberFormat="1"/>
    <xf borderId="1" fillId="0" fontId="3" numFmtId="170" xfId="0" applyBorder="1" applyFont="1" applyNumberFormat="1"/>
    <xf borderId="0" fillId="4" fontId="14" numFmtId="0" xfId="0" applyFill="1" applyFont="1"/>
    <xf borderId="1" fillId="0" fontId="3" numFmtId="167" xfId="0" applyAlignment="1" applyBorder="1" applyFont="1" applyNumberFormat="1">
      <alignment horizontal="center"/>
    </xf>
    <xf borderId="1" fillId="0" fontId="3" numFmtId="167" xfId="0" applyBorder="1" applyFont="1" applyNumberFormat="1"/>
    <xf borderId="0" fillId="0" fontId="1" numFmtId="0" xfId="0" applyAlignment="1" applyFont="1">
      <alignment horizontal="center" vertical="bottom"/>
    </xf>
    <xf borderId="0" fillId="0" fontId="3" numFmtId="0" xfId="0" applyAlignment="1" applyFont="1">
      <alignment shrinkToFit="0" vertical="bottom" wrapText="1"/>
    </xf>
    <xf borderId="0" fillId="0" fontId="18" numFmtId="0" xfId="0" applyFont="1"/>
    <xf borderId="0" fillId="0" fontId="19" numFmtId="0" xfId="0" applyAlignment="1" applyFont="1">
      <alignment shrinkToFit="0" wrapText="1"/>
    </xf>
    <xf borderId="0" fillId="0" fontId="18" numFmtId="0" xfId="0" applyAlignment="1" applyFont="1">
      <alignment shrinkToFit="0" wrapText="1"/>
    </xf>
    <xf borderId="0" fillId="0" fontId="20" numFmtId="0" xfId="0" applyAlignment="1" applyFont="1">
      <alignment shrinkToFit="0" wrapText="1"/>
    </xf>
    <xf borderId="0" fillId="2" fontId="18" numFmtId="0" xfId="0" applyAlignment="1" applyFont="1">
      <alignment shrinkToFit="0" wrapText="1"/>
    </xf>
    <xf borderId="0" fillId="0" fontId="3" numFmtId="164" xfId="0" applyAlignment="1" applyFont="1" applyNumberFormat="1">
      <alignment horizontal="center" vertical="bottom"/>
    </xf>
    <xf borderId="0" fillId="0" fontId="3" numFmtId="0" xfId="0" applyAlignment="1" applyFont="1">
      <alignment horizontal="center" vertical="bottom"/>
    </xf>
    <xf borderId="0" fillId="0" fontId="21" numFmtId="0" xfId="0" applyAlignment="1" applyFont="1">
      <alignment shrinkToFit="0" wrapText="1"/>
    </xf>
    <xf borderId="0" fillId="2" fontId="18" numFmtId="0" xfId="0" applyAlignment="1" applyFont="1">
      <alignment horizontal="left" shrinkToFit="0" wrapText="1"/>
    </xf>
    <xf borderId="0" fillId="0" fontId="3" numFmtId="165" xfId="0" applyAlignment="1" applyFont="1" applyNumberFormat="1">
      <alignment shrinkToFit="0" wrapText="1"/>
    </xf>
    <xf borderId="0" fillId="0" fontId="2" numFmtId="0" xfId="0" applyAlignment="1" applyFont="1">
      <alignment horizontal="center" shrinkToFit="0" vertical="bottom" wrapText="1"/>
    </xf>
    <xf borderId="0" fillId="0" fontId="2" numFmtId="0" xfId="0" applyAlignment="1" applyFont="1">
      <alignment shrinkToFit="0" vertical="bottom" wrapText="1"/>
    </xf>
    <xf borderId="0" fillId="2" fontId="3" numFmtId="0" xfId="0" applyAlignment="1" applyFont="1">
      <alignment vertical="bottom"/>
    </xf>
    <xf borderId="0" fillId="0" fontId="3" numFmtId="166" xfId="0" applyAlignment="1" applyFont="1" applyNumberFormat="1">
      <alignment horizontal="center" vertical="bottom"/>
    </xf>
    <xf borderId="0" fillId="0" fontId="3" numFmtId="0" xfId="0" applyAlignment="1" applyFont="1">
      <alignment vertical="top"/>
    </xf>
    <xf borderId="0" fillId="0" fontId="3" numFmtId="0" xfId="0" applyAlignment="1" applyFont="1">
      <alignment shrinkToFit="0" vertical="top" wrapText="1"/>
    </xf>
    <xf borderId="0" fillId="0" fontId="3" numFmtId="164" xfId="0" applyAlignment="1" applyFont="1" applyNumberFormat="1">
      <alignment vertical="bottom"/>
    </xf>
    <xf borderId="0" fillId="0" fontId="1" numFmtId="0" xfId="0" applyAlignment="1" applyFont="1">
      <alignment vertical="top"/>
    </xf>
    <xf borderId="0" fillId="0" fontId="3" numFmtId="170" xfId="0" applyAlignment="1" applyFont="1" applyNumberFormat="1">
      <alignment horizontal="center" vertical="bottom"/>
    </xf>
    <xf borderId="0" fillId="0" fontId="3" numFmtId="170" xfId="0" applyAlignment="1" applyFont="1" applyNumberFormat="1">
      <alignment vertical="bottom"/>
    </xf>
    <xf borderId="0" fillId="2" fontId="3" numFmtId="0" xfId="0" applyAlignment="1" applyFont="1">
      <alignment shrinkToFit="0" vertical="bottom" wrapText="1"/>
    </xf>
    <xf borderId="1" fillId="0" fontId="22" numFmtId="0" xfId="0" applyAlignment="1" applyBorder="1" applyFont="1">
      <alignment horizontal="left" vertical="bottom"/>
    </xf>
    <xf borderId="1" fillId="0" fontId="1" numFmtId="0" xfId="0" applyAlignment="1" applyBorder="1" applyFont="1">
      <alignment horizontal="left" vertical="bottom"/>
    </xf>
    <xf borderId="1" fillId="0" fontId="1" numFmtId="0" xfId="0" applyAlignment="1" applyBorder="1" applyFont="1">
      <alignment horizontal="left" shrinkToFit="0" vertical="bottom" wrapText="1"/>
    </xf>
    <xf borderId="1" fillId="0" fontId="1" numFmtId="0" xfId="0" applyAlignment="1" applyBorder="1" applyFont="1">
      <alignment horizontal="left"/>
    </xf>
    <xf borderId="1" fillId="0" fontId="3"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25"/>
    <col customWidth="1" min="2" max="3" width="10.13"/>
    <col customWidth="1" min="4" max="8" width="16.88"/>
    <col customWidth="1" min="9" max="9" width="4.38"/>
    <col customWidth="1" min="10" max="10" width="16.88"/>
    <col customWidth="1" min="11" max="11" width="24.38"/>
    <col customWidth="1" min="12" max="12" width="25.75"/>
    <col customWidth="1" min="13" max="13" width="25.13"/>
    <col customWidth="1" min="14" max="14" width="19.25"/>
    <col customWidth="1" min="15" max="15" width="39.25"/>
    <col customWidth="1" min="16" max="16" width="39.88"/>
    <col customWidth="1" min="17" max="17" width="44.5"/>
  </cols>
  <sheetData>
    <row r="1" ht="15.75" customHeight="1">
      <c r="A1" s="1" t="s">
        <v>0</v>
      </c>
      <c r="B1" s="2" t="s">
        <v>1</v>
      </c>
      <c r="C1" s="2" t="s">
        <v>2</v>
      </c>
      <c r="D1" s="2" t="s">
        <v>3</v>
      </c>
      <c r="E1" s="2" t="s">
        <v>4</v>
      </c>
      <c r="F1" s="2" t="s">
        <v>5</v>
      </c>
      <c r="G1" s="2" t="s">
        <v>6</v>
      </c>
      <c r="H1" s="2" t="s">
        <v>7</v>
      </c>
      <c r="I1" s="2" t="s">
        <v>8</v>
      </c>
      <c r="J1" s="2" t="s">
        <v>9</v>
      </c>
      <c r="K1" s="2" t="s">
        <v>10</v>
      </c>
      <c r="L1" s="3" t="s">
        <v>11</v>
      </c>
      <c r="M1" s="2" t="s">
        <v>12</v>
      </c>
      <c r="N1" s="2" t="s">
        <v>13</v>
      </c>
      <c r="O1" s="2" t="s">
        <v>14</v>
      </c>
      <c r="P1" s="2"/>
      <c r="Q1" s="2"/>
      <c r="R1" s="2"/>
      <c r="S1" s="2"/>
      <c r="T1" s="2"/>
      <c r="U1" s="2"/>
      <c r="V1" s="2"/>
      <c r="W1" s="2"/>
      <c r="X1" s="2"/>
      <c r="Y1" s="2"/>
      <c r="Z1" s="2"/>
      <c r="AA1" s="2"/>
      <c r="AB1" s="2"/>
    </row>
    <row r="2" ht="15.75" hidden="1" customHeight="1">
      <c r="A2" s="4" t="s">
        <v>15</v>
      </c>
      <c r="B2" s="4">
        <v>0.0</v>
      </c>
      <c r="C2" s="4">
        <v>0.0</v>
      </c>
      <c r="D2" s="4" t="s">
        <v>16</v>
      </c>
      <c r="E2" s="4" t="s">
        <v>17</v>
      </c>
      <c r="F2" s="4" t="s">
        <v>18</v>
      </c>
      <c r="G2" s="4" t="s">
        <v>19</v>
      </c>
      <c r="H2" s="4" t="s">
        <v>20</v>
      </c>
      <c r="I2" s="4" t="s">
        <v>21</v>
      </c>
      <c r="J2" s="4" t="s">
        <v>22</v>
      </c>
      <c r="K2" s="4" t="s">
        <v>23</v>
      </c>
      <c r="L2" s="5"/>
      <c r="M2" s="6"/>
      <c r="N2" s="6"/>
      <c r="O2" s="6" t="s">
        <v>24</v>
      </c>
      <c r="P2" s="7"/>
      <c r="Q2" s="7"/>
      <c r="R2" s="7"/>
      <c r="S2" s="7"/>
      <c r="T2" s="7"/>
      <c r="U2" s="7"/>
      <c r="V2" s="7"/>
      <c r="W2" s="7"/>
      <c r="X2" s="7"/>
      <c r="Y2" s="7"/>
      <c r="Z2" s="7"/>
      <c r="AA2" s="7"/>
      <c r="AB2" s="7"/>
    </row>
    <row r="3" ht="64.5" hidden="1" customHeight="1">
      <c r="A3" s="8">
        <v>45516.0</v>
      </c>
      <c r="B3" s="9">
        <v>32.0</v>
      </c>
      <c r="C3" s="9">
        <v>17.64</v>
      </c>
      <c r="D3" s="10" t="s">
        <v>25</v>
      </c>
      <c r="E3" s="10" t="s">
        <v>26</v>
      </c>
      <c r="F3" s="10" t="s">
        <v>26</v>
      </c>
      <c r="G3" s="10" t="s">
        <v>26</v>
      </c>
      <c r="H3" s="10" t="s">
        <v>25</v>
      </c>
      <c r="I3" s="10" t="s">
        <v>27</v>
      </c>
      <c r="J3" s="10" t="s">
        <v>25</v>
      </c>
      <c r="K3" s="11" t="s">
        <v>28</v>
      </c>
      <c r="L3" s="5" t="s">
        <v>29</v>
      </c>
      <c r="M3" s="12" t="s">
        <v>30</v>
      </c>
      <c r="N3" s="11"/>
      <c r="O3" s="11" t="s">
        <v>31</v>
      </c>
      <c r="P3" s="11"/>
      <c r="Q3" s="11"/>
    </row>
    <row r="4" ht="15.75" hidden="1" customHeight="1">
      <c r="A4" s="8">
        <v>45517.0</v>
      </c>
      <c r="B4" s="9">
        <v>36.0</v>
      </c>
      <c r="C4" s="9">
        <v>19.38</v>
      </c>
      <c r="D4" s="10" t="s">
        <v>25</v>
      </c>
      <c r="E4" s="10" t="s">
        <v>26</v>
      </c>
      <c r="F4" s="10" t="s">
        <v>26</v>
      </c>
      <c r="G4" s="10" t="s">
        <v>26</v>
      </c>
      <c r="H4" s="10" t="s">
        <v>25</v>
      </c>
      <c r="I4" s="10" t="s">
        <v>27</v>
      </c>
      <c r="J4" s="10" t="s">
        <v>25</v>
      </c>
      <c r="K4" s="11" t="s">
        <v>32</v>
      </c>
      <c r="L4" s="5" t="s">
        <v>29</v>
      </c>
      <c r="M4" s="11" t="s">
        <v>26</v>
      </c>
      <c r="N4" s="11"/>
      <c r="O4" s="11"/>
      <c r="P4" s="11"/>
      <c r="Q4" s="11"/>
    </row>
    <row r="5" ht="15.75" hidden="1" customHeight="1">
      <c r="A5" s="8">
        <v>45518.0</v>
      </c>
      <c r="B5" s="9">
        <v>40.0</v>
      </c>
      <c r="C5" s="9">
        <v>21.67</v>
      </c>
      <c r="D5" s="10" t="s">
        <v>25</v>
      </c>
      <c r="E5" s="10" t="s">
        <v>26</v>
      </c>
      <c r="F5" s="10" t="s">
        <v>26</v>
      </c>
      <c r="G5" s="10" t="s">
        <v>26</v>
      </c>
      <c r="H5" s="10" t="s">
        <v>25</v>
      </c>
      <c r="I5" s="10" t="s">
        <v>27</v>
      </c>
      <c r="J5" s="10" t="s">
        <v>25</v>
      </c>
      <c r="K5" s="11" t="s">
        <v>32</v>
      </c>
      <c r="L5" s="5" t="s">
        <v>29</v>
      </c>
      <c r="M5" s="12" t="s">
        <v>33</v>
      </c>
      <c r="N5" s="11"/>
      <c r="O5" s="11"/>
      <c r="P5" s="11"/>
      <c r="Q5" s="11"/>
    </row>
    <row r="6" ht="15.75" hidden="1" customHeight="1">
      <c r="A6" s="8">
        <v>45520.0</v>
      </c>
      <c r="B6" s="9">
        <v>44.0</v>
      </c>
      <c r="C6" s="9">
        <v>25.06</v>
      </c>
      <c r="D6" s="10" t="s">
        <v>25</v>
      </c>
      <c r="E6" s="10" t="s">
        <v>26</v>
      </c>
      <c r="F6" s="10" t="s">
        <v>26</v>
      </c>
      <c r="G6" s="10" t="s">
        <v>26</v>
      </c>
      <c r="H6" s="10" t="s">
        <v>25</v>
      </c>
      <c r="I6" s="10" t="s">
        <v>27</v>
      </c>
      <c r="J6" s="10" t="s">
        <v>25</v>
      </c>
      <c r="K6" s="11" t="s">
        <v>34</v>
      </c>
      <c r="L6" s="5" t="s">
        <v>29</v>
      </c>
      <c r="M6" s="12" t="s">
        <v>35</v>
      </c>
      <c r="N6" s="11"/>
      <c r="O6" s="11"/>
      <c r="P6" s="11"/>
      <c r="Q6" s="11"/>
    </row>
    <row r="7" ht="15.75" hidden="1" customHeight="1">
      <c r="A7" s="8">
        <v>45523.0</v>
      </c>
      <c r="B7" s="9">
        <v>48.0</v>
      </c>
      <c r="C7" s="9">
        <v>25.94</v>
      </c>
      <c r="D7" s="10" t="s">
        <v>25</v>
      </c>
      <c r="E7" s="10" t="s">
        <v>26</v>
      </c>
      <c r="F7" s="10" t="s">
        <v>26</v>
      </c>
      <c r="G7" s="10" t="s">
        <v>26</v>
      </c>
      <c r="H7" s="10" t="s">
        <v>25</v>
      </c>
      <c r="I7" s="10" t="s">
        <v>27</v>
      </c>
      <c r="J7" s="10" t="s">
        <v>25</v>
      </c>
      <c r="K7" s="11" t="s">
        <v>36</v>
      </c>
      <c r="L7" s="5" t="s">
        <v>29</v>
      </c>
      <c r="M7" s="12" t="s">
        <v>35</v>
      </c>
      <c r="N7" s="11"/>
      <c r="O7" s="11"/>
      <c r="P7" s="11"/>
      <c r="Q7" s="11"/>
    </row>
    <row r="8" ht="15.75" hidden="1" customHeight="1">
      <c r="A8" s="8">
        <v>45524.0</v>
      </c>
      <c r="B8" s="9">
        <v>52.0</v>
      </c>
      <c r="C8" s="9">
        <v>27.04</v>
      </c>
      <c r="D8" s="10" t="s">
        <v>25</v>
      </c>
      <c r="E8" s="10" t="s">
        <v>26</v>
      </c>
      <c r="F8" s="10" t="s">
        <v>26</v>
      </c>
      <c r="G8" s="10" t="s">
        <v>26</v>
      </c>
      <c r="H8" s="10" t="s">
        <v>25</v>
      </c>
      <c r="I8" s="10" t="s">
        <v>27</v>
      </c>
      <c r="J8" s="10" t="s">
        <v>25</v>
      </c>
      <c r="K8" s="11" t="s">
        <v>37</v>
      </c>
      <c r="L8" s="5" t="s">
        <v>29</v>
      </c>
      <c r="M8" s="11" t="s">
        <v>38</v>
      </c>
      <c r="O8" s="11"/>
      <c r="P8" s="11"/>
      <c r="Q8" s="11"/>
    </row>
    <row r="9" ht="15.75" hidden="1" customHeight="1">
      <c r="A9" s="8">
        <v>45525.0</v>
      </c>
      <c r="B9" s="9">
        <f>52+4</f>
        <v>56</v>
      </c>
      <c r="C9" s="9">
        <v>27.6</v>
      </c>
      <c r="D9" s="10" t="s">
        <v>25</v>
      </c>
      <c r="E9" s="10" t="s">
        <v>26</v>
      </c>
      <c r="F9" s="10" t="s">
        <v>26</v>
      </c>
      <c r="G9" s="10" t="s">
        <v>26</v>
      </c>
      <c r="H9" s="10" t="s">
        <v>25</v>
      </c>
      <c r="I9" s="10" t="s">
        <v>27</v>
      </c>
      <c r="J9" s="10" t="s">
        <v>25</v>
      </c>
      <c r="K9" s="11" t="s">
        <v>39</v>
      </c>
      <c r="L9" s="5" t="s">
        <v>40</v>
      </c>
      <c r="M9" s="11" t="s">
        <v>41</v>
      </c>
      <c r="O9" s="11"/>
      <c r="P9" s="11"/>
      <c r="Q9" s="11"/>
    </row>
    <row r="10" ht="15.75" hidden="1" customHeight="1">
      <c r="A10" s="8">
        <v>45526.0</v>
      </c>
      <c r="B10" s="9">
        <f>56+4</f>
        <v>60</v>
      </c>
      <c r="C10" s="9">
        <f>27.6+0.72</f>
        <v>28.32</v>
      </c>
      <c r="D10" s="10" t="s">
        <v>25</v>
      </c>
      <c r="E10" s="10" t="s">
        <v>26</v>
      </c>
      <c r="F10" s="10" t="s">
        <v>26</v>
      </c>
      <c r="G10" s="10" t="s">
        <v>26</v>
      </c>
      <c r="H10" s="10" t="s">
        <v>25</v>
      </c>
      <c r="I10" s="10" t="s">
        <v>27</v>
      </c>
      <c r="J10" s="10" t="s">
        <v>25</v>
      </c>
      <c r="K10" s="11" t="s">
        <v>42</v>
      </c>
      <c r="L10" s="5" t="s">
        <v>29</v>
      </c>
      <c r="M10" s="11" t="s">
        <v>43</v>
      </c>
      <c r="O10" s="11"/>
      <c r="P10" s="11"/>
      <c r="Q10" s="11"/>
    </row>
    <row r="11" ht="15.75" hidden="1" customHeight="1">
      <c r="A11" s="8">
        <v>45527.0</v>
      </c>
      <c r="B11" s="9">
        <f t="shared" ref="B11:B13" si="1">B10+4</f>
        <v>64</v>
      </c>
      <c r="C11" s="9">
        <v>29.04</v>
      </c>
      <c r="D11" s="10" t="s">
        <v>25</v>
      </c>
      <c r="E11" s="10" t="s">
        <v>26</v>
      </c>
      <c r="F11" s="10" t="s">
        <v>26</v>
      </c>
      <c r="G11" s="10" t="s">
        <v>26</v>
      </c>
      <c r="H11" s="10" t="s">
        <v>25</v>
      </c>
      <c r="I11" s="10" t="s">
        <v>27</v>
      </c>
      <c r="J11" s="10" t="s">
        <v>25</v>
      </c>
      <c r="K11" s="11" t="s">
        <v>44</v>
      </c>
      <c r="L11" s="5" t="s">
        <v>29</v>
      </c>
      <c r="M11" s="11" t="s">
        <v>45</v>
      </c>
      <c r="O11" s="11"/>
      <c r="P11" s="11"/>
      <c r="Q11" s="11"/>
    </row>
    <row r="12" ht="15.75" hidden="1" customHeight="1">
      <c r="A12" s="8">
        <v>45530.0</v>
      </c>
      <c r="B12" s="9">
        <f t="shared" si="1"/>
        <v>68</v>
      </c>
      <c r="C12" s="9">
        <v>32.96</v>
      </c>
      <c r="D12" s="10" t="s">
        <v>25</v>
      </c>
      <c r="E12" s="10" t="s">
        <v>26</v>
      </c>
      <c r="F12" s="10" t="s">
        <v>26</v>
      </c>
      <c r="G12" s="10" t="s">
        <v>26</v>
      </c>
      <c r="H12" s="10" t="s">
        <v>25</v>
      </c>
      <c r="I12" s="10" t="s">
        <v>27</v>
      </c>
      <c r="J12" s="10" t="s">
        <v>25</v>
      </c>
      <c r="K12" s="11" t="s">
        <v>42</v>
      </c>
      <c r="L12" s="5" t="s">
        <v>29</v>
      </c>
      <c r="M12" s="11" t="s">
        <v>46</v>
      </c>
      <c r="O12" s="11"/>
      <c r="P12" s="11"/>
      <c r="Q12" s="11"/>
    </row>
    <row r="13" ht="15.75" hidden="1" customHeight="1">
      <c r="A13" s="8">
        <v>45531.0</v>
      </c>
      <c r="B13" s="9">
        <f t="shared" si="1"/>
        <v>72</v>
      </c>
      <c r="C13" s="9">
        <f>C12+0.85</f>
        <v>33.81</v>
      </c>
      <c r="D13" s="10" t="s">
        <v>25</v>
      </c>
      <c r="E13" s="10" t="s">
        <v>26</v>
      </c>
      <c r="F13" s="10" t="s">
        <v>26</v>
      </c>
      <c r="G13" s="10" t="s">
        <v>26</v>
      </c>
      <c r="H13" s="10" t="s">
        <v>25</v>
      </c>
      <c r="I13" s="10" t="s">
        <v>27</v>
      </c>
      <c r="J13" s="10" t="s">
        <v>25</v>
      </c>
      <c r="K13" s="11" t="s">
        <v>42</v>
      </c>
      <c r="L13" s="5" t="s">
        <v>29</v>
      </c>
      <c r="M13" s="11" t="s">
        <v>47</v>
      </c>
      <c r="O13" s="11"/>
      <c r="P13" s="11"/>
      <c r="Q13" s="11"/>
    </row>
    <row r="14" ht="15.75" hidden="1" customHeight="1">
      <c r="A14" s="8">
        <v>45532.0</v>
      </c>
      <c r="B14" s="9">
        <v>76.0</v>
      </c>
      <c r="C14" s="9">
        <v>35.97</v>
      </c>
      <c r="D14" s="10" t="s">
        <v>26</v>
      </c>
      <c r="E14" s="10" t="s">
        <v>26</v>
      </c>
      <c r="F14" s="10" t="s">
        <v>26</v>
      </c>
      <c r="G14" s="10" t="s">
        <v>26</v>
      </c>
      <c r="H14" s="10" t="s">
        <v>25</v>
      </c>
      <c r="I14" s="10" t="s">
        <v>27</v>
      </c>
      <c r="J14" s="10" t="s">
        <v>25</v>
      </c>
      <c r="K14" s="11" t="s">
        <v>48</v>
      </c>
      <c r="L14" s="5" t="s">
        <v>29</v>
      </c>
      <c r="M14" s="11" t="s">
        <v>49</v>
      </c>
      <c r="O14" s="11"/>
      <c r="P14" s="11"/>
      <c r="Q14" s="11"/>
    </row>
    <row r="15" ht="15.75" hidden="1" customHeight="1">
      <c r="A15" s="8">
        <v>45533.0</v>
      </c>
      <c r="B15" s="9">
        <f t="shared" ref="B15:B16" si="2">B14+4</f>
        <v>80</v>
      </c>
      <c r="C15" s="9">
        <v>38.48</v>
      </c>
      <c r="D15" s="10" t="s">
        <v>25</v>
      </c>
      <c r="E15" s="10" t="s">
        <v>26</v>
      </c>
      <c r="F15" s="10" t="s">
        <v>26</v>
      </c>
      <c r="G15" s="10" t="s">
        <v>26</v>
      </c>
      <c r="H15" s="10" t="s">
        <v>25</v>
      </c>
      <c r="I15" s="10" t="s">
        <v>27</v>
      </c>
      <c r="J15" s="10" t="s">
        <v>25</v>
      </c>
      <c r="K15" s="11" t="s">
        <v>42</v>
      </c>
      <c r="L15" s="5" t="s">
        <v>29</v>
      </c>
      <c r="M15" s="11" t="s">
        <v>50</v>
      </c>
      <c r="O15" s="11"/>
      <c r="P15" s="11"/>
      <c r="Q15" s="11"/>
    </row>
    <row r="16" ht="15.75" hidden="1" customHeight="1">
      <c r="A16" s="8">
        <v>45534.0</v>
      </c>
      <c r="B16" s="9">
        <f t="shared" si="2"/>
        <v>84</v>
      </c>
      <c r="C16" s="9">
        <v>40.67</v>
      </c>
      <c r="D16" s="10" t="s">
        <v>25</v>
      </c>
      <c r="E16" s="10" t="s">
        <v>26</v>
      </c>
      <c r="F16" s="10" t="s">
        <v>26</v>
      </c>
      <c r="G16" s="10" t="s">
        <v>26</v>
      </c>
      <c r="H16" s="10" t="s">
        <v>25</v>
      </c>
      <c r="I16" s="10" t="s">
        <v>27</v>
      </c>
      <c r="J16" s="10" t="s">
        <v>25</v>
      </c>
      <c r="K16" s="11" t="s">
        <v>51</v>
      </c>
      <c r="L16" s="5" t="s">
        <v>29</v>
      </c>
      <c r="M16" s="11" t="s">
        <v>52</v>
      </c>
      <c r="O16" s="11"/>
      <c r="P16" s="11"/>
      <c r="Q16" s="11"/>
    </row>
    <row r="17" ht="15.75" hidden="1" customHeight="1">
      <c r="A17" s="8">
        <v>45537.0</v>
      </c>
      <c r="B17" s="9">
        <v>4.0</v>
      </c>
      <c r="C17" s="9">
        <v>2.37</v>
      </c>
      <c r="D17" s="10" t="s">
        <v>25</v>
      </c>
      <c r="E17" s="10" t="s">
        <v>26</v>
      </c>
      <c r="F17" s="10" t="s">
        <v>26</v>
      </c>
      <c r="G17" s="10" t="s">
        <v>26</v>
      </c>
      <c r="H17" s="10" t="s">
        <v>25</v>
      </c>
      <c r="I17" s="10" t="s">
        <v>27</v>
      </c>
      <c r="J17" s="10" t="s">
        <v>25</v>
      </c>
      <c r="K17" s="11" t="s">
        <v>42</v>
      </c>
      <c r="L17" s="5" t="s">
        <v>29</v>
      </c>
      <c r="M17" s="11" t="s">
        <v>53</v>
      </c>
      <c r="O17" s="11"/>
      <c r="P17" s="11"/>
      <c r="Q17" s="11"/>
    </row>
    <row r="18" ht="15.75" hidden="1" customHeight="1">
      <c r="A18" s="8">
        <v>45538.0</v>
      </c>
      <c r="B18" s="9">
        <v>8.0</v>
      </c>
      <c r="C18" s="9">
        <v>3.23</v>
      </c>
      <c r="D18" s="10" t="s">
        <v>25</v>
      </c>
      <c r="E18" s="10" t="s">
        <v>26</v>
      </c>
      <c r="F18" s="10" t="s">
        <v>26</v>
      </c>
      <c r="G18" s="10" t="s">
        <v>26</v>
      </c>
      <c r="H18" s="10" t="s">
        <v>25</v>
      </c>
      <c r="I18" s="10" t="s">
        <v>27</v>
      </c>
      <c r="J18" s="10" t="s">
        <v>25</v>
      </c>
      <c r="K18" s="11" t="s">
        <v>54</v>
      </c>
      <c r="L18" s="5" t="s">
        <v>29</v>
      </c>
      <c r="M18" s="11" t="s">
        <v>55</v>
      </c>
      <c r="O18" s="11"/>
      <c r="P18" s="11"/>
      <c r="Q18" s="11"/>
    </row>
    <row r="19" ht="15.75" hidden="1" customHeight="1">
      <c r="A19" s="8">
        <v>45539.0</v>
      </c>
      <c r="B19" s="9">
        <v>12.0</v>
      </c>
      <c r="C19" s="9">
        <v>6.69</v>
      </c>
      <c r="D19" s="10" t="s">
        <v>25</v>
      </c>
      <c r="E19" s="10" t="s">
        <v>26</v>
      </c>
      <c r="F19" s="10" t="s">
        <v>26</v>
      </c>
      <c r="G19" s="10" t="s">
        <v>26</v>
      </c>
      <c r="H19" s="10" t="s">
        <v>25</v>
      </c>
      <c r="I19" s="10" t="s">
        <v>27</v>
      </c>
      <c r="J19" s="10" t="s">
        <v>25</v>
      </c>
      <c r="K19" s="11" t="s">
        <v>56</v>
      </c>
      <c r="L19" s="5" t="s">
        <v>29</v>
      </c>
      <c r="M19" s="11" t="s">
        <v>57</v>
      </c>
      <c r="O19" s="11"/>
      <c r="P19" s="11"/>
      <c r="Q19" s="11"/>
    </row>
    <row r="20" ht="15.75" hidden="1" customHeight="1">
      <c r="A20" s="8">
        <v>45540.0</v>
      </c>
      <c r="B20" s="9">
        <v>16.0</v>
      </c>
      <c r="C20" s="9">
        <v>6.06</v>
      </c>
      <c r="D20" s="10" t="s">
        <v>25</v>
      </c>
      <c r="E20" s="10" t="s">
        <v>26</v>
      </c>
      <c r="F20" s="10" t="s">
        <v>26</v>
      </c>
      <c r="G20" s="10" t="s">
        <v>26</v>
      </c>
      <c r="H20" s="10" t="s">
        <v>25</v>
      </c>
      <c r="I20" s="10" t="s">
        <v>27</v>
      </c>
      <c r="J20" s="10" t="s">
        <v>25</v>
      </c>
      <c r="K20" s="11" t="s">
        <v>58</v>
      </c>
      <c r="L20" s="5" t="s">
        <v>29</v>
      </c>
      <c r="M20" s="11" t="s">
        <v>59</v>
      </c>
      <c r="N20" s="13"/>
      <c r="O20" s="14" t="s">
        <v>60</v>
      </c>
      <c r="P20" s="11"/>
      <c r="Q20" s="11"/>
    </row>
    <row r="21" ht="15.75" hidden="1" customHeight="1">
      <c r="A21" s="8">
        <v>45541.0</v>
      </c>
      <c r="B21" s="9">
        <v>20.0</v>
      </c>
      <c r="C21" s="9">
        <v>7.07</v>
      </c>
      <c r="D21" s="10" t="s">
        <v>26</v>
      </c>
      <c r="E21" s="10" t="s">
        <v>26</v>
      </c>
      <c r="F21" s="10" t="s">
        <v>26</v>
      </c>
      <c r="G21" s="10" t="s">
        <v>26</v>
      </c>
      <c r="H21" s="10" t="s">
        <v>25</v>
      </c>
      <c r="I21" s="10" t="s">
        <v>27</v>
      </c>
      <c r="J21" s="10" t="s">
        <v>25</v>
      </c>
      <c r="K21" s="11" t="s">
        <v>61</v>
      </c>
      <c r="L21" s="5" t="s">
        <v>29</v>
      </c>
      <c r="M21" s="11" t="s">
        <v>62</v>
      </c>
      <c r="O21" s="11"/>
      <c r="P21" s="11"/>
      <c r="Q21" s="11"/>
    </row>
    <row r="22" ht="15.75" hidden="1" customHeight="1">
      <c r="A22" s="8">
        <v>45544.0</v>
      </c>
      <c r="B22" s="9">
        <v>24.0</v>
      </c>
      <c r="C22" s="9">
        <f>C21+3.1</f>
        <v>10.17</v>
      </c>
      <c r="D22" s="10" t="s">
        <v>25</v>
      </c>
      <c r="E22" s="10" t="s">
        <v>26</v>
      </c>
      <c r="F22" s="10" t="s">
        <v>26</v>
      </c>
      <c r="G22" s="10" t="s">
        <v>26</v>
      </c>
      <c r="H22" s="10" t="s">
        <v>25</v>
      </c>
      <c r="I22" s="10" t="s">
        <v>27</v>
      </c>
      <c r="J22" s="10" t="s">
        <v>25</v>
      </c>
      <c r="K22" s="11" t="s">
        <v>63</v>
      </c>
      <c r="L22" s="5" t="s">
        <v>40</v>
      </c>
      <c r="M22" s="11" t="s">
        <v>64</v>
      </c>
      <c r="O22" s="11"/>
      <c r="P22" s="11"/>
      <c r="Q22" s="11"/>
    </row>
    <row r="23" ht="15.75" hidden="1" customHeight="1">
      <c r="A23" s="8">
        <v>45545.0</v>
      </c>
      <c r="B23" s="9">
        <v>28.0</v>
      </c>
      <c r="C23" s="9">
        <f>C22+0.97</f>
        <v>11.14</v>
      </c>
      <c r="D23" s="10" t="s">
        <v>25</v>
      </c>
      <c r="E23" s="10" t="s">
        <v>26</v>
      </c>
      <c r="F23" s="10" t="s">
        <v>26</v>
      </c>
      <c r="G23" s="10" t="s">
        <v>26</v>
      </c>
      <c r="H23" s="10" t="s">
        <v>25</v>
      </c>
      <c r="I23" s="10" t="s">
        <v>27</v>
      </c>
      <c r="J23" s="10" t="s">
        <v>25</v>
      </c>
      <c r="K23" s="11" t="s">
        <v>65</v>
      </c>
      <c r="L23" s="5" t="s">
        <v>40</v>
      </c>
      <c r="M23" s="11" t="s">
        <v>66</v>
      </c>
      <c r="O23" s="11"/>
      <c r="P23" s="11"/>
      <c r="Q23" s="11"/>
    </row>
    <row r="24" ht="15.75" hidden="1" customHeight="1">
      <c r="A24" s="8">
        <v>45546.0</v>
      </c>
      <c r="B24" s="9">
        <f t="shared" ref="B24:B26" si="3">B23+4</f>
        <v>32</v>
      </c>
      <c r="C24" s="9">
        <f>C23+0.48</f>
        <v>11.62</v>
      </c>
      <c r="D24" s="10" t="s">
        <v>25</v>
      </c>
      <c r="E24" s="10" t="s">
        <v>26</v>
      </c>
      <c r="F24" s="10" t="s">
        <v>26</v>
      </c>
      <c r="G24" s="10" t="s">
        <v>26</v>
      </c>
      <c r="H24" s="10" t="s">
        <v>25</v>
      </c>
      <c r="I24" s="10" t="s">
        <v>27</v>
      </c>
      <c r="J24" s="10" t="s">
        <v>25</v>
      </c>
      <c r="K24" s="11" t="s">
        <v>67</v>
      </c>
      <c r="L24" s="5" t="s">
        <v>29</v>
      </c>
      <c r="M24" s="13" t="s">
        <v>68</v>
      </c>
      <c r="N24" s="11"/>
      <c r="O24" s="11" t="s">
        <v>69</v>
      </c>
      <c r="P24" s="11"/>
      <c r="Q24" s="11"/>
    </row>
    <row r="25" ht="15.75" hidden="1" customHeight="1">
      <c r="A25" s="8">
        <v>45547.0</v>
      </c>
      <c r="B25" s="9">
        <f t="shared" si="3"/>
        <v>36</v>
      </c>
      <c r="C25" s="9">
        <f>C24+1.57</f>
        <v>13.19</v>
      </c>
      <c r="D25" s="10" t="s">
        <v>25</v>
      </c>
      <c r="E25" s="10" t="s">
        <v>26</v>
      </c>
      <c r="F25" s="10" t="s">
        <v>26</v>
      </c>
      <c r="G25" s="10" t="s">
        <v>26</v>
      </c>
      <c r="H25" s="10" t="s">
        <v>25</v>
      </c>
      <c r="I25" s="10" t="s">
        <v>27</v>
      </c>
      <c r="J25" s="10" t="s">
        <v>25</v>
      </c>
      <c r="K25" s="11" t="s">
        <v>70</v>
      </c>
      <c r="L25" s="5" t="s">
        <v>40</v>
      </c>
      <c r="M25" s="11" t="s">
        <v>71</v>
      </c>
      <c r="O25" s="11"/>
      <c r="P25" s="11"/>
      <c r="Q25" s="11"/>
    </row>
    <row r="26" ht="15.75" hidden="1" customHeight="1">
      <c r="A26" s="8">
        <v>45548.0</v>
      </c>
      <c r="B26" s="9">
        <f t="shared" si="3"/>
        <v>40</v>
      </c>
      <c r="C26" s="9">
        <v>14.09</v>
      </c>
      <c r="D26" s="10" t="s">
        <v>25</v>
      </c>
      <c r="E26" s="10" t="s">
        <v>26</v>
      </c>
      <c r="F26" s="10" t="s">
        <v>26</v>
      </c>
      <c r="G26" s="10" t="s">
        <v>26</v>
      </c>
      <c r="H26" s="10" t="s">
        <v>25</v>
      </c>
      <c r="I26" s="10" t="s">
        <v>27</v>
      </c>
      <c r="J26" s="10" t="s">
        <v>25</v>
      </c>
      <c r="K26" s="10" t="s">
        <v>72</v>
      </c>
      <c r="L26" s="5" t="s">
        <v>29</v>
      </c>
      <c r="M26" s="11" t="s">
        <v>73</v>
      </c>
      <c r="O26" s="11"/>
      <c r="P26" s="11"/>
      <c r="Q26" s="11"/>
    </row>
    <row r="27" ht="15.75" hidden="1" customHeight="1">
      <c r="A27" s="8">
        <v>45551.0</v>
      </c>
      <c r="B27" s="9">
        <v>44.0</v>
      </c>
      <c r="C27" s="9">
        <v>16.59</v>
      </c>
      <c r="D27" s="10" t="s">
        <v>25</v>
      </c>
      <c r="E27" s="10" t="s">
        <v>26</v>
      </c>
      <c r="F27" s="10" t="s">
        <v>26</v>
      </c>
      <c r="G27" s="10" t="s">
        <v>26</v>
      </c>
      <c r="H27" s="10" t="s">
        <v>25</v>
      </c>
      <c r="I27" s="10" t="s">
        <v>27</v>
      </c>
      <c r="J27" s="10" t="s">
        <v>25</v>
      </c>
      <c r="K27" s="10" t="s">
        <v>74</v>
      </c>
      <c r="L27" s="5" t="s">
        <v>29</v>
      </c>
      <c r="M27" s="11" t="s">
        <v>75</v>
      </c>
      <c r="O27" s="11"/>
      <c r="P27" s="11"/>
      <c r="Q27" s="11"/>
    </row>
    <row r="28" ht="15.75" hidden="1" customHeight="1">
      <c r="A28" s="8">
        <v>45552.0</v>
      </c>
      <c r="B28" s="9">
        <v>48.0</v>
      </c>
      <c r="C28" s="9">
        <f>C27+1.49</f>
        <v>18.08</v>
      </c>
      <c r="D28" s="10" t="s">
        <v>25</v>
      </c>
      <c r="E28" s="10" t="s">
        <v>26</v>
      </c>
      <c r="F28" s="10" t="s">
        <v>26</v>
      </c>
      <c r="G28" s="10" t="s">
        <v>26</v>
      </c>
      <c r="H28" s="10" t="s">
        <v>25</v>
      </c>
      <c r="I28" s="10" t="s">
        <v>27</v>
      </c>
      <c r="J28" s="10" t="s">
        <v>25</v>
      </c>
      <c r="K28" s="10" t="s">
        <v>74</v>
      </c>
      <c r="L28" s="5" t="s">
        <v>29</v>
      </c>
      <c r="M28" s="15" t="s">
        <v>76</v>
      </c>
      <c r="O28" s="11"/>
      <c r="P28" s="11"/>
      <c r="Q28" s="11"/>
    </row>
    <row r="29" ht="15.75" hidden="1" customHeight="1">
      <c r="A29" s="8">
        <v>45553.0</v>
      </c>
      <c r="B29" s="9">
        <f t="shared" ref="B29:B31" si="4">B28+4</f>
        <v>52</v>
      </c>
      <c r="C29" s="9">
        <f>C28+2.7</f>
        <v>20.78</v>
      </c>
      <c r="D29" s="10" t="s">
        <v>25</v>
      </c>
      <c r="E29" s="10" t="s">
        <v>26</v>
      </c>
      <c r="F29" s="10" t="s">
        <v>26</v>
      </c>
      <c r="G29" s="10" t="s">
        <v>26</v>
      </c>
      <c r="H29" s="10" t="s">
        <v>25</v>
      </c>
      <c r="I29" s="10" t="s">
        <v>27</v>
      </c>
      <c r="J29" s="10" t="s">
        <v>25</v>
      </c>
      <c r="K29" s="10" t="s">
        <v>72</v>
      </c>
      <c r="L29" s="5" t="s">
        <v>29</v>
      </c>
      <c r="M29" s="11" t="s">
        <v>77</v>
      </c>
      <c r="O29" s="11"/>
      <c r="P29" s="11"/>
      <c r="Q29" s="11"/>
    </row>
    <row r="30" ht="15.75" hidden="1" customHeight="1">
      <c r="A30" s="8">
        <v>45554.0</v>
      </c>
      <c r="B30" s="9">
        <f t="shared" si="4"/>
        <v>56</v>
      </c>
      <c r="C30" s="9">
        <v>24.51</v>
      </c>
      <c r="D30" s="10" t="s">
        <v>25</v>
      </c>
      <c r="E30" s="10" t="s">
        <v>26</v>
      </c>
      <c r="F30" s="10" t="s">
        <v>26</v>
      </c>
      <c r="G30" s="10" t="s">
        <v>26</v>
      </c>
      <c r="H30" s="10" t="s">
        <v>25</v>
      </c>
      <c r="I30" s="10" t="s">
        <v>27</v>
      </c>
      <c r="J30" s="10" t="s">
        <v>25</v>
      </c>
      <c r="K30" s="10" t="s">
        <v>72</v>
      </c>
      <c r="L30" s="5" t="s">
        <v>29</v>
      </c>
      <c r="M30" s="11" t="s">
        <v>78</v>
      </c>
      <c r="O30" s="11"/>
      <c r="P30" s="11"/>
      <c r="Q30" s="11"/>
    </row>
    <row r="31" ht="15.75" hidden="1" customHeight="1">
      <c r="A31" s="8">
        <v>45555.0</v>
      </c>
      <c r="B31" s="9">
        <f t="shared" si="4"/>
        <v>60</v>
      </c>
      <c r="C31" s="9">
        <v>23.26</v>
      </c>
      <c r="D31" s="10" t="s">
        <v>25</v>
      </c>
      <c r="E31" s="10" t="s">
        <v>26</v>
      </c>
      <c r="F31" s="10" t="s">
        <v>26</v>
      </c>
      <c r="G31" s="10" t="s">
        <v>26</v>
      </c>
      <c r="H31" s="10" t="s">
        <v>25</v>
      </c>
      <c r="I31" s="10" t="s">
        <v>27</v>
      </c>
      <c r="J31" s="10" t="s">
        <v>25</v>
      </c>
      <c r="K31" s="10" t="s">
        <v>79</v>
      </c>
      <c r="L31" s="5" t="s">
        <v>40</v>
      </c>
      <c r="M31" s="11" t="s">
        <v>80</v>
      </c>
      <c r="O31" s="11"/>
      <c r="P31" s="11"/>
      <c r="Q31" s="11"/>
    </row>
    <row r="32" ht="15.75" hidden="1" customHeight="1">
      <c r="A32" s="8">
        <v>45558.0</v>
      </c>
      <c r="B32" s="9">
        <v>64.0</v>
      </c>
      <c r="C32" s="9">
        <v>26.06</v>
      </c>
      <c r="D32" s="10" t="s">
        <v>26</v>
      </c>
      <c r="E32" s="10" t="s">
        <v>26</v>
      </c>
      <c r="F32" s="10" t="s">
        <v>26</v>
      </c>
      <c r="G32" s="10" t="s">
        <v>26</v>
      </c>
      <c r="H32" s="10" t="s">
        <v>25</v>
      </c>
      <c r="I32" s="10" t="s">
        <v>27</v>
      </c>
      <c r="J32" s="10" t="s">
        <v>25</v>
      </c>
      <c r="K32" s="11" t="s">
        <v>81</v>
      </c>
      <c r="L32" s="5" t="s">
        <v>29</v>
      </c>
      <c r="M32" s="11" t="s">
        <v>82</v>
      </c>
      <c r="O32" s="11"/>
      <c r="P32" s="11"/>
      <c r="Q32" s="11"/>
    </row>
    <row r="33" ht="15.75" hidden="1" customHeight="1">
      <c r="A33" s="8">
        <v>45559.0</v>
      </c>
      <c r="B33" s="9">
        <f t="shared" ref="B33:B35" si="5">B32+4</f>
        <v>68</v>
      </c>
      <c r="C33" s="9">
        <v>28.47</v>
      </c>
      <c r="D33" s="10" t="s">
        <v>26</v>
      </c>
      <c r="E33" s="10" t="s">
        <v>26</v>
      </c>
      <c r="F33" s="10" t="s">
        <v>26</v>
      </c>
      <c r="G33" s="10" t="s">
        <v>26</v>
      </c>
      <c r="H33" s="10" t="s">
        <v>25</v>
      </c>
      <c r="I33" s="10" t="s">
        <v>27</v>
      </c>
      <c r="J33" s="10" t="s">
        <v>25</v>
      </c>
      <c r="K33" s="11" t="s">
        <v>83</v>
      </c>
      <c r="L33" s="5" t="s">
        <v>29</v>
      </c>
      <c r="M33" s="11" t="s">
        <v>84</v>
      </c>
      <c r="O33" s="11"/>
      <c r="P33" s="11"/>
      <c r="Q33" s="11"/>
    </row>
    <row r="34" ht="15.75" hidden="1" customHeight="1">
      <c r="A34" s="8">
        <v>45560.0</v>
      </c>
      <c r="B34" s="9">
        <f t="shared" si="5"/>
        <v>72</v>
      </c>
      <c r="C34" s="9">
        <v>32.4</v>
      </c>
      <c r="D34" s="10" t="s">
        <v>26</v>
      </c>
      <c r="E34" s="10" t="s">
        <v>26</v>
      </c>
      <c r="F34" s="10" t="s">
        <v>26</v>
      </c>
      <c r="G34" s="10" t="s">
        <v>26</v>
      </c>
      <c r="H34" s="10" t="s">
        <v>25</v>
      </c>
      <c r="I34" s="10" t="s">
        <v>27</v>
      </c>
      <c r="J34" s="10" t="s">
        <v>25</v>
      </c>
      <c r="K34" s="11" t="s">
        <v>85</v>
      </c>
      <c r="L34" s="5" t="s">
        <v>29</v>
      </c>
      <c r="M34" s="11" t="s">
        <v>86</v>
      </c>
      <c r="N34" s="12"/>
      <c r="O34" s="16"/>
      <c r="P34" s="11"/>
      <c r="Q34" s="11"/>
    </row>
    <row r="35" ht="15.75" hidden="1" customHeight="1">
      <c r="A35" s="8">
        <v>45561.0</v>
      </c>
      <c r="B35" s="9">
        <f t="shared" si="5"/>
        <v>76</v>
      </c>
      <c r="C35" s="9">
        <v>34.32</v>
      </c>
      <c r="D35" s="10" t="s">
        <v>25</v>
      </c>
      <c r="E35" s="10" t="s">
        <v>26</v>
      </c>
      <c r="F35" s="10" t="s">
        <v>26</v>
      </c>
      <c r="G35" s="10" t="s">
        <v>26</v>
      </c>
      <c r="H35" s="10" t="s">
        <v>25</v>
      </c>
      <c r="I35" s="10" t="s">
        <v>27</v>
      </c>
      <c r="J35" s="10" t="s">
        <v>25</v>
      </c>
      <c r="K35" s="11" t="s">
        <v>87</v>
      </c>
      <c r="L35" s="5" t="s">
        <v>29</v>
      </c>
      <c r="M35" s="11" t="s">
        <v>88</v>
      </c>
      <c r="O35" s="11"/>
      <c r="P35" s="11"/>
      <c r="Q35" s="11"/>
    </row>
    <row r="36" ht="15.75" hidden="1" customHeight="1">
      <c r="A36" s="8">
        <v>45562.0</v>
      </c>
      <c r="B36" s="9">
        <v>80.0</v>
      </c>
      <c r="C36" s="9">
        <v>36.21</v>
      </c>
      <c r="D36" s="10" t="s">
        <v>25</v>
      </c>
      <c r="E36" s="10" t="s">
        <v>26</v>
      </c>
      <c r="F36" s="10" t="s">
        <v>26</v>
      </c>
      <c r="G36" s="10" t="s">
        <v>26</v>
      </c>
      <c r="H36" s="10" t="s">
        <v>25</v>
      </c>
      <c r="I36" s="10" t="s">
        <v>27</v>
      </c>
      <c r="J36" s="10" t="s">
        <v>25</v>
      </c>
      <c r="K36" s="11" t="s">
        <v>89</v>
      </c>
      <c r="L36" s="5" t="s">
        <v>40</v>
      </c>
      <c r="M36" s="11" t="s">
        <v>90</v>
      </c>
      <c r="O36" s="11"/>
      <c r="P36" s="11"/>
      <c r="Q36" s="11"/>
    </row>
    <row r="37" ht="15.75" hidden="1" customHeight="1">
      <c r="A37" s="8">
        <v>45565.0</v>
      </c>
      <c r="B37" s="9">
        <v>84.0</v>
      </c>
      <c r="C37" s="9">
        <f>C36+3</f>
        <v>39.21</v>
      </c>
      <c r="D37" s="10" t="s">
        <v>26</v>
      </c>
      <c r="E37" s="10" t="s">
        <v>25</v>
      </c>
      <c r="F37" s="10" t="s">
        <v>26</v>
      </c>
      <c r="G37" s="10" t="s">
        <v>26</v>
      </c>
      <c r="H37" s="10" t="s">
        <v>25</v>
      </c>
      <c r="I37" s="10" t="s">
        <v>27</v>
      </c>
      <c r="J37" s="10" t="s">
        <v>25</v>
      </c>
      <c r="K37" s="11" t="s">
        <v>91</v>
      </c>
      <c r="L37" s="5" t="s">
        <v>40</v>
      </c>
      <c r="M37" s="11" t="s">
        <v>92</v>
      </c>
      <c r="O37" s="11"/>
      <c r="P37" s="11"/>
      <c r="Q37" s="11"/>
    </row>
    <row r="38" ht="15.75" hidden="1" customHeight="1">
      <c r="A38" s="8">
        <v>45566.0</v>
      </c>
      <c r="B38" s="9">
        <v>4.0</v>
      </c>
      <c r="C38" s="9">
        <v>3.79</v>
      </c>
      <c r="D38" s="10" t="s">
        <v>26</v>
      </c>
      <c r="E38" s="10" t="s">
        <v>26</v>
      </c>
      <c r="F38" s="10" t="s">
        <v>26</v>
      </c>
      <c r="G38" s="10" t="s">
        <v>26</v>
      </c>
      <c r="H38" s="10" t="s">
        <v>25</v>
      </c>
      <c r="I38" s="10" t="s">
        <v>27</v>
      </c>
      <c r="J38" s="10" t="s">
        <v>25</v>
      </c>
      <c r="K38" s="11" t="s">
        <v>93</v>
      </c>
      <c r="L38" s="5" t="s">
        <v>40</v>
      </c>
      <c r="M38" s="11" t="s">
        <v>94</v>
      </c>
      <c r="O38" s="11"/>
      <c r="P38" s="11"/>
      <c r="Q38" s="11"/>
    </row>
    <row r="39" ht="15.75" hidden="1" customHeight="1">
      <c r="A39" s="8">
        <v>45568.0</v>
      </c>
      <c r="B39" s="9">
        <v>8.0</v>
      </c>
      <c r="C39" s="9">
        <f>C38+5</f>
        <v>8.79</v>
      </c>
      <c r="D39" s="10" t="s">
        <v>26</v>
      </c>
      <c r="E39" s="10" t="s">
        <v>25</v>
      </c>
      <c r="F39" s="10" t="s">
        <v>26</v>
      </c>
      <c r="G39" s="10" t="s">
        <v>26</v>
      </c>
      <c r="H39" s="10" t="s">
        <v>25</v>
      </c>
      <c r="I39" s="10" t="s">
        <v>27</v>
      </c>
      <c r="J39" s="10" t="s">
        <v>25</v>
      </c>
      <c r="K39" s="11" t="s">
        <v>95</v>
      </c>
      <c r="L39" s="5" t="s">
        <v>29</v>
      </c>
      <c r="M39" s="17" t="s">
        <v>96</v>
      </c>
      <c r="N39" s="18"/>
      <c r="O39" s="18" t="s">
        <v>97</v>
      </c>
      <c r="P39" s="18" t="s">
        <v>98</v>
      </c>
      <c r="Q39" s="11"/>
    </row>
    <row r="40" ht="15.75" hidden="1" customHeight="1">
      <c r="A40" s="8">
        <v>45569.0</v>
      </c>
      <c r="B40" s="9">
        <f>B39+4</f>
        <v>12</v>
      </c>
      <c r="C40" s="9">
        <v>13.6</v>
      </c>
      <c r="D40" s="10" t="s">
        <v>26</v>
      </c>
      <c r="E40" s="10" t="s">
        <v>25</v>
      </c>
      <c r="F40" s="10" t="s">
        <v>26</v>
      </c>
      <c r="G40" s="10" t="s">
        <v>26</v>
      </c>
      <c r="H40" s="10" t="s">
        <v>25</v>
      </c>
      <c r="I40" s="10" t="s">
        <v>27</v>
      </c>
      <c r="J40" s="10" t="s">
        <v>25</v>
      </c>
      <c r="K40" s="11" t="s">
        <v>99</v>
      </c>
      <c r="L40" s="5" t="s">
        <v>29</v>
      </c>
      <c r="M40" s="12" t="s">
        <v>100</v>
      </c>
      <c r="N40" s="11"/>
      <c r="O40" s="11"/>
      <c r="P40" s="11"/>
      <c r="Q40" s="11"/>
    </row>
    <row r="41" ht="15.75" hidden="1" customHeight="1">
      <c r="A41" s="8">
        <v>45572.0</v>
      </c>
      <c r="B41" s="9">
        <v>16.0</v>
      </c>
      <c r="C41" s="9">
        <v>14.79</v>
      </c>
      <c r="D41" s="10" t="s">
        <v>26</v>
      </c>
      <c r="E41" s="10" t="s">
        <v>25</v>
      </c>
      <c r="F41" s="10" t="s">
        <v>26</v>
      </c>
      <c r="G41" s="10" t="s">
        <v>26</v>
      </c>
      <c r="H41" s="10" t="s">
        <v>25</v>
      </c>
      <c r="I41" s="10" t="s">
        <v>27</v>
      </c>
      <c r="J41" s="10" t="s">
        <v>25</v>
      </c>
      <c r="K41" s="11" t="s">
        <v>101</v>
      </c>
      <c r="L41" s="5" t="s">
        <v>29</v>
      </c>
      <c r="M41" s="12" t="s">
        <v>102</v>
      </c>
      <c r="N41" s="11"/>
      <c r="O41" s="11"/>
      <c r="P41" s="11"/>
      <c r="Q41" s="11"/>
    </row>
    <row r="42" ht="15.75" hidden="1" customHeight="1">
      <c r="A42" s="8">
        <v>45573.0</v>
      </c>
      <c r="B42" s="9">
        <v>20.0</v>
      </c>
      <c r="C42" s="9">
        <v>15.92</v>
      </c>
      <c r="D42" s="10" t="s">
        <v>26</v>
      </c>
      <c r="E42" s="10" t="s">
        <v>25</v>
      </c>
      <c r="F42" s="10" t="s">
        <v>26</v>
      </c>
      <c r="G42" s="10" t="s">
        <v>26</v>
      </c>
      <c r="H42" s="10" t="s">
        <v>25</v>
      </c>
      <c r="I42" s="10" t="s">
        <v>27</v>
      </c>
      <c r="J42" s="10" t="s">
        <v>25</v>
      </c>
      <c r="K42" s="11" t="s">
        <v>103</v>
      </c>
      <c r="L42" s="5" t="s">
        <v>29</v>
      </c>
      <c r="M42" s="12" t="s">
        <v>104</v>
      </c>
      <c r="N42" s="12"/>
      <c r="O42" s="16"/>
      <c r="P42" s="11"/>
      <c r="Q42" s="11"/>
    </row>
    <row r="43" ht="15.75" hidden="1" customHeight="1">
      <c r="A43" s="8">
        <v>45574.0</v>
      </c>
      <c r="B43" s="9">
        <v>24.0</v>
      </c>
      <c r="C43" s="9">
        <v>25.62</v>
      </c>
      <c r="D43" s="10" t="s">
        <v>26</v>
      </c>
      <c r="E43" s="10" t="s">
        <v>25</v>
      </c>
      <c r="F43" s="10" t="s">
        <v>26</v>
      </c>
      <c r="G43" s="10" t="s">
        <v>26</v>
      </c>
      <c r="H43" s="10" t="s">
        <v>25</v>
      </c>
      <c r="I43" s="10" t="s">
        <v>27</v>
      </c>
      <c r="J43" s="10" t="s">
        <v>25</v>
      </c>
      <c r="K43" s="11" t="s">
        <v>105</v>
      </c>
      <c r="L43" s="5" t="s">
        <v>29</v>
      </c>
      <c r="M43" s="11" t="s">
        <v>106</v>
      </c>
      <c r="O43" s="11"/>
      <c r="P43" s="11"/>
      <c r="Q43" s="11"/>
    </row>
    <row r="44" ht="15.75" hidden="1" customHeight="1">
      <c r="A44" s="8">
        <v>45575.0</v>
      </c>
      <c r="B44" s="9">
        <v>28.0</v>
      </c>
      <c r="C44" s="9">
        <v>32.99</v>
      </c>
      <c r="D44" s="10" t="s">
        <v>26</v>
      </c>
      <c r="E44" s="10" t="s">
        <v>25</v>
      </c>
      <c r="F44" s="10" t="s">
        <v>26</v>
      </c>
      <c r="G44" s="10" t="s">
        <v>26</v>
      </c>
      <c r="H44" s="10" t="s">
        <v>25</v>
      </c>
      <c r="I44" s="10" t="s">
        <v>27</v>
      </c>
      <c r="J44" s="10" t="s">
        <v>25</v>
      </c>
      <c r="K44" s="11" t="s">
        <v>107</v>
      </c>
      <c r="L44" s="5" t="s">
        <v>29</v>
      </c>
      <c r="M44" s="11" t="s">
        <v>108</v>
      </c>
      <c r="O44" s="11"/>
      <c r="P44" s="11"/>
      <c r="Q44" s="11"/>
    </row>
    <row r="45" ht="15.75" hidden="1" customHeight="1">
      <c r="A45" s="8">
        <v>45579.0</v>
      </c>
      <c r="B45" s="9">
        <v>32.0</v>
      </c>
      <c r="C45" s="9">
        <v>34.91</v>
      </c>
      <c r="D45" s="10" t="s">
        <v>26</v>
      </c>
      <c r="E45" s="10" t="s">
        <v>25</v>
      </c>
      <c r="F45" s="10" t="s">
        <v>26</v>
      </c>
      <c r="G45" s="10" t="s">
        <v>26</v>
      </c>
      <c r="H45" s="10" t="s">
        <v>25</v>
      </c>
      <c r="I45" s="10" t="s">
        <v>27</v>
      </c>
      <c r="J45" s="10" t="s">
        <v>25</v>
      </c>
      <c r="K45" s="11" t="s">
        <v>103</v>
      </c>
      <c r="L45" s="5" t="s">
        <v>29</v>
      </c>
      <c r="M45" s="11" t="s">
        <v>109</v>
      </c>
      <c r="O45" s="11"/>
      <c r="P45" s="11"/>
      <c r="Q45" s="11"/>
    </row>
    <row r="46" ht="15.75" hidden="1" customHeight="1">
      <c r="A46" s="8">
        <v>45580.0</v>
      </c>
      <c r="B46" s="9">
        <v>36.0</v>
      </c>
      <c r="C46" s="9">
        <v>35.48</v>
      </c>
      <c r="D46" s="10" t="s">
        <v>26</v>
      </c>
      <c r="E46" s="10" t="s">
        <v>25</v>
      </c>
      <c r="F46" s="10" t="s">
        <v>26</v>
      </c>
      <c r="G46" s="10" t="s">
        <v>26</v>
      </c>
      <c r="H46" s="10" t="s">
        <v>25</v>
      </c>
      <c r="I46" s="10" t="s">
        <v>27</v>
      </c>
      <c r="J46" s="10" t="s">
        <v>25</v>
      </c>
      <c r="K46" s="11" t="s">
        <v>110</v>
      </c>
      <c r="L46" s="5" t="s">
        <v>29</v>
      </c>
      <c r="M46" s="12" t="s">
        <v>111</v>
      </c>
      <c r="N46" s="11"/>
      <c r="O46" s="11" t="s">
        <v>112</v>
      </c>
      <c r="P46" s="11"/>
      <c r="Q46" s="11"/>
    </row>
    <row r="47" ht="15.75" hidden="1" customHeight="1">
      <c r="A47" s="8">
        <v>45582.0</v>
      </c>
      <c r="B47" s="9">
        <v>40.0</v>
      </c>
      <c r="C47" s="9">
        <v>39.89</v>
      </c>
      <c r="D47" s="10" t="s">
        <v>26</v>
      </c>
      <c r="E47" s="10" t="s">
        <v>26</v>
      </c>
      <c r="F47" s="10" t="s">
        <v>26</v>
      </c>
      <c r="G47" s="10" t="s">
        <v>26</v>
      </c>
      <c r="H47" s="10" t="s">
        <v>25</v>
      </c>
      <c r="I47" s="10" t="s">
        <v>27</v>
      </c>
      <c r="J47" s="10" t="s">
        <v>25</v>
      </c>
      <c r="K47" s="11" t="s">
        <v>110</v>
      </c>
      <c r="L47" s="5" t="s">
        <v>29</v>
      </c>
      <c r="M47" s="12" t="s">
        <v>113</v>
      </c>
      <c r="N47" s="11"/>
      <c r="O47" s="11" t="s">
        <v>114</v>
      </c>
      <c r="P47" s="19"/>
      <c r="Q47" s="11"/>
    </row>
    <row r="48" ht="15.75" hidden="1" customHeight="1">
      <c r="A48" s="8">
        <v>45583.0</v>
      </c>
      <c r="B48" s="9">
        <v>44.0</v>
      </c>
      <c r="C48" s="9">
        <v>44.67</v>
      </c>
      <c r="D48" s="10" t="s">
        <v>26</v>
      </c>
      <c r="E48" s="10" t="s">
        <v>26</v>
      </c>
      <c r="F48" s="10" t="s">
        <v>26</v>
      </c>
      <c r="G48" s="10" t="s">
        <v>26</v>
      </c>
      <c r="H48" s="10" t="s">
        <v>25</v>
      </c>
      <c r="I48" s="10" t="s">
        <v>27</v>
      </c>
      <c r="J48" s="10" t="s">
        <v>25</v>
      </c>
      <c r="K48" s="11" t="s">
        <v>110</v>
      </c>
      <c r="L48" s="5" t="s">
        <v>29</v>
      </c>
      <c r="M48" s="11" t="s">
        <v>115</v>
      </c>
      <c r="O48" s="11"/>
      <c r="P48" s="11"/>
      <c r="Q48" s="11"/>
    </row>
    <row r="49" ht="15.75" hidden="1" customHeight="1">
      <c r="A49" s="8">
        <v>45584.0</v>
      </c>
      <c r="B49" s="9">
        <v>48.0</v>
      </c>
      <c r="C49" s="9">
        <v>48.29</v>
      </c>
      <c r="D49" s="10" t="s">
        <v>26</v>
      </c>
      <c r="E49" s="10" t="s">
        <v>26</v>
      </c>
      <c r="F49" s="10" t="s">
        <v>26</v>
      </c>
      <c r="G49" s="10" t="s">
        <v>26</v>
      </c>
      <c r="H49" s="10" t="s">
        <v>25</v>
      </c>
      <c r="I49" s="10" t="s">
        <v>27</v>
      </c>
      <c r="J49" s="10" t="s">
        <v>25</v>
      </c>
      <c r="K49" s="11" t="s">
        <v>116</v>
      </c>
      <c r="L49" s="5" t="s">
        <v>29</v>
      </c>
      <c r="M49" s="11" t="s">
        <v>117</v>
      </c>
      <c r="O49" s="11"/>
      <c r="P49" s="11"/>
      <c r="Q49" s="11"/>
    </row>
    <row r="50" ht="15.75" hidden="1" customHeight="1">
      <c r="A50" s="8">
        <v>45586.0</v>
      </c>
      <c r="B50" s="9">
        <f>B49+4</f>
        <v>52</v>
      </c>
      <c r="C50" s="9">
        <v>53.37</v>
      </c>
      <c r="D50" s="10" t="s">
        <v>26</v>
      </c>
      <c r="E50" s="10" t="s">
        <v>26</v>
      </c>
      <c r="F50" s="10" t="s">
        <v>26</v>
      </c>
      <c r="G50" s="10" t="s">
        <v>26</v>
      </c>
      <c r="H50" s="10" t="s">
        <v>25</v>
      </c>
      <c r="I50" s="10" t="s">
        <v>27</v>
      </c>
      <c r="J50" s="10" t="s">
        <v>25</v>
      </c>
      <c r="K50" s="11" t="s">
        <v>118</v>
      </c>
      <c r="L50" s="5" t="s">
        <v>29</v>
      </c>
      <c r="M50" s="11" t="s">
        <v>119</v>
      </c>
      <c r="O50" s="11"/>
      <c r="P50" s="11"/>
      <c r="Q50" s="11"/>
    </row>
    <row r="51" ht="15.75" hidden="1" customHeight="1">
      <c r="A51" s="8">
        <v>45587.0</v>
      </c>
      <c r="B51" s="9">
        <v>56.0</v>
      </c>
      <c r="C51" s="9">
        <v>55.26</v>
      </c>
      <c r="D51" s="10" t="s">
        <v>26</v>
      </c>
      <c r="E51" s="10" t="s">
        <v>26</v>
      </c>
      <c r="F51" s="10" t="s">
        <v>26</v>
      </c>
      <c r="G51" s="10" t="s">
        <v>26</v>
      </c>
      <c r="H51" s="10" t="s">
        <v>25</v>
      </c>
      <c r="I51" s="10" t="s">
        <v>27</v>
      </c>
      <c r="J51" s="10" t="s">
        <v>25</v>
      </c>
      <c r="K51" s="11" t="s">
        <v>120</v>
      </c>
      <c r="L51" s="5" t="s">
        <v>29</v>
      </c>
      <c r="M51" s="11" t="s">
        <v>121</v>
      </c>
      <c r="O51" s="11"/>
      <c r="P51" s="11"/>
      <c r="Q51" s="11"/>
    </row>
    <row r="52" ht="15.75" hidden="1" customHeight="1">
      <c r="A52" s="8">
        <v>45588.0</v>
      </c>
      <c r="B52" s="9">
        <v>60.0</v>
      </c>
      <c r="C52" s="9">
        <f>55.26+6.71</f>
        <v>61.97</v>
      </c>
      <c r="D52" s="10" t="s">
        <v>25</v>
      </c>
      <c r="E52" s="10" t="s">
        <v>26</v>
      </c>
      <c r="F52" s="10" t="s">
        <v>26</v>
      </c>
      <c r="G52" s="10" t="s">
        <v>26</v>
      </c>
      <c r="H52" s="10" t="s">
        <v>25</v>
      </c>
      <c r="I52" s="10" t="s">
        <v>27</v>
      </c>
      <c r="J52" s="10" t="s">
        <v>25</v>
      </c>
      <c r="K52" s="11" t="s">
        <v>122</v>
      </c>
      <c r="L52" s="5" t="s">
        <v>29</v>
      </c>
      <c r="M52" s="11" t="s">
        <v>123</v>
      </c>
      <c r="O52" s="11"/>
      <c r="P52" s="11"/>
      <c r="Q52" s="11"/>
    </row>
    <row r="53" ht="15.75" hidden="1" customHeight="1">
      <c r="A53" s="8">
        <v>45589.0</v>
      </c>
      <c r="B53" s="9">
        <v>64.0</v>
      </c>
      <c r="C53" s="9">
        <v>64.33</v>
      </c>
      <c r="D53" s="10" t="s">
        <v>25</v>
      </c>
      <c r="E53" s="10" t="s">
        <v>26</v>
      </c>
      <c r="F53" s="10" t="s">
        <v>26</v>
      </c>
      <c r="G53" s="10" t="s">
        <v>26</v>
      </c>
      <c r="H53" s="10" t="s">
        <v>25</v>
      </c>
      <c r="I53" s="10" t="s">
        <v>27</v>
      </c>
      <c r="J53" s="10" t="s">
        <v>25</v>
      </c>
      <c r="K53" s="11" t="s">
        <v>124</v>
      </c>
      <c r="L53" s="5" t="s">
        <v>40</v>
      </c>
      <c r="M53" s="11" t="s">
        <v>125</v>
      </c>
      <c r="O53" s="11"/>
      <c r="P53" s="11"/>
      <c r="Q53" s="11"/>
    </row>
    <row r="54" ht="15.75" hidden="1" customHeight="1">
      <c r="A54" s="8">
        <v>45590.0</v>
      </c>
      <c r="B54" s="9">
        <v>68.0</v>
      </c>
      <c r="C54" s="9">
        <f>C53+1.14</f>
        <v>65.47</v>
      </c>
      <c r="D54" s="10" t="s">
        <v>25</v>
      </c>
      <c r="E54" s="10" t="s">
        <v>26</v>
      </c>
      <c r="F54" s="10" t="s">
        <v>26</v>
      </c>
      <c r="G54" s="10" t="s">
        <v>26</v>
      </c>
      <c r="H54" s="10" t="s">
        <v>25</v>
      </c>
      <c r="I54" s="10" t="s">
        <v>27</v>
      </c>
      <c r="J54" s="10" t="s">
        <v>25</v>
      </c>
      <c r="K54" s="11" t="s">
        <v>124</v>
      </c>
      <c r="L54" s="5" t="s">
        <v>126</v>
      </c>
      <c r="M54" s="11" t="s">
        <v>127</v>
      </c>
      <c r="O54" s="11"/>
      <c r="P54" s="11"/>
      <c r="Q54" s="11"/>
    </row>
    <row r="55" ht="15.75" hidden="1" customHeight="1">
      <c r="A55" s="8">
        <v>45593.0</v>
      </c>
      <c r="B55" s="9">
        <v>72.0</v>
      </c>
      <c r="C55" s="9">
        <f>C54+2.39</f>
        <v>67.86</v>
      </c>
      <c r="D55" s="10" t="s">
        <v>25</v>
      </c>
      <c r="E55" s="10" t="s">
        <v>26</v>
      </c>
      <c r="F55" s="10" t="s">
        <v>26</v>
      </c>
      <c r="G55" s="10" t="s">
        <v>26</v>
      </c>
      <c r="H55" s="10" t="s">
        <v>25</v>
      </c>
      <c r="I55" s="10" t="s">
        <v>27</v>
      </c>
      <c r="J55" s="10" t="s">
        <v>25</v>
      </c>
      <c r="K55" s="11" t="s">
        <v>128</v>
      </c>
      <c r="L55" s="5" t="s">
        <v>126</v>
      </c>
      <c r="M55" s="12" t="s">
        <v>129</v>
      </c>
      <c r="O55" s="11"/>
      <c r="P55" s="11"/>
      <c r="Q55" s="11"/>
    </row>
    <row r="56" ht="15.75" hidden="1" customHeight="1">
      <c r="A56" s="8">
        <v>45594.0</v>
      </c>
      <c r="B56" s="9">
        <v>76.0</v>
      </c>
      <c r="C56" s="9">
        <v>69.73</v>
      </c>
      <c r="D56" s="10" t="s">
        <v>25</v>
      </c>
      <c r="E56" s="10" t="s">
        <v>26</v>
      </c>
      <c r="F56" s="10" t="s">
        <v>26</v>
      </c>
      <c r="G56" s="10" t="s">
        <v>26</v>
      </c>
      <c r="H56" s="10" t="s">
        <v>25</v>
      </c>
      <c r="I56" s="10" t="s">
        <v>27</v>
      </c>
      <c r="J56" s="10" t="s">
        <v>25</v>
      </c>
      <c r="K56" s="11" t="s">
        <v>130</v>
      </c>
      <c r="L56" s="5" t="s">
        <v>29</v>
      </c>
      <c r="M56" s="13" t="s">
        <v>131</v>
      </c>
      <c r="O56" s="11"/>
      <c r="P56" s="11"/>
      <c r="Q56" s="11"/>
    </row>
    <row r="57" ht="15.75" hidden="1" customHeight="1">
      <c r="A57" s="8">
        <v>45595.0</v>
      </c>
      <c r="B57" s="9">
        <v>80.0</v>
      </c>
      <c r="C57" s="9">
        <f>C56+2.21</f>
        <v>71.94</v>
      </c>
      <c r="D57" s="10" t="s">
        <v>25</v>
      </c>
      <c r="E57" s="10" t="s">
        <v>26</v>
      </c>
      <c r="F57" s="10" t="s">
        <v>26</v>
      </c>
      <c r="G57" s="10" t="s">
        <v>26</v>
      </c>
      <c r="H57" s="10" t="s">
        <v>25</v>
      </c>
      <c r="I57" s="10" t="s">
        <v>27</v>
      </c>
      <c r="J57" s="10" t="s">
        <v>25</v>
      </c>
      <c r="K57" s="11" t="s">
        <v>132</v>
      </c>
      <c r="L57" s="5" t="s">
        <v>40</v>
      </c>
      <c r="M57" s="13" t="s">
        <v>133</v>
      </c>
      <c r="O57" s="11"/>
      <c r="P57" s="11"/>
      <c r="Q57" s="11"/>
    </row>
    <row r="58" ht="15.75" hidden="1" customHeight="1">
      <c r="A58" s="8">
        <v>45597.0</v>
      </c>
      <c r="B58" s="9">
        <v>4.0</v>
      </c>
      <c r="C58" s="9">
        <v>3.47</v>
      </c>
      <c r="D58" s="10" t="s">
        <v>25</v>
      </c>
      <c r="E58" s="10" t="s">
        <v>26</v>
      </c>
      <c r="F58" s="10" t="s">
        <v>26</v>
      </c>
      <c r="G58" s="10" t="s">
        <v>26</v>
      </c>
      <c r="H58" s="10" t="s">
        <v>25</v>
      </c>
      <c r="I58" s="10" t="s">
        <v>27</v>
      </c>
      <c r="J58" s="10" t="s">
        <v>25</v>
      </c>
      <c r="K58" s="11" t="s">
        <v>134</v>
      </c>
      <c r="L58" s="5" t="s">
        <v>29</v>
      </c>
      <c r="M58" s="12" t="s">
        <v>135</v>
      </c>
      <c r="N58" s="11"/>
      <c r="O58" s="11"/>
      <c r="P58" s="11"/>
      <c r="Q58" s="11"/>
    </row>
    <row r="59" ht="15.75" hidden="1" customHeight="1">
      <c r="A59" s="8">
        <v>45600.0</v>
      </c>
      <c r="B59" s="9">
        <v>8.0</v>
      </c>
      <c r="C59" s="9">
        <v>5.83</v>
      </c>
      <c r="D59" s="10" t="s">
        <v>25</v>
      </c>
      <c r="E59" s="10" t="s">
        <v>26</v>
      </c>
      <c r="F59" s="10" t="s">
        <v>26</v>
      </c>
      <c r="G59" s="10" t="s">
        <v>26</v>
      </c>
      <c r="H59" s="10" t="s">
        <v>25</v>
      </c>
      <c r="I59" s="10" t="s">
        <v>27</v>
      </c>
      <c r="J59" s="10" t="s">
        <v>25</v>
      </c>
      <c r="K59" s="11" t="s">
        <v>136</v>
      </c>
      <c r="L59" s="5" t="s">
        <v>29</v>
      </c>
      <c r="M59" s="12" t="s">
        <v>137</v>
      </c>
      <c r="N59" s="12"/>
      <c r="O59" s="16"/>
      <c r="P59" s="11"/>
      <c r="Q59" s="11"/>
    </row>
    <row r="60" ht="15.75" hidden="1" customHeight="1">
      <c r="A60" s="8">
        <v>45601.0</v>
      </c>
      <c r="B60" s="9">
        <v>12.0</v>
      </c>
      <c r="C60" s="9">
        <f>C59+3.26</f>
        <v>9.09</v>
      </c>
      <c r="D60" s="10" t="s">
        <v>25</v>
      </c>
      <c r="E60" s="10" t="s">
        <v>26</v>
      </c>
      <c r="F60" s="10" t="s">
        <v>26</v>
      </c>
      <c r="G60" s="10" t="s">
        <v>26</v>
      </c>
      <c r="H60" s="10" t="s">
        <v>25</v>
      </c>
      <c r="I60" s="10" t="s">
        <v>27</v>
      </c>
      <c r="J60" s="10" t="s">
        <v>25</v>
      </c>
      <c r="K60" s="11" t="s">
        <v>138</v>
      </c>
      <c r="L60" s="5" t="s">
        <v>29</v>
      </c>
      <c r="M60" s="12" t="s">
        <v>139</v>
      </c>
      <c r="O60" s="11"/>
      <c r="P60" s="11"/>
      <c r="Q60" s="11"/>
    </row>
    <row r="61" ht="15.75" hidden="1" customHeight="1">
      <c r="A61" s="8">
        <v>45602.0</v>
      </c>
      <c r="B61" s="9">
        <f>B60+4</f>
        <v>16</v>
      </c>
      <c r="C61" s="9">
        <v>12.62</v>
      </c>
      <c r="D61" s="10" t="s">
        <v>25</v>
      </c>
      <c r="E61" s="10" t="s">
        <v>26</v>
      </c>
      <c r="F61" s="10" t="s">
        <v>26</v>
      </c>
      <c r="G61" s="10" t="s">
        <v>26</v>
      </c>
      <c r="H61" s="10" t="s">
        <v>25</v>
      </c>
      <c r="I61" s="10" t="s">
        <v>27</v>
      </c>
      <c r="J61" s="10" t="s">
        <v>25</v>
      </c>
      <c r="K61" s="11" t="s">
        <v>140</v>
      </c>
      <c r="L61" s="5" t="s">
        <v>29</v>
      </c>
      <c r="M61" s="11" t="s">
        <v>141</v>
      </c>
      <c r="O61" s="11"/>
      <c r="P61" s="11"/>
      <c r="Q61" s="11"/>
    </row>
    <row r="62" ht="15.75" hidden="1" customHeight="1">
      <c r="A62" s="8">
        <v>45603.0</v>
      </c>
      <c r="B62" s="9">
        <v>20.0</v>
      </c>
      <c r="C62" s="9">
        <f>C61+1.88</f>
        <v>14.5</v>
      </c>
      <c r="D62" s="10" t="s">
        <v>25</v>
      </c>
      <c r="E62" s="10" t="s">
        <v>26</v>
      </c>
      <c r="F62" s="10" t="s">
        <v>26</v>
      </c>
      <c r="G62" s="10" t="s">
        <v>26</v>
      </c>
      <c r="H62" s="10" t="s">
        <v>25</v>
      </c>
      <c r="I62" s="10" t="s">
        <v>27</v>
      </c>
      <c r="J62" s="10" t="s">
        <v>25</v>
      </c>
      <c r="K62" s="11" t="s">
        <v>142</v>
      </c>
      <c r="L62" s="5" t="s">
        <v>29</v>
      </c>
      <c r="M62" s="12" t="s">
        <v>143</v>
      </c>
      <c r="O62" s="11"/>
      <c r="P62" s="11"/>
      <c r="Q62" s="11"/>
    </row>
    <row r="63" ht="15.75" hidden="1" customHeight="1">
      <c r="A63" s="8">
        <v>45604.0</v>
      </c>
      <c r="B63" s="9">
        <v>24.0</v>
      </c>
      <c r="C63" s="9">
        <v>14.5</v>
      </c>
      <c r="D63" s="10" t="s">
        <v>25</v>
      </c>
      <c r="E63" s="10" t="s">
        <v>26</v>
      </c>
      <c r="F63" s="10" t="s">
        <v>26</v>
      </c>
      <c r="G63" s="10" t="s">
        <v>26</v>
      </c>
      <c r="H63" s="10" t="s">
        <v>25</v>
      </c>
      <c r="I63" s="10" t="s">
        <v>27</v>
      </c>
      <c r="J63" s="10" t="s">
        <v>25</v>
      </c>
      <c r="K63" s="11" t="s">
        <v>142</v>
      </c>
      <c r="L63" s="5" t="s">
        <v>144</v>
      </c>
      <c r="M63" s="11" t="s">
        <v>144</v>
      </c>
      <c r="N63" s="18"/>
      <c r="O63" s="18" t="s">
        <v>145</v>
      </c>
      <c r="P63" s="11"/>
      <c r="Q63" s="11"/>
    </row>
    <row r="64" ht="15.75" hidden="1" customHeight="1">
      <c r="A64" s="8">
        <v>45609.0</v>
      </c>
      <c r="B64" s="9">
        <f t="shared" ref="B64:B76" si="6">B63+4</f>
        <v>28</v>
      </c>
      <c r="C64" s="9">
        <v>19.45</v>
      </c>
      <c r="D64" s="10" t="s">
        <v>25</v>
      </c>
      <c r="E64" s="10" t="s">
        <v>26</v>
      </c>
      <c r="F64" s="10" t="s">
        <v>26</v>
      </c>
      <c r="G64" s="10" t="s">
        <v>26</v>
      </c>
      <c r="H64" s="10" t="s">
        <v>25</v>
      </c>
      <c r="I64" s="10" t="s">
        <v>27</v>
      </c>
      <c r="J64" s="10" t="s">
        <v>25</v>
      </c>
      <c r="K64" s="11" t="s">
        <v>146</v>
      </c>
      <c r="L64" s="5" t="s">
        <v>40</v>
      </c>
      <c r="M64" s="12" t="s">
        <v>147</v>
      </c>
      <c r="N64" s="20"/>
      <c r="O64" s="20" t="s">
        <v>148</v>
      </c>
      <c r="P64" s="11"/>
      <c r="Q64" s="11"/>
    </row>
    <row r="65" ht="15.75" hidden="1" customHeight="1">
      <c r="A65" s="8">
        <v>45610.0</v>
      </c>
      <c r="B65" s="9">
        <f t="shared" si="6"/>
        <v>32</v>
      </c>
      <c r="C65" s="9">
        <v>20.14</v>
      </c>
      <c r="D65" s="10" t="s">
        <v>25</v>
      </c>
      <c r="E65" s="10" t="s">
        <v>26</v>
      </c>
      <c r="F65" s="10" t="s">
        <v>26</v>
      </c>
      <c r="G65" s="10" t="s">
        <v>26</v>
      </c>
      <c r="H65" s="10" t="s">
        <v>25</v>
      </c>
      <c r="I65" s="10" t="s">
        <v>27</v>
      </c>
      <c r="J65" s="10" t="s">
        <v>25</v>
      </c>
      <c r="K65" s="11" t="s">
        <v>149</v>
      </c>
      <c r="L65" s="5" t="s">
        <v>40</v>
      </c>
      <c r="M65" s="11" t="s">
        <v>150</v>
      </c>
      <c r="N65" s="11"/>
      <c r="O65" s="11"/>
      <c r="P65" s="11"/>
      <c r="Q65" s="11"/>
    </row>
    <row r="66" ht="15.75" hidden="1" customHeight="1">
      <c r="A66" s="8">
        <v>45611.0</v>
      </c>
      <c r="B66" s="9">
        <f t="shared" si="6"/>
        <v>36</v>
      </c>
      <c r="C66" s="9">
        <f>C65+1.46</f>
        <v>21.6</v>
      </c>
      <c r="D66" s="10" t="s">
        <v>25</v>
      </c>
      <c r="E66" s="10" t="s">
        <v>26</v>
      </c>
      <c r="F66" s="10" t="s">
        <v>26</v>
      </c>
      <c r="G66" s="10" t="s">
        <v>26</v>
      </c>
      <c r="H66" s="10" t="s">
        <v>25</v>
      </c>
      <c r="I66" s="10" t="s">
        <v>27</v>
      </c>
      <c r="J66" s="10" t="s">
        <v>25</v>
      </c>
      <c r="K66" s="11" t="s">
        <v>151</v>
      </c>
      <c r="L66" s="5" t="s">
        <v>40</v>
      </c>
      <c r="M66" s="11" t="s">
        <v>152</v>
      </c>
      <c r="N66" s="11"/>
      <c r="O66" s="11"/>
      <c r="P66" s="11"/>
      <c r="Q66" s="11"/>
    </row>
    <row r="67" ht="15.75" hidden="1" customHeight="1">
      <c r="A67" s="8">
        <v>45614.0</v>
      </c>
      <c r="B67" s="9">
        <f t="shared" si="6"/>
        <v>40</v>
      </c>
      <c r="C67" s="9">
        <v>23.79</v>
      </c>
      <c r="D67" s="10" t="s">
        <v>25</v>
      </c>
      <c r="E67" s="10" t="s">
        <v>26</v>
      </c>
      <c r="F67" s="10" t="s">
        <v>26</v>
      </c>
      <c r="G67" s="10" t="s">
        <v>26</v>
      </c>
      <c r="H67" s="10" t="s">
        <v>25</v>
      </c>
      <c r="I67" s="10" t="s">
        <v>27</v>
      </c>
      <c r="J67" s="10" t="s">
        <v>25</v>
      </c>
      <c r="K67" s="11" t="s">
        <v>153</v>
      </c>
      <c r="L67" s="5" t="s">
        <v>29</v>
      </c>
      <c r="M67" s="11" t="s">
        <v>154</v>
      </c>
      <c r="N67" s="11"/>
      <c r="O67" s="11"/>
      <c r="P67" s="11"/>
      <c r="Q67" s="11"/>
    </row>
    <row r="68" ht="15.75" hidden="1" customHeight="1">
      <c r="A68" s="8">
        <v>45615.0</v>
      </c>
      <c r="B68" s="9">
        <f t="shared" si="6"/>
        <v>44</v>
      </c>
      <c r="C68" s="9">
        <f>C67+1.74</f>
        <v>25.53</v>
      </c>
      <c r="D68" s="10" t="s">
        <v>25</v>
      </c>
      <c r="E68" s="10" t="s">
        <v>26</v>
      </c>
      <c r="F68" s="10" t="s">
        <v>26</v>
      </c>
      <c r="G68" s="10" t="s">
        <v>26</v>
      </c>
      <c r="H68" s="10" t="s">
        <v>155</v>
      </c>
      <c r="I68" s="10" t="s">
        <v>27</v>
      </c>
      <c r="J68" s="10" t="s">
        <v>25</v>
      </c>
      <c r="K68" s="11" t="s">
        <v>156</v>
      </c>
      <c r="L68" s="5" t="s">
        <v>29</v>
      </c>
      <c r="M68" s="11" t="s">
        <v>157</v>
      </c>
      <c r="N68" s="11"/>
      <c r="O68" s="11"/>
      <c r="P68" s="11"/>
      <c r="Q68" s="11"/>
    </row>
    <row r="69" ht="15.75" hidden="1" customHeight="1">
      <c r="A69" s="8">
        <v>45616.0</v>
      </c>
      <c r="B69" s="9">
        <f t="shared" si="6"/>
        <v>48</v>
      </c>
      <c r="C69" s="9">
        <f>C68+1.06</f>
        <v>26.59</v>
      </c>
      <c r="D69" s="10" t="s">
        <v>25</v>
      </c>
      <c r="E69" s="10" t="s">
        <v>26</v>
      </c>
      <c r="F69" s="10" t="s">
        <v>26</v>
      </c>
      <c r="G69" s="10" t="s">
        <v>26</v>
      </c>
      <c r="H69" s="10" t="s">
        <v>25</v>
      </c>
      <c r="I69" s="10" t="s">
        <v>27</v>
      </c>
      <c r="J69" s="10" t="s">
        <v>25</v>
      </c>
      <c r="K69" s="11" t="s">
        <v>158</v>
      </c>
      <c r="L69" s="5" t="s">
        <v>40</v>
      </c>
      <c r="M69" s="11" t="s">
        <v>159</v>
      </c>
      <c r="N69" s="11"/>
      <c r="O69" s="11"/>
      <c r="P69" s="11"/>
      <c r="Q69" s="11"/>
    </row>
    <row r="70" ht="15.75" hidden="1" customHeight="1">
      <c r="A70" s="8">
        <v>45617.0</v>
      </c>
      <c r="B70" s="9">
        <f t="shared" si="6"/>
        <v>52</v>
      </c>
      <c r="C70" s="9">
        <v>32.49</v>
      </c>
      <c r="D70" s="10" t="s">
        <v>26</v>
      </c>
      <c r="E70" s="10" t="s">
        <v>26</v>
      </c>
      <c r="F70" s="10" t="s">
        <v>26</v>
      </c>
      <c r="G70" s="10" t="s">
        <v>26</v>
      </c>
      <c r="H70" s="10" t="s">
        <v>25</v>
      </c>
      <c r="I70" s="10" t="s">
        <v>27</v>
      </c>
      <c r="J70" s="10" t="s">
        <v>25</v>
      </c>
      <c r="K70" s="11" t="s">
        <v>160</v>
      </c>
      <c r="L70" s="5" t="s">
        <v>40</v>
      </c>
      <c r="M70" s="11" t="s">
        <v>161</v>
      </c>
      <c r="N70" s="11"/>
      <c r="O70" s="11"/>
      <c r="P70" s="11"/>
      <c r="Q70" s="11"/>
    </row>
    <row r="71" ht="15.75" hidden="1" customHeight="1">
      <c r="A71" s="8">
        <v>45618.0</v>
      </c>
      <c r="B71" s="9">
        <f t="shared" si="6"/>
        <v>56</v>
      </c>
      <c r="C71" s="9">
        <v>36.85</v>
      </c>
      <c r="D71" s="10" t="s">
        <v>25</v>
      </c>
      <c r="E71" s="10" t="s">
        <v>26</v>
      </c>
      <c r="F71" s="10" t="s">
        <v>26</v>
      </c>
      <c r="G71" s="10" t="s">
        <v>26</v>
      </c>
      <c r="H71" s="10" t="s">
        <v>25</v>
      </c>
      <c r="I71" s="10" t="s">
        <v>27</v>
      </c>
      <c r="J71" s="10" t="s">
        <v>25</v>
      </c>
      <c r="K71" s="11" t="s">
        <v>162</v>
      </c>
      <c r="L71" s="5" t="s">
        <v>40</v>
      </c>
      <c r="M71" s="11" t="s">
        <v>163</v>
      </c>
      <c r="N71" s="11"/>
      <c r="O71" s="11" t="s">
        <v>164</v>
      </c>
      <c r="P71" s="11"/>
      <c r="Q71" s="11"/>
    </row>
    <row r="72" ht="15.75" hidden="1" customHeight="1">
      <c r="A72" s="8">
        <v>45621.0</v>
      </c>
      <c r="B72" s="9">
        <f t="shared" si="6"/>
        <v>60</v>
      </c>
      <c r="C72" s="9">
        <f>C71+3.18</f>
        <v>40.03</v>
      </c>
      <c r="D72" s="10" t="s">
        <v>26</v>
      </c>
      <c r="E72" s="10" t="s">
        <v>26</v>
      </c>
      <c r="F72" s="10" t="s">
        <v>26</v>
      </c>
      <c r="G72" s="10" t="s">
        <v>26</v>
      </c>
      <c r="H72" s="10" t="s">
        <v>25</v>
      </c>
      <c r="I72" s="10" t="s">
        <v>27</v>
      </c>
      <c r="J72" s="10" t="s">
        <v>25</v>
      </c>
      <c r="K72" s="11" t="s">
        <v>165</v>
      </c>
      <c r="L72" s="5" t="s">
        <v>29</v>
      </c>
      <c r="M72" s="11" t="s">
        <v>166</v>
      </c>
      <c r="N72" s="11"/>
      <c r="O72" s="11" t="s">
        <v>164</v>
      </c>
      <c r="P72" s="11"/>
      <c r="Q72" s="11"/>
    </row>
    <row r="73" ht="15.75" hidden="1" customHeight="1">
      <c r="A73" s="8">
        <v>45622.0</v>
      </c>
      <c r="B73" s="9">
        <f t="shared" si="6"/>
        <v>64</v>
      </c>
      <c r="C73" s="9">
        <f>C72+2.01</f>
        <v>42.04</v>
      </c>
      <c r="D73" s="10" t="s">
        <v>26</v>
      </c>
      <c r="E73" s="10" t="s">
        <v>26</v>
      </c>
      <c r="F73" s="10" t="s">
        <v>26</v>
      </c>
      <c r="G73" s="10" t="s">
        <v>26</v>
      </c>
      <c r="H73" s="10" t="s">
        <v>155</v>
      </c>
      <c r="I73" s="10" t="s">
        <v>27</v>
      </c>
      <c r="J73" s="10" t="s">
        <v>25</v>
      </c>
      <c r="K73" s="11" t="s">
        <v>167</v>
      </c>
      <c r="L73" s="5" t="s">
        <v>29</v>
      </c>
      <c r="M73" s="11" t="s">
        <v>168</v>
      </c>
      <c r="N73" s="11"/>
      <c r="O73" s="11" t="s">
        <v>169</v>
      </c>
      <c r="P73" s="11"/>
      <c r="Q73" s="11"/>
    </row>
    <row r="74" ht="15.75" hidden="1" customHeight="1">
      <c r="A74" s="8">
        <v>45623.0</v>
      </c>
      <c r="B74" s="9">
        <f t="shared" si="6"/>
        <v>68</v>
      </c>
      <c r="C74" s="9">
        <f>C73+0.71</f>
        <v>42.75</v>
      </c>
      <c r="D74" s="10" t="s">
        <v>25</v>
      </c>
      <c r="E74" s="10" t="s">
        <v>26</v>
      </c>
      <c r="F74" s="10" t="s">
        <v>26</v>
      </c>
      <c r="G74" s="10" t="s">
        <v>26</v>
      </c>
      <c r="H74" s="10" t="s">
        <v>25</v>
      </c>
      <c r="I74" s="10" t="s">
        <v>27</v>
      </c>
      <c r="J74" s="10" t="s">
        <v>25</v>
      </c>
      <c r="K74" s="11" t="s">
        <v>170</v>
      </c>
      <c r="L74" s="5" t="s">
        <v>29</v>
      </c>
      <c r="M74" s="11" t="s">
        <v>171</v>
      </c>
      <c r="N74" s="11"/>
      <c r="O74" s="11" t="s">
        <v>164</v>
      </c>
      <c r="P74" s="11"/>
      <c r="Q74" s="11"/>
    </row>
    <row r="75" ht="15.75" hidden="1" customHeight="1">
      <c r="A75" s="8">
        <v>45624.0</v>
      </c>
      <c r="B75" s="9">
        <f t="shared" si="6"/>
        <v>72</v>
      </c>
      <c r="C75" s="9">
        <v>43.46</v>
      </c>
      <c r="D75" s="10" t="s">
        <v>25</v>
      </c>
      <c r="E75" s="10" t="s">
        <v>26</v>
      </c>
      <c r="F75" s="10" t="s">
        <v>26</v>
      </c>
      <c r="G75" s="10" t="s">
        <v>26</v>
      </c>
      <c r="H75" s="10" t="s">
        <v>25</v>
      </c>
      <c r="I75" s="10" t="s">
        <v>27</v>
      </c>
      <c r="J75" s="10" t="s">
        <v>25</v>
      </c>
      <c r="K75" s="11" t="s">
        <v>172</v>
      </c>
      <c r="L75" s="5" t="s">
        <v>29</v>
      </c>
      <c r="M75" s="11" t="s">
        <v>171</v>
      </c>
      <c r="N75" s="11"/>
      <c r="O75" s="11" t="s">
        <v>164</v>
      </c>
      <c r="P75" s="11"/>
      <c r="Q75" s="11"/>
    </row>
    <row r="76" ht="15.75" hidden="1" customHeight="1">
      <c r="A76" s="8">
        <v>45625.0</v>
      </c>
      <c r="B76" s="9">
        <f t="shared" si="6"/>
        <v>76</v>
      </c>
      <c r="C76" s="9">
        <f>C75+0.88</f>
        <v>44.34</v>
      </c>
      <c r="D76" s="10" t="s">
        <v>25</v>
      </c>
      <c r="E76" s="10" t="s">
        <v>26</v>
      </c>
      <c r="F76" s="10" t="s">
        <v>26</v>
      </c>
      <c r="G76" s="10" t="s">
        <v>26</v>
      </c>
      <c r="H76" s="10" t="s">
        <v>25</v>
      </c>
      <c r="I76" s="10" t="s">
        <v>27</v>
      </c>
      <c r="J76" s="10" t="s">
        <v>25</v>
      </c>
      <c r="K76" s="11" t="s">
        <v>173</v>
      </c>
      <c r="L76" s="5" t="s">
        <v>126</v>
      </c>
      <c r="M76" s="11" t="s">
        <v>174</v>
      </c>
      <c r="N76" s="11"/>
      <c r="O76" s="11"/>
      <c r="P76" s="11"/>
      <c r="Q76" s="11"/>
    </row>
    <row r="77" ht="15.75" hidden="1" customHeight="1">
      <c r="A77" s="8">
        <v>45628.0</v>
      </c>
      <c r="B77" s="9">
        <v>4.0</v>
      </c>
      <c r="C77" s="9">
        <v>4.18</v>
      </c>
      <c r="D77" s="10" t="s">
        <v>25</v>
      </c>
      <c r="E77" s="10" t="s">
        <v>26</v>
      </c>
      <c r="F77" s="10" t="s">
        <v>26</v>
      </c>
      <c r="G77" s="10" t="s">
        <v>26</v>
      </c>
      <c r="H77" s="10" t="s">
        <v>25</v>
      </c>
      <c r="I77" s="10" t="s">
        <v>27</v>
      </c>
      <c r="J77" s="10" t="s">
        <v>25</v>
      </c>
      <c r="K77" s="11" t="s">
        <v>175</v>
      </c>
      <c r="L77" s="5" t="s">
        <v>126</v>
      </c>
      <c r="M77" s="11" t="s">
        <v>176</v>
      </c>
      <c r="N77" s="11"/>
      <c r="O77" s="11"/>
      <c r="P77" s="21"/>
      <c r="Q77" s="11"/>
    </row>
    <row r="78" ht="15.75" hidden="1" customHeight="1">
      <c r="A78" s="8">
        <v>45629.0</v>
      </c>
      <c r="B78" s="9">
        <f t="shared" ref="B78:B97" si="7">B77+4</f>
        <v>8</v>
      </c>
      <c r="C78" s="9">
        <f>C77+1.81</f>
        <v>5.99</v>
      </c>
      <c r="D78" s="10" t="s">
        <v>25</v>
      </c>
      <c r="E78" s="10" t="s">
        <v>26</v>
      </c>
      <c r="F78" s="10" t="s">
        <v>26</v>
      </c>
      <c r="G78" s="10" t="s">
        <v>26</v>
      </c>
      <c r="H78" s="10" t="s">
        <v>155</v>
      </c>
      <c r="I78" s="10" t="s">
        <v>27</v>
      </c>
      <c r="J78" s="10" t="s">
        <v>25</v>
      </c>
      <c r="K78" s="11" t="s">
        <v>177</v>
      </c>
      <c r="L78" s="5" t="s">
        <v>126</v>
      </c>
      <c r="M78" s="11" t="s">
        <v>178</v>
      </c>
      <c r="N78" s="11"/>
      <c r="O78" s="11" t="s">
        <v>179</v>
      </c>
      <c r="P78" s="19" t="s">
        <v>180</v>
      </c>
      <c r="Q78" s="11"/>
    </row>
    <row r="79" ht="15.75" hidden="1" customHeight="1">
      <c r="A79" s="8">
        <v>45630.0</v>
      </c>
      <c r="B79" s="9">
        <f t="shared" si="7"/>
        <v>12</v>
      </c>
      <c r="C79" s="9">
        <f>C78+1.72</f>
        <v>7.71</v>
      </c>
      <c r="D79" s="10" t="s">
        <v>25</v>
      </c>
      <c r="E79" s="10" t="s">
        <v>26</v>
      </c>
      <c r="F79" s="10" t="s">
        <v>26</v>
      </c>
      <c r="G79" s="10" t="s">
        <v>26</v>
      </c>
      <c r="H79" s="10" t="s">
        <v>25</v>
      </c>
      <c r="I79" s="10" t="s">
        <v>27</v>
      </c>
      <c r="J79" s="10" t="s">
        <v>25</v>
      </c>
      <c r="K79" s="11" t="s">
        <v>181</v>
      </c>
      <c r="L79" s="5" t="s">
        <v>126</v>
      </c>
      <c r="M79" s="11" t="s">
        <v>182</v>
      </c>
      <c r="N79" s="11"/>
      <c r="O79" s="11"/>
      <c r="P79" s="11"/>
      <c r="Q79" s="11"/>
    </row>
    <row r="80" ht="15.75" hidden="1" customHeight="1">
      <c r="A80" s="8">
        <v>45631.0</v>
      </c>
      <c r="B80" s="9">
        <f t="shared" si="7"/>
        <v>16</v>
      </c>
      <c r="C80" s="9">
        <f>C79+1.31</f>
        <v>9.02</v>
      </c>
      <c r="D80" s="10" t="s">
        <v>25</v>
      </c>
      <c r="E80" s="10" t="s">
        <v>26</v>
      </c>
      <c r="F80" s="10" t="s">
        <v>26</v>
      </c>
      <c r="G80" s="10" t="s">
        <v>26</v>
      </c>
      <c r="H80" s="10" t="s">
        <v>25</v>
      </c>
      <c r="I80" s="10" t="s">
        <v>27</v>
      </c>
      <c r="J80" s="10" t="s">
        <v>25</v>
      </c>
      <c r="K80" s="11" t="s">
        <v>183</v>
      </c>
      <c r="L80" s="5" t="s">
        <v>126</v>
      </c>
      <c r="M80" s="11" t="s">
        <v>184</v>
      </c>
      <c r="N80" s="11"/>
      <c r="O80" s="11"/>
      <c r="P80" s="11"/>
      <c r="Q80" s="11"/>
    </row>
    <row r="81" ht="15.75" hidden="1" customHeight="1">
      <c r="A81" s="8">
        <v>45632.0</v>
      </c>
      <c r="B81" s="9">
        <f t="shared" si="7"/>
        <v>20</v>
      </c>
      <c r="C81" s="9">
        <f>C80+1.66</f>
        <v>10.68</v>
      </c>
      <c r="D81" s="10" t="s">
        <v>25</v>
      </c>
      <c r="E81" s="10" t="s">
        <v>26</v>
      </c>
      <c r="F81" s="10" t="s">
        <v>26</v>
      </c>
      <c r="G81" s="10" t="s">
        <v>26</v>
      </c>
      <c r="H81" s="10" t="s">
        <v>25</v>
      </c>
      <c r="I81" s="10" t="s">
        <v>27</v>
      </c>
      <c r="J81" s="10" t="s">
        <v>25</v>
      </c>
      <c r="K81" s="11" t="s">
        <v>185</v>
      </c>
      <c r="L81" s="5" t="s">
        <v>126</v>
      </c>
      <c r="M81" s="11" t="s">
        <v>186</v>
      </c>
      <c r="N81" s="11"/>
      <c r="O81" s="11"/>
      <c r="P81" s="11"/>
      <c r="Q81" s="11"/>
    </row>
    <row r="82" ht="15.75" hidden="1" customHeight="1">
      <c r="A82" s="8">
        <v>45635.0</v>
      </c>
      <c r="B82" s="9">
        <f t="shared" si="7"/>
        <v>24</v>
      </c>
      <c r="C82" s="9">
        <v>12.87</v>
      </c>
      <c r="D82" s="10" t="s">
        <v>25</v>
      </c>
      <c r="E82" s="10" t="s">
        <v>26</v>
      </c>
      <c r="F82" s="10" t="s">
        <v>26</v>
      </c>
      <c r="G82" s="10" t="s">
        <v>26</v>
      </c>
      <c r="H82" s="10" t="s">
        <v>155</v>
      </c>
      <c r="I82" s="10" t="s">
        <v>27</v>
      </c>
      <c r="J82" s="10" t="s">
        <v>25</v>
      </c>
      <c r="K82" s="11" t="s">
        <v>187</v>
      </c>
      <c r="L82" s="5" t="s">
        <v>126</v>
      </c>
      <c r="M82" s="11" t="s">
        <v>188</v>
      </c>
      <c r="N82" s="11"/>
      <c r="O82" s="11"/>
      <c r="P82" s="11"/>
      <c r="Q82" s="11"/>
    </row>
    <row r="83" ht="15.75" hidden="1" customHeight="1">
      <c r="A83" s="8">
        <v>45636.0</v>
      </c>
      <c r="B83" s="9">
        <f t="shared" si="7"/>
        <v>28</v>
      </c>
      <c r="C83" s="9">
        <f>C82+3.29</f>
        <v>16.16</v>
      </c>
      <c r="D83" s="10" t="s">
        <v>25</v>
      </c>
      <c r="E83" s="10" t="s">
        <v>26</v>
      </c>
      <c r="F83" s="10" t="s">
        <v>26</v>
      </c>
      <c r="G83" s="10" t="s">
        <v>26</v>
      </c>
      <c r="H83" s="10" t="s">
        <v>25</v>
      </c>
      <c r="I83" s="10" t="s">
        <v>27</v>
      </c>
      <c r="J83" s="10" t="s">
        <v>25</v>
      </c>
      <c r="K83" s="11" t="s">
        <v>189</v>
      </c>
      <c r="L83" s="5" t="s">
        <v>126</v>
      </c>
      <c r="M83" s="11" t="s">
        <v>190</v>
      </c>
      <c r="N83" s="11"/>
      <c r="O83" s="11"/>
      <c r="P83" s="11"/>
      <c r="Q83" s="11"/>
    </row>
    <row r="84" ht="15.75" hidden="1" customHeight="1">
      <c r="A84" s="22">
        <v>45637.0</v>
      </c>
      <c r="B84" s="9">
        <f t="shared" si="7"/>
        <v>32</v>
      </c>
      <c r="C84" s="9">
        <f>C83+1.63</f>
        <v>17.79</v>
      </c>
      <c r="D84" s="10" t="s">
        <v>25</v>
      </c>
      <c r="E84" s="10" t="s">
        <v>26</v>
      </c>
      <c r="F84" s="10" t="s">
        <v>26</v>
      </c>
      <c r="G84" s="10" t="s">
        <v>26</v>
      </c>
      <c r="H84" s="10" t="s">
        <v>25</v>
      </c>
      <c r="I84" s="10" t="s">
        <v>27</v>
      </c>
      <c r="J84" s="10" t="s">
        <v>25</v>
      </c>
      <c r="K84" s="11" t="s">
        <v>191</v>
      </c>
      <c r="L84" s="5" t="s">
        <v>126</v>
      </c>
      <c r="M84" s="11" t="s">
        <v>192</v>
      </c>
      <c r="N84" s="11"/>
      <c r="O84" s="11"/>
      <c r="P84" s="11"/>
      <c r="Q84" s="11"/>
    </row>
    <row r="85" ht="15.75" hidden="1" customHeight="1">
      <c r="A85" s="8">
        <v>45638.0</v>
      </c>
      <c r="B85" s="9">
        <f t="shared" si="7"/>
        <v>36</v>
      </c>
      <c r="C85" s="9">
        <f>C84+0.89</f>
        <v>18.68</v>
      </c>
      <c r="D85" s="10" t="s">
        <v>25</v>
      </c>
      <c r="E85" s="10" t="s">
        <v>26</v>
      </c>
      <c r="F85" s="10" t="s">
        <v>26</v>
      </c>
      <c r="G85" s="10" t="s">
        <v>26</v>
      </c>
      <c r="H85" s="10" t="s">
        <v>25</v>
      </c>
      <c r="I85" s="10" t="s">
        <v>27</v>
      </c>
      <c r="J85" s="10" t="s">
        <v>25</v>
      </c>
      <c r="K85" s="11" t="s">
        <v>193</v>
      </c>
      <c r="L85" s="5" t="s">
        <v>126</v>
      </c>
      <c r="M85" s="11" t="s">
        <v>194</v>
      </c>
      <c r="N85" s="11"/>
      <c r="O85" s="11" t="s">
        <v>195</v>
      </c>
      <c r="P85" s="11"/>
      <c r="Q85" s="11"/>
    </row>
    <row r="86" ht="15.75" hidden="1" customHeight="1">
      <c r="A86" s="8">
        <v>45639.0</v>
      </c>
      <c r="B86" s="9">
        <f t="shared" si="7"/>
        <v>40</v>
      </c>
      <c r="C86" s="9">
        <f>C85+1.28</f>
        <v>19.96</v>
      </c>
      <c r="D86" s="10" t="s">
        <v>25</v>
      </c>
      <c r="E86" s="10" t="s">
        <v>26</v>
      </c>
      <c r="F86" s="10" t="s">
        <v>26</v>
      </c>
      <c r="G86" s="10" t="s">
        <v>26</v>
      </c>
      <c r="H86" s="10" t="s">
        <v>25</v>
      </c>
      <c r="I86" s="10" t="s">
        <v>27</v>
      </c>
      <c r="J86" s="10" t="s">
        <v>25</v>
      </c>
      <c r="K86" s="11" t="s">
        <v>196</v>
      </c>
      <c r="L86" s="5" t="s">
        <v>126</v>
      </c>
      <c r="M86" s="11" t="s">
        <v>197</v>
      </c>
      <c r="N86" s="11"/>
      <c r="O86" s="11"/>
      <c r="P86" s="11"/>
      <c r="Q86" s="11"/>
    </row>
    <row r="87" ht="15.75" hidden="1" customHeight="1">
      <c r="A87" s="8">
        <v>45642.0</v>
      </c>
      <c r="B87" s="9">
        <f t="shared" si="7"/>
        <v>44</v>
      </c>
      <c r="C87" s="9">
        <f>C86+3.7</f>
        <v>23.66</v>
      </c>
      <c r="D87" s="10" t="s">
        <v>25</v>
      </c>
      <c r="E87" s="10" t="s">
        <v>26</v>
      </c>
      <c r="F87" s="10" t="s">
        <v>26</v>
      </c>
      <c r="G87" s="10" t="s">
        <v>26</v>
      </c>
      <c r="H87" s="10" t="s">
        <v>25</v>
      </c>
      <c r="I87" s="10" t="s">
        <v>27</v>
      </c>
      <c r="J87" s="10" t="s">
        <v>25</v>
      </c>
      <c r="K87" s="11" t="s">
        <v>198</v>
      </c>
      <c r="L87" s="5" t="s">
        <v>126</v>
      </c>
      <c r="M87" s="11" t="s">
        <v>199</v>
      </c>
      <c r="N87" s="11"/>
      <c r="O87" s="11"/>
      <c r="P87" s="11"/>
      <c r="Q87" s="11"/>
    </row>
    <row r="88" ht="15.75" hidden="1" customHeight="1">
      <c r="A88" s="8">
        <v>45643.0</v>
      </c>
      <c r="B88" s="9">
        <f t="shared" si="7"/>
        <v>48</v>
      </c>
      <c r="C88" s="9">
        <v>27.56</v>
      </c>
      <c r="D88" s="10" t="s">
        <v>25</v>
      </c>
      <c r="E88" s="10" t="s">
        <v>26</v>
      </c>
      <c r="F88" s="10" t="s">
        <v>26</v>
      </c>
      <c r="G88" s="10" t="s">
        <v>26</v>
      </c>
      <c r="H88" s="10" t="s">
        <v>25</v>
      </c>
      <c r="I88" s="10" t="s">
        <v>27</v>
      </c>
      <c r="J88" s="10" t="s">
        <v>25</v>
      </c>
      <c r="K88" s="11" t="s">
        <v>200</v>
      </c>
      <c r="L88" s="5" t="s">
        <v>126</v>
      </c>
      <c r="M88" s="11" t="s">
        <v>201</v>
      </c>
      <c r="N88" s="11"/>
      <c r="O88" s="11"/>
      <c r="P88" s="11"/>
      <c r="Q88" s="11"/>
    </row>
    <row r="89" ht="15.75" hidden="1" customHeight="1">
      <c r="A89" s="8">
        <v>45644.0</v>
      </c>
      <c r="B89" s="9">
        <f t="shared" si="7"/>
        <v>52</v>
      </c>
      <c r="C89" s="9">
        <f>C88+1.3</f>
        <v>28.86</v>
      </c>
      <c r="D89" s="10" t="s">
        <v>25</v>
      </c>
      <c r="E89" s="10" t="s">
        <v>26</v>
      </c>
      <c r="F89" s="10" t="s">
        <v>26</v>
      </c>
      <c r="G89" s="10" t="s">
        <v>26</v>
      </c>
      <c r="H89" s="10" t="s">
        <v>155</v>
      </c>
      <c r="I89" s="10" t="s">
        <v>27</v>
      </c>
      <c r="J89" s="10" t="s">
        <v>25</v>
      </c>
      <c r="K89" s="11" t="s">
        <v>202</v>
      </c>
      <c r="L89" s="5" t="s">
        <v>126</v>
      </c>
      <c r="M89" s="11" t="s">
        <v>203</v>
      </c>
      <c r="N89" s="11"/>
      <c r="O89" s="11"/>
      <c r="P89" s="11"/>
      <c r="Q89" s="11"/>
    </row>
    <row r="90" ht="15.75" hidden="1" customHeight="1">
      <c r="A90" s="8">
        <v>45645.0</v>
      </c>
      <c r="B90" s="9">
        <f t="shared" si="7"/>
        <v>56</v>
      </c>
      <c r="C90" s="9">
        <f>C89+0.77</f>
        <v>29.63</v>
      </c>
      <c r="D90" s="10" t="s">
        <v>25</v>
      </c>
      <c r="E90" s="10" t="s">
        <v>26</v>
      </c>
      <c r="F90" s="10" t="s">
        <v>26</v>
      </c>
      <c r="G90" s="10" t="s">
        <v>26</v>
      </c>
      <c r="H90" s="10" t="s">
        <v>25</v>
      </c>
      <c r="I90" s="10" t="s">
        <v>27</v>
      </c>
      <c r="J90" s="10" t="s">
        <v>25</v>
      </c>
      <c r="K90" s="11" t="s">
        <v>204</v>
      </c>
      <c r="L90" s="5" t="s">
        <v>126</v>
      </c>
      <c r="M90" s="11" t="s">
        <v>205</v>
      </c>
      <c r="N90" s="11"/>
      <c r="O90" s="11"/>
      <c r="P90" s="11"/>
      <c r="Q90" s="11"/>
    </row>
    <row r="91" ht="15.75" hidden="1" customHeight="1">
      <c r="A91" s="8">
        <v>45646.0</v>
      </c>
      <c r="B91" s="9">
        <f t="shared" si="7"/>
        <v>60</v>
      </c>
      <c r="C91" s="9">
        <f>C90+0.94</f>
        <v>30.57</v>
      </c>
      <c r="D91" s="10" t="s">
        <v>25</v>
      </c>
      <c r="E91" s="10" t="s">
        <v>26</v>
      </c>
      <c r="F91" s="10" t="s">
        <v>26</v>
      </c>
      <c r="G91" s="10" t="s">
        <v>26</v>
      </c>
      <c r="H91" s="10" t="s">
        <v>25</v>
      </c>
      <c r="I91" s="10" t="s">
        <v>27</v>
      </c>
      <c r="J91" s="10" t="s">
        <v>25</v>
      </c>
      <c r="K91" s="11" t="s">
        <v>206</v>
      </c>
      <c r="L91" s="5" t="s">
        <v>126</v>
      </c>
      <c r="M91" s="11" t="s">
        <v>207</v>
      </c>
      <c r="N91" s="11"/>
      <c r="O91" s="11"/>
      <c r="P91" s="11"/>
      <c r="Q91" s="11"/>
    </row>
    <row r="92" ht="15.75" hidden="1" customHeight="1">
      <c r="A92" s="8">
        <v>45649.0</v>
      </c>
      <c r="B92" s="9">
        <f t="shared" si="7"/>
        <v>64</v>
      </c>
      <c r="C92" s="9">
        <v>30.89</v>
      </c>
      <c r="D92" s="10" t="s">
        <v>25</v>
      </c>
      <c r="E92" s="10" t="s">
        <v>26</v>
      </c>
      <c r="F92" s="10" t="s">
        <v>26</v>
      </c>
      <c r="G92" s="10" t="s">
        <v>26</v>
      </c>
      <c r="H92" s="10" t="s">
        <v>25</v>
      </c>
      <c r="I92" s="10" t="s">
        <v>27</v>
      </c>
      <c r="J92" s="10" t="s">
        <v>25</v>
      </c>
      <c r="K92" s="11" t="s">
        <v>208</v>
      </c>
      <c r="L92" s="5" t="s">
        <v>126</v>
      </c>
      <c r="M92" s="11" t="s">
        <v>209</v>
      </c>
      <c r="N92" s="11"/>
      <c r="O92" s="11"/>
      <c r="P92" s="11"/>
      <c r="Q92" s="11"/>
    </row>
    <row r="93" ht="15.75" hidden="1" customHeight="1">
      <c r="A93" s="8">
        <v>45650.0</v>
      </c>
      <c r="B93" s="9">
        <f t="shared" si="7"/>
        <v>68</v>
      </c>
      <c r="C93" s="9">
        <f>C92+2.22</f>
        <v>33.11</v>
      </c>
      <c r="D93" s="10" t="s">
        <v>25</v>
      </c>
      <c r="E93" s="10" t="s">
        <v>26</v>
      </c>
      <c r="F93" s="10" t="s">
        <v>26</v>
      </c>
      <c r="G93" s="10" t="s">
        <v>26</v>
      </c>
      <c r="H93" s="10" t="s">
        <v>25</v>
      </c>
      <c r="I93" s="10" t="s">
        <v>27</v>
      </c>
      <c r="J93" s="10" t="s">
        <v>25</v>
      </c>
      <c r="K93" s="11" t="s">
        <v>210</v>
      </c>
      <c r="L93" s="5" t="s">
        <v>126</v>
      </c>
      <c r="M93" s="10" t="s">
        <v>211</v>
      </c>
      <c r="N93" s="11"/>
      <c r="O93" s="11" t="s">
        <v>212</v>
      </c>
      <c r="P93" s="11"/>
      <c r="Q93" s="11"/>
    </row>
    <row r="94" ht="15.75" hidden="1" customHeight="1">
      <c r="A94" s="8">
        <v>45652.0</v>
      </c>
      <c r="B94" s="9">
        <f t="shared" si="7"/>
        <v>72</v>
      </c>
      <c r="C94" s="9">
        <f>C93+0.89</f>
        <v>34</v>
      </c>
      <c r="D94" s="10" t="s">
        <v>25</v>
      </c>
      <c r="E94" s="10" t="s">
        <v>26</v>
      </c>
      <c r="F94" s="10" t="s">
        <v>26</v>
      </c>
      <c r="G94" s="10" t="s">
        <v>26</v>
      </c>
      <c r="H94" s="10" t="s">
        <v>25</v>
      </c>
      <c r="I94" s="10" t="s">
        <v>27</v>
      </c>
      <c r="J94" s="10" t="s">
        <v>25</v>
      </c>
      <c r="K94" s="11" t="s">
        <v>213</v>
      </c>
      <c r="L94" s="5" t="s">
        <v>126</v>
      </c>
      <c r="M94" s="10" t="s">
        <v>214</v>
      </c>
      <c r="N94" s="11"/>
      <c r="O94" s="11"/>
      <c r="P94" s="11"/>
      <c r="Q94" s="11"/>
    </row>
    <row r="95" ht="15.75" hidden="1" customHeight="1">
      <c r="A95" s="8">
        <v>45653.0</v>
      </c>
      <c r="B95" s="9">
        <f t="shared" si="7"/>
        <v>76</v>
      </c>
      <c r="C95" s="9">
        <f>C94+4.36</f>
        <v>38.36</v>
      </c>
      <c r="D95" s="10" t="s">
        <v>25</v>
      </c>
      <c r="E95" s="10" t="s">
        <v>26</v>
      </c>
      <c r="F95" s="10" t="s">
        <v>26</v>
      </c>
      <c r="G95" s="10" t="s">
        <v>26</v>
      </c>
      <c r="H95" s="10" t="s">
        <v>25</v>
      </c>
      <c r="I95" s="10" t="s">
        <v>27</v>
      </c>
      <c r="J95" s="10" t="s">
        <v>25</v>
      </c>
      <c r="K95" s="11" t="s">
        <v>215</v>
      </c>
      <c r="L95" s="5" t="s">
        <v>126</v>
      </c>
      <c r="M95" s="11" t="s">
        <v>216</v>
      </c>
      <c r="N95" s="11"/>
      <c r="O95" s="11" t="s">
        <v>217</v>
      </c>
      <c r="P95" s="11"/>
      <c r="Q95" s="11"/>
    </row>
    <row r="96" ht="15.75" hidden="1" customHeight="1">
      <c r="A96" s="8">
        <v>45656.0</v>
      </c>
      <c r="B96" s="9">
        <f t="shared" si="7"/>
        <v>80</v>
      </c>
      <c r="C96" s="9">
        <f>C95+0.77</f>
        <v>39.13</v>
      </c>
      <c r="D96" s="10" t="s">
        <v>25</v>
      </c>
      <c r="E96" s="10" t="s">
        <v>26</v>
      </c>
      <c r="F96" s="10" t="s">
        <v>26</v>
      </c>
      <c r="G96" s="10" t="s">
        <v>26</v>
      </c>
      <c r="H96" s="10" t="s">
        <v>25</v>
      </c>
      <c r="I96" s="10" t="s">
        <v>27</v>
      </c>
      <c r="J96" s="10" t="s">
        <v>25</v>
      </c>
      <c r="K96" s="11" t="s">
        <v>218</v>
      </c>
      <c r="L96" s="5" t="s">
        <v>126</v>
      </c>
      <c r="M96" s="11" t="s">
        <v>219</v>
      </c>
      <c r="N96" s="11"/>
      <c r="O96" s="11"/>
      <c r="P96" s="11"/>
      <c r="Q96" s="11"/>
    </row>
    <row r="97" ht="15.75" hidden="1" customHeight="1">
      <c r="A97" s="8">
        <v>45657.0</v>
      </c>
      <c r="B97" s="9">
        <f t="shared" si="7"/>
        <v>84</v>
      </c>
      <c r="C97" s="9">
        <f>C96+4</f>
        <v>43.13</v>
      </c>
      <c r="D97" s="10" t="s">
        <v>25</v>
      </c>
      <c r="E97" s="10" t="s">
        <v>26</v>
      </c>
      <c r="F97" s="10" t="s">
        <v>26</v>
      </c>
      <c r="G97" s="10" t="s">
        <v>26</v>
      </c>
      <c r="H97" s="10" t="s">
        <v>25</v>
      </c>
      <c r="I97" s="10" t="s">
        <v>27</v>
      </c>
      <c r="J97" s="10" t="s">
        <v>25</v>
      </c>
      <c r="K97" s="11" t="s">
        <v>220</v>
      </c>
      <c r="L97" s="5" t="s">
        <v>126</v>
      </c>
      <c r="M97" s="11" t="s">
        <v>221</v>
      </c>
      <c r="N97" s="11"/>
      <c r="O97" s="11"/>
      <c r="P97" s="11"/>
      <c r="Q97" s="11"/>
    </row>
    <row r="98" ht="15.75" hidden="1" customHeight="1">
      <c r="A98" s="8">
        <v>45659.0</v>
      </c>
      <c r="B98" s="9">
        <v>4.0</v>
      </c>
      <c r="C98" s="9">
        <v>1.03</v>
      </c>
      <c r="D98" s="10" t="s">
        <v>25</v>
      </c>
      <c r="E98" s="10" t="s">
        <v>26</v>
      </c>
      <c r="F98" s="10" t="s">
        <v>26</v>
      </c>
      <c r="G98" s="10" t="s">
        <v>26</v>
      </c>
      <c r="H98" s="10" t="s">
        <v>25</v>
      </c>
      <c r="I98" s="10" t="s">
        <v>27</v>
      </c>
      <c r="J98" s="10" t="s">
        <v>25</v>
      </c>
      <c r="K98" s="11" t="s">
        <v>222</v>
      </c>
      <c r="L98" s="5" t="s">
        <v>126</v>
      </c>
      <c r="M98" s="11" t="s">
        <v>223</v>
      </c>
      <c r="N98" s="11"/>
      <c r="O98" s="11" t="s">
        <v>224</v>
      </c>
      <c r="P98" s="11"/>
      <c r="Q98" s="11"/>
    </row>
    <row r="99" ht="15.75" hidden="1" customHeight="1">
      <c r="A99" s="8">
        <v>45660.0</v>
      </c>
      <c r="B99" s="9">
        <f t="shared" ref="B99:B120" si="8">B98+4</f>
        <v>8</v>
      </c>
      <c r="C99" s="9">
        <f>C98+1.1</f>
        <v>2.13</v>
      </c>
      <c r="D99" s="10" t="s">
        <v>25</v>
      </c>
      <c r="E99" s="10" t="s">
        <v>26</v>
      </c>
      <c r="F99" s="10" t="s">
        <v>26</v>
      </c>
      <c r="G99" s="10" t="s">
        <v>26</v>
      </c>
      <c r="H99" s="10" t="s">
        <v>25</v>
      </c>
      <c r="I99" s="10" t="s">
        <v>27</v>
      </c>
      <c r="J99" s="10" t="s">
        <v>25</v>
      </c>
      <c r="K99" s="11" t="s">
        <v>225</v>
      </c>
      <c r="L99" s="5" t="s">
        <v>126</v>
      </c>
      <c r="M99" s="11" t="s">
        <v>226</v>
      </c>
      <c r="N99" s="11"/>
      <c r="O99" s="11" t="s">
        <v>227</v>
      </c>
      <c r="P99" s="11"/>
      <c r="Q99" s="11"/>
    </row>
    <row r="100" ht="15.75" hidden="1" customHeight="1">
      <c r="A100" s="8">
        <v>45663.0</v>
      </c>
      <c r="B100" s="9">
        <f t="shared" si="8"/>
        <v>12</v>
      </c>
      <c r="C100" s="9">
        <f>C99+2.8</f>
        <v>4.93</v>
      </c>
      <c r="D100" s="10" t="s">
        <v>25</v>
      </c>
      <c r="E100" s="10" t="s">
        <v>26</v>
      </c>
      <c r="F100" s="10" t="s">
        <v>26</v>
      </c>
      <c r="G100" s="10" t="s">
        <v>26</v>
      </c>
      <c r="H100" s="10" t="s">
        <v>25</v>
      </c>
      <c r="I100" s="10" t="s">
        <v>27</v>
      </c>
      <c r="J100" s="10" t="s">
        <v>25</v>
      </c>
      <c r="K100" s="11" t="s">
        <v>228</v>
      </c>
      <c r="L100" s="5" t="s">
        <v>126</v>
      </c>
      <c r="M100" s="11" t="s">
        <v>82</v>
      </c>
      <c r="N100" s="11"/>
      <c r="O100" s="11"/>
      <c r="P100" s="11"/>
      <c r="Q100" s="11"/>
    </row>
    <row r="101" ht="15.75" hidden="1" customHeight="1">
      <c r="A101" s="8">
        <v>45664.0</v>
      </c>
      <c r="B101" s="9">
        <f t="shared" si="8"/>
        <v>16</v>
      </c>
      <c r="C101" s="9">
        <f>C100+2.67</f>
        <v>7.6</v>
      </c>
      <c r="D101" s="10" t="s">
        <v>25</v>
      </c>
      <c r="E101" s="10" t="s">
        <v>26</v>
      </c>
      <c r="F101" s="10" t="s">
        <v>26</v>
      </c>
      <c r="G101" s="10" t="s">
        <v>26</v>
      </c>
      <c r="H101" s="10" t="s">
        <v>25</v>
      </c>
      <c r="I101" s="10" t="s">
        <v>27</v>
      </c>
      <c r="J101" s="10" t="s">
        <v>25</v>
      </c>
      <c r="K101" s="11" t="s">
        <v>229</v>
      </c>
      <c r="L101" s="5" t="s">
        <v>126</v>
      </c>
      <c r="M101" s="11" t="s">
        <v>230</v>
      </c>
      <c r="N101" s="11"/>
      <c r="O101" s="11"/>
      <c r="P101" s="11"/>
      <c r="Q101" s="11"/>
    </row>
    <row r="102" ht="15.75" hidden="1" customHeight="1">
      <c r="A102" s="8">
        <v>45665.0</v>
      </c>
      <c r="B102" s="9">
        <f t="shared" si="8"/>
        <v>20</v>
      </c>
      <c r="C102" s="9">
        <f>C101+4.3</f>
        <v>11.9</v>
      </c>
      <c r="D102" s="10" t="s">
        <v>25</v>
      </c>
      <c r="E102" s="10" t="s">
        <v>26</v>
      </c>
      <c r="F102" s="10" t="s">
        <v>26</v>
      </c>
      <c r="G102" s="10" t="s">
        <v>26</v>
      </c>
      <c r="H102" s="10" t="s">
        <v>25</v>
      </c>
      <c r="I102" s="10" t="s">
        <v>27</v>
      </c>
      <c r="J102" s="10" t="s">
        <v>25</v>
      </c>
      <c r="K102" s="11" t="s">
        <v>231</v>
      </c>
      <c r="L102" s="5" t="s">
        <v>126</v>
      </c>
      <c r="M102" s="11" t="s">
        <v>232</v>
      </c>
      <c r="N102" s="11"/>
      <c r="O102" s="11"/>
      <c r="P102" s="11"/>
      <c r="Q102" s="11"/>
    </row>
    <row r="103" ht="15.75" hidden="1" customHeight="1">
      <c r="A103" s="8">
        <v>45666.0</v>
      </c>
      <c r="B103" s="9">
        <f t="shared" si="8"/>
        <v>24</v>
      </c>
      <c r="C103" s="9">
        <f>C102+0.81</f>
        <v>12.71</v>
      </c>
      <c r="D103" s="10" t="s">
        <v>25</v>
      </c>
      <c r="E103" s="10" t="s">
        <v>26</v>
      </c>
      <c r="F103" s="10" t="s">
        <v>26</v>
      </c>
      <c r="G103" s="10" t="s">
        <v>26</v>
      </c>
      <c r="H103" s="10" t="s">
        <v>25</v>
      </c>
      <c r="I103" s="10" t="s">
        <v>27</v>
      </c>
      <c r="J103" s="10" t="s">
        <v>25</v>
      </c>
      <c r="K103" s="11" t="s">
        <v>233</v>
      </c>
      <c r="L103" s="5" t="s">
        <v>126</v>
      </c>
      <c r="M103" s="11" t="s">
        <v>234</v>
      </c>
      <c r="N103" s="11"/>
      <c r="O103" s="11"/>
      <c r="P103" s="11"/>
      <c r="Q103" s="11"/>
    </row>
    <row r="104" ht="15.75" hidden="1" customHeight="1">
      <c r="A104" s="8">
        <v>45667.0</v>
      </c>
      <c r="B104" s="9">
        <f t="shared" si="8"/>
        <v>28</v>
      </c>
      <c r="C104" s="9">
        <v>12.71</v>
      </c>
      <c r="D104" s="10" t="s">
        <v>25</v>
      </c>
      <c r="E104" s="10" t="s">
        <v>26</v>
      </c>
      <c r="F104" s="10" t="s">
        <v>26</v>
      </c>
      <c r="G104" s="10" t="s">
        <v>26</v>
      </c>
      <c r="H104" s="10" t="s">
        <v>25</v>
      </c>
      <c r="I104" s="10" t="s">
        <v>27</v>
      </c>
      <c r="J104" s="10" t="s">
        <v>25</v>
      </c>
      <c r="K104" s="11" t="s">
        <v>235</v>
      </c>
      <c r="L104" s="5" t="s">
        <v>126</v>
      </c>
      <c r="M104" s="11" t="s">
        <v>236</v>
      </c>
      <c r="N104" s="11"/>
      <c r="O104" s="11"/>
      <c r="P104" s="11"/>
      <c r="Q104" s="11"/>
    </row>
    <row r="105" ht="15.75" hidden="1" customHeight="1">
      <c r="A105" s="8">
        <v>45670.0</v>
      </c>
      <c r="B105" s="9">
        <f t="shared" si="8"/>
        <v>32</v>
      </c>
      <c r="C105" s="9">
        <f>C104+3.07</f>
        <v>15.78</v>
      </c>
      <c r="D105" s="10" t="s">
        <v>25</v>
      </c>
      <c r="E105" s="10" t="s">
        <v>26</v>
      </c>
      <c r="F105" s="10" t="s">
        <v>26</v>
      </c>
      <c r="G105" s="10" t="s">
        <v>26</v>
      </c>
      <c r="H105" s="10" t="s">
        <v>25</v>
      </c>
      <c r="I105" s="10" t="s">
        <v>27</v>
      </c>
      <c r="J105" s="10" t="s">
        <v>25</v>
      </c>
      <c r="K105" s="11" t="s">
        <v>237</v>
      </c>
      <c r="L105" s="5"/>
      <c r="M105" s="11" t="s">
        <v>238</v>
      </c>
      <c r="N105" s="11"/>
      <c r="O105" s="11"/>
      <c r="P105" s="11"/>
      <c r="Q105" s="11"/>
    </row>
    <row r="106" ht="15.75" hidden="1" customHeight="1">
      <c r="A106" s="8">
        <v>45672.0</v>
      </c>
      <c r="B106" s="9">
        <f t="shared" si="8"/>
        <v>36</v>
      </c>
      <c r="C106" s="9">
        <f>C105+4.5</f>
        <v>20.28</v>
      </c>
      <c r="D106" s="10" t="s">
        <v>25</v>
      </c>
      <c r="E106" s="10" t="s">
        <v>26</v>
      </c>
      <c r="F106" s="10" t="s">
        <v>26</v>
      </c>
      <c r="G106" s="10" t="s">
        <v>26</v>
      </c>
      <c r="H106" s="10" t="s">
        <v>25</v>
      </c>
      <c r="I106" s="10" t="s">
        <v>27</v>
      </c>
      <c r="J106" s="10" t="s">
        <v>25</v>
      </c>
      <c r="K106" s="11" t="s">
        <v>239</v>
      </c>
      <c r="L106" s="5" t="s">
        <v>126</v>
      </c>
      <c r="M106" s="11" t="s">
        <v>240</v>
      </c>
      <c r="N106" s="11"/>
      <c r="O106" s="11" t="s">
        <v>241</v>
      </c>
      <c r="P106" s="11" t="s">
        <v>242</v>
      </c>
      <c r="Q106" s="11"/>
    </row>
    <row r="107" ht="15.75" hidden="1" customHeight="1">
      <c r="A107" s="8">
        <v>45673.0</v>
      </c>
      <c r="B107" s="9">
        <f t="shared" si="8"/>
        <v>40</v>
      </c>
      <c r="C107" s="9">
        <f>C106+6.07</f>
        <v>26.35</v>
      </c>
      <c r="D107" s="10" t="s">
        <v>25</v>
      </c>
      <c r="E107" s="10" t="s">
        <v>26</v>
      </c>
      <c r="F107" s="10" t="s">
        <v>26</v>
      </c>
      <c r="G107" s="10" t="s">
        <v>26</v>
      </c>
      <c r="H107" s="10" t="s">
        <v>25</v>
      </c>
      <c r="I107" s="10" t="s">
        <v>27</v>
      </c>
      <c r="J107" s="10" t="s">
        <v>25</v>
      </c>
      <c r="K107" s="11" t="s">
        <v>243</v>
      </c>
      <c r="L107" s="5" t="s">
        <v>126</v>
      </c>
      <c r="M107" s="11" t="s">
        <v>244</v>
      </c>
      <c r="N107" s="11"/>
      <c r="O107" s="11"/>
      <c r="P107" s="11"/>
      <c r="Q107" s="11"/>
    </row>
    <row r="108" ht="15.75" hidden="1" customHeight="1">
      <c r="A108" s="8">
        <v>45674.0</v>
      </c>
      <c r="B108" s="9">
        <f t="shared" si="8"/>
        <v>44</v>
      </c>
      <c r="C108" s="9">
        <v>31.16</v>
      </c>
      <c r="D108" s="10" t="s">
        <v>25</v>
      </c>
      <c r="E108" s="10" t="s">
        <v>26</v>
      </c>
      <c r="F108" s="10" t="s">
        <v>26</v>
      </c>
      <c r="G108" s="10" t="s">
        <v>26</v>
      </c>
      <c r="H108" s="10" t="s">
        <v>25</v>
      </c>
      <c r="I108" s="10" t="s">
        <v>27</v>
      </c>
      <c r="J108" s="10" t="s">
        <v>25</v>
      </c>
      <c r="K108" s="23" t="s">
        <v>245</v>
      </c>
      <c r="L108" s="5" t="s">
        <v>126</v>
      </c>
      <c r="M108" s="11" t="s">
        <v>246</v>
      </c>
      <c r="N108" s="11"/>
      <c r="O108" s="11"/>
      <c r="P108" s="11"/>
      <c r="Q108" s="11"/>
    </row>
    <row r="109" ht="15.75" hidden="1" customHeight="1">
      <c r="A109" s="8">
        <v>45675.0</v>
      </c>
      <c r="B109" s="9">
        <f t="shared" si="8"/>
        <v>48</v>
      </c>
      <c r="C109" s="9">
        <f>C108+2.11</f>
        <v>33.27</v>
      </c>
      <c r="D109" s="10" t="s">
        <v>25</v>
      </c>
      <c r="E109" s="10" t="s">
        <v>26</v>
      </c>
      <c r="F109" s="10" t="s">
        <v>26</v>
      </c>
      <c r="G109" s="10" t="s">
        <v>26</v>
      </c>
      <c r="H109" s="10" t="s">
        <v>25</v>
      </c>
      <c r="I109" s="10" t="s">
        <v>27</v>
      </c>
      <c r="J109" s="10" t="s">
        <v>25</v>
      </c>
      <c r="K109" s="23" t="s">
        <v>247</v>
      </c>
      <c r="L109" s="5" t="s">
        <v>126</v>
      </c>
      <c r="M109" s="11" t="s">
        <v>248</v>
      </c>
      <c r="N109" s="11"/>
      <c r="O109" s="11"/>
      <c r="P109" s="11"/>
      <c r="Q109" s="11"/>
    </row>
    <row r="110" ht="15.75" hidden="1" customHeight="1">
      <c r="A110" s="8">
        <v>45677.0</v>
      </c>
      <c r="B110" s="9">
        <f t="shared" si="8"/>
        <v>52</v>
      </c>
      <c r="C110" s="9">
        <v>36.49</v>
      </c>
      <c r="D110" s="10" t="s">
        <v>25</v>
      </c>
      <c r="E110" s="10" t="s">
        <v>26</v>
      </c>
      <c r="F110" s="10" t="s">
        <v>26</v>
      </c>
      <c r="G110" s="10" t="s">
        <v>26</v>
      </c>
      <c r="H110" s="10" t="s">
        <v>25</v>
      </c>
      <c r="I110" s="10" t="s">
        <v>27</v>
      </c>
      <c r="J110" s="10" t="s">
        <v>25</v>
      </c>
      <c r="K110" s="23" t="s">
        <v>249</v>
      </c>
      <c r="L110" s="5" t="s">
        <v>126</v>
      </c>
      <c r="M110" s="11" t="s">
        <v>250</v>
      </c>
      <c r="N110" s="11"/>
      <c r="O110" s="11"/>
      <c r="P110" s="11"/>
      <c r="Q110" s="11"/>
    </row>
    <row r="111" ht="15.75" hidden="1" customHeight="1">
      <c r="A111" s="8">
        <v>45678.0</v>
      </c>
      <c r="B111" s="9">
        <f t="shared" si="8"/>
        <v>56</v>
      </c>
      <c r="C111" s="9">
        <f>C110+6.31</f>
        <v>42.8</v>
      </c>
      <c r="D111" s="10" t="s">
        <v>25</v>
      </c>
      <c r="E111" s="10" t="s">
        <v>26</v>
      </c>
      <c r="F111" s="10" t="s">
        <v>26</v>
      </c>
      <c r="G111" s="10" t="s">
        <v>26</v>
      </c>
      <c r="H111" s="10" t="s">
        <v>25</v>
      </c>
      <c r="I111" s="10" t="s">
        <v>27</v>
      </c>
      <c r="J111" s="10" t="s">
        <v>25</v>
      </c>
      <c r="K111" s="23" t="s">
        <v>251</v>
      </c>
      <c r="L111" s="5" t="s">
        <v>126</v>
      </c>
      <c r="M111" s="11" t="s">
        <v>252</v>
      </c>
      <c r="N111" s="11"/>
      <c r="O111" s="11" t="s">
        <v>253</v>
      </c>
      <c r="P111" s="11"/>
      <c r="Q111" s="11"/>
    </row>
    <row r="112" ht="15.75" hidden="1" customHeight="1">
      <c r="A112" s="8">
        <v>45679.0</v>
      </c>
      <c r="B112" s="9">
        <f t="shared" si="8"/>
        <v>60</v>
      </c>
      <c r="C112" s="9">
        <f>C111+9.23</f>
        <v>52.03</v>
      </c>
      <c r="D112" s="10" t="s">
        <v>25</v>
      </c>
      <c r="E112" s="10" t="s">
        <v>26</v>
      </c>
      <c r="F112" s="10" t="s">
        <v>26</v>
      </c>
      <c r="G112" s="10" t="s">
        <v>26</v>
      </c>
      <c r="H112" s="10" t="s">
        <v>25</v>
      </c>
      <c r="I112" s="10" t="s">
        <v>27</v>
      </c>
      <c r="J112" s="10" t="s">
        <v>25</v>
      </c>
      <c r="K112" s="23" t="s">
        <v>254</v>
      </c>
      <c r="L112" s="5" t="s">
        <v>126</v>
      </c>
      <c r="M112" s="11" t="s">
        <v>255</v>
      </c>
      <c r="N112" s="11"/>
      <c r="O112" s="11"/>
      <c r="P112" s="11"/>
      <c r="Q112" s="11"/>
    </row>
    <row r="113" ht="15.75" hidden="1" customHeight="1">
      <c r="A113" s="8">
        <v>45680.0</v>
      </c>
      <c r="B113" s="9">
        <f t="shared" si="8"/>
        <v>64</v>
      </c>
      <c r="C113" s="9">
        <v>54.21</v>
      </c>
      <c r="D113" s="10" t="s">
        <v>25</v>
      </c>
      <c r="E113" s="10" t="s">
        <v>26</v>
      </c>
      <c r="F113" s="10" t="s">
        <v>26</v>
      </c>
      <c r="G113" s="10" t="s">
        <v>26</v>
      </c>
      <c r="H113" s="10" t="s">
        <v>25</v>
      </c>
      <c r="I113" s="10" t="s">
        <v>27</v>
      </c>
      <c r="J113" s="10" t="s">
        <v>25</v>
      </c>
      <c r="K113" s="23" t="s">
        <v>256</v>
      </c>
      <c r="L113" s="5" t="s">
        <v>126</v>
      </c>
      <c r="M113" s="11" t="s">
        <v>257</v>
      </c>
      <c r="N113" s="11"/>
      <c r="O113" s="11"/>
      <c r="P113" s="11"/>
      <c r="Q113" s="11"/>
    </row>
    <row r="114" ht="15.75" hidden="1" customHeight="1">
      <c r="A114" s="8">
        <v>45681.0</v>
      </c>
      <c r="B114" s="9">
        <f t="shared" si="8"/>
        <v>68</v>
      </c>
      <c r="C114" s="9">
        <f>C113+3.18</f>
        <v>57.39</v>
      </c>
      <c r="D114" s="10" t="s">
        <v>25</v>
      </c>
      <c r="E114" s="10" t="s">
        <v>26</v>
      </c>
      <c r="F114" s="10" t="s">
        <v>26</v>
      </c>
      <c r="G114" s="10" t="s">
        <v>26</v>
      </c>
      <c r="H114" s="10" t="s">
        <v>25</v>
      </c>
      <c r="I114" s="10" t="s">
        <v>27</v>
      </c>
      <c r="J114" s="10" t="s">
        <v>25</v>
      </c>
      <c r="K114" s="23" t="s">
        <v>258</v>
      </c>
      <c r="L114" s="5" t="s">
        <v>126</v>
      </c>
      <c r="M114" s="11" t="s">
        <v>259</v>
      </c>
      <c r="N114" s="11"/>
      <c r="O114" s="11"/>
      <c r="P114" s="11"/>
      <c r="Q114" s="11"/>
    </row>
    <row r="115" ht="15.75" hidden="1" customHeight="1">
      <c r="A115" s="8">
        <v>45682.0</v>
      </c>
      <c r="B115" s="9">
        <f t="shared" si="8"/>
        <v>72</v>
      </c>
      <c r="C115" s="9">
        <v>62.11</v>
      </c>
      <c r="D115" s="10" t="s">
        <v>25</v>
      </c>
      <c r="E115" s="10" t="s">
        <v>26</v>
      </c>
      <c r="F115" s="10" t="s">
        <v>26</v>
      </c>
      <c r="G115" s="10" t="s">
        <v>26</v>
      </c>
      <c r="H115" s="10" t="s">
        <v>25</v>
      </c>
      <c r="I115" s="10" t="s">
        <v>27</v>
      </c>
      <c r="J115" s="10" t="s">
        <v>25</v>
      </c>
      <c r="K115" s="23" t="s">
        <v>260</v>
      </c>
      <c r="L115" s="5" t="s">
        <v>126</v>
      </c>
      <c r="M115" s="11" t="s">
        <v>261</v>
      </c>
      <c r="N115" s="11"/>
      <c r="O115" s="11"/>
      <c r="P115" s="24"/>
      <c r="Q115" s="19"/>
    </row>
    <row r="116" ht="15.75" hidden="1" customHeight="1">
      <c r="A116" s="8">
        <v>45684.0</v>
      </c>
      <c r="B116" s="9">
        <f t="shared" si="8"/>
        <v>76</v>
      </c>
      <c r="C116" s="9">
        <f>C115+3.13</f>
        <v>65.24</v>
      </c>
      <c r="D116" s="10" t="s">
        <v>25</v>
      </c>
      <c r="E116" s="10" t="s">
        <v>26</v>
      </c>
      <c r="F116" s="10" t="s">
        <v>26</v>
      </c>
      <c r="G116" s="10" t="s">
        <v>26</v>
      </c>
      <c r="H116" s="10" t="s">
        <v>155</v>
      </c>
      <c r="I116" s="10" t="s">
        <v>27</v>
      </c>
      <c r="J116" s="10" t="s">
        <v>25</v>
      </c>
      <c r="K116" s="23" t="s">
        <v>262</v>
      </c>
      <c r="L116" s="5" t="s">
        <v>126</v>
      </c>
      <c r="M116" s="11" t="s">
        <v>263</v>
      </c>
      <c r="N116" s="11"/>
      <c r="O116" s="11"/>
      <c r="P116" s="11"/>
      <c r="Q116" s="11"/>
    </row>
    <row r="117" ht="15.75" hidden="1" customHeight="1">
      <c r="A117" s="8">
        <v>45685.0</v>
      </c>
      <c r="B117" s="9">
        <f t="shared" si="8"/>
        <v>80</v>
      </c>
      <c r="C117" s="9">
        <v>65.52</v>
      </c>
      <c r="D117" s="10" t="s">
        <v>25</v>
      </c>
      <c r="E117" s="10" t="s">
        <v>26</v>
      </c>
      <c r="F117" s="10" t="s">
        <v>26</v>
      </c>
      <c r="G117" s="10" t="s">
        <v>26</v>
      </c>
      <c r="H117" s="10" t="s">
        <v>25</v>
      </c>
      <c r="I117" s="10" t="s">
        <v>27</v>
      </c>
      <c r="J117" s="10" t="s">
        <v>25</v>
      </c>
      <c r="K117" s="23" t="s">
        <v>264</v>
      </c>
      <c r="L117" s="5" t="s">
        <v>126</v>
      </c>
      <c r="M117" s="11" t="s">
        <v>265</v>
      </c>
      <c r="N117" s="11"/>
      <c r="O117" s="11"/>
      <c r="P117" s="11"/>
      <c r="Q117" s="11"/>
    </row>
    <row r="118" ht="15.75" hidden="1" customHeight="1">
      <c r="A118" s="8">
        <v>45686.0</v>
      </c>
      <c r="B118" s="9">
        <f t="shared" si="8"/>
        <v>84</v>
      </c>
      <c r="C118" s="9">
        <v>71.93</v>
      </c>
      <c r="D118" s="10" t="s">
        <v>25</v>
      </c>
      <c r="E118" s="10" t="s">
        <v>26</v>
      </c>
      <c r="F118" s="10" t="s">
        <v>26</v>
      </c>
      <c r="G118" s="10" t="s">
        <v>26</v>
      </c>
      <c r="H118" s="10" t="s">
        <v>25</v>
      </c>
      <c r="I118" s="10" t="s">
        <v>27</v>
      </c>
      <c r="J118" s="10" t="s">
        <v>25</v>
      </c>
      <c r="K118" s="23" t="s">
        <v>266</v>
      </c>
      <c r="L118" s="5" t="s">
        <v>126</v>
      </c>
      <c r="M118" s="11" t="s">
        <v>267</v>
      </c>
      <c r="N118" s="11"/>
      <c r="O118" s="11"/>
      <c r="P118" s="11"/>
      <c r="Q118" s="11"/>
    </row>
    <row r="119" ht="15.75" hidden="1" customHeight="1">
      <c r="A119" s="8">
        <v>45687.0</v>
      </c>
      <c r="B119" s="9">
        <f t="shared" si="8"/>
        <v>88</v>
      </c>
      <c r="C119" s="9">
        <f>C118+0.71</f>
        <v>72.64</v>
      </c>
      <c r="D119" s="10" t="s">
        <v>25</v>
      </c>
      <c r="E119" s="10" t="s">
        <v>26</v>
      </c>
      <c r="F119" s="10" t="s">
        <v>26</v>
      </c>
      <c r="G119" s="10" t="s">
        <v>26</v>
      </c>
      <c r="H119" s="10" t="s">
        <v>25</v>
      </c>
      <c r="I119" s="10" t="s">
        <v>27</v>
      </c>
      <c r="J119" s="10" t="s">
        <v>25</v>
      </c>
      <c r="K119" s="23" t="s">
        <v>268</v>
      </c>
      <c r="L119" s="5" t="s">
        <v>29</v>
      </c>
      <c r="M119" s="11" t="s">
        <v>269</v>
      </c>
      <c r="N119" s="11"/>
      <c r="O119" s="11"/>
      <c r="P119" s="11"/>
      <c r="Q119" s="11"/>
    </row>
    <row r="120" ht="15.75" hidden="1" customHeight="1">
      <c r="A120" s="8">
        <v>45688.0</v>
      </c>
      <c r="B120" s="9">
        <f t="shared" si="8"/>
        <v>92</v>
      </c>
      <c r="C120" s="9">
        <v>73.52</v>
      </c>
      <c r="D120" s="10" t="s">
        <v>25</v>
      </c>
      <c r="E120" s="10" t="s">
        <v>26</v>
      </c>
      <c r="F120" s="10" t="s">
        <v>26</v>
      </c>
      <c r="G120" s="10" t="s">
        <v>26</v>
      </c>
      <c r="H120" s="10" t="s">
        <v>25</v>
      </c>
      <c r="I120" s="10" t="s">
        <v>27</v>
      </c>
      <c r="J120" s="10" t="s">
        <v>25</v>
      </c>
      <c r="K120" s="23" t="s">
        <v>270</v>
      </c>
      <c r="L120" s="5" t="s">
        <v>29</v>
      </c>
      <c r="M120" s="11" t="s">
        <v>271</v>
      </c>
      <c r="N120" s="11"/>
      <c r="O120" s="11"/>
      <c r="P120" s="11"/>
      <c r="Q120" s="11"/>
    </row>
    <row r="121" ht="15.75" hidden="1" customHeight="1">
      <c r="A121" s="8">
        <v>45689.0</v>
      </c>
      <c r="B121" s="9">
        <v>4.0</v>
      </c>
      <c r="C121" s="9">
        <v>0.73</v>
      </c>
      <c r="D121" s="10" t="s">
        <v>25</v>
      </c>
      <c r="E121" s="10" t="s">
        <v>26</v>
      </c>
      <c r="F121" s="10" t="s">
        <v>26</v>
      </c>
      <c r="G121" s="10" t="s">
        <v>26</v>
      </c>
      <c r="H121" s="10" t="s">
        <v>25</v>
      </c>
      <c r="I121" s="10" t="s">
        <v>27</v>
      </c>
      <c r="J121" s="10" t="s">
        <v>25</v>
      </c>
      <c r="K121" s="23" t="s">
        <v>272</v>
      </c>
      <c r="L121" s="5" t="s">
        <v>29</v>
      </c>
      <c r="M121" s="11" t="s">
        <v>273</v>
      </c>
      <c r="N121" s="11"/>
      <c r="O121" s="11"/>
      <c r="P121" s="11"/>
      <c r="Q121" s="11"/>
    </row>
    <row r="122" ht="15.75" hidden="1" customHeight="1">
      <c r="A122" s="8">
        <v>45691.0</v>
      </c>
      <c r="B122" s="9">
        <v>8.0</v>
      </c>
      <c r="C122" s="9">
        <v>1.77</v>
      </c>
      <c r="D122" s="10" t="s">
        <v>25</v>
      </c>
      <c r="E122" s="10" t="s">
        <v>26</v>
      </c>
      <c r="F122" s="10" t="s">
        <v>26</v>
      </c>
      <c r="G122" s="10" t="s">
        <v>26</v>
      </c>
      <c r="H122" s="10" t="s">
        <v>25</v>
      </c>
      <c r="I122" s="10" t="s">
        <v>27</v>
      </c>
      <c r="J122" s="10" t="s">
        <v>25</v>
      </c>
      <c r="K122" s="23" t="s">
        <v>274</v>
      </c>
      <c r="L122" s="5" t="s">
        <v>40</v>
      </c>
      <c r="M122" s="11" t="s">
        <v>275</v>
      </c>
      <c r="N122" s="11"/>
      <c r="O122" s="11"/>
      <c r="P122" s="11"/>
      <c r="Q122" s="11"/>
    </row>
    <row r="123" ht="15.75" hidden="1" customHeight="1">
      <c r="A123" s="8">
        <v>45692.0</v>
      </c>
      <c r="B123" s="9">
        <v>12.0</v>
      </c>
      <c r="C123" s="9">
        <f>C122+2.01</f>
        <v>3.78</v>
      </c>
      <c r="D123" s="10" t="s">
        <v>25</v>
      </c>
      <c r="E123" s="10" t="s">
        <v>26</v>
      </c>
      <c r="F123" s="10" t="s">
        <v>26</v>
      </c>
      <c r="G123" s="10" t="s">
        <v>26</v>
      </c>
      <c r="H123" s="10" t="s">
        <v>25</v>
      </c>
      <c r="I123" s="10" t="s">
        <v>27</v>
      </c>
      <c r="J123" s="10" t="s">
        <v>25</v>
      </c>
      <c r="K123" s="23" t="s">
        <v>276</v>
      </c>
      <c r="L123" s="5" t="s">
        <v>29</v>
      </c>
      <c r="M123" s="11" t="s">
        <v>277</v>
      </c>
      <c r="N123" s="11"/>
      <c r="O123" s="11"/>
      <c r="P123" s="11"/>
      <c r="Q123" s="11"/>
    </row>
    <row r="124" ht="15.75" hidden="1" customHeight="1">
      <c r="A124" s="8">
        <v>45693.0</v>
      </c>
      <c r="B124" s="9">
        <f t="shared" ref="B124:B144" si="9">B123+4</f>
        <v>16</v>
      </c>
      <c r="C124" s="9">
        <f>C123+1.9</f>
        <v>5.68</v>
      </c>
      <c r="D124" s="10" t="s">
        <v>25</v>
      </c>
      <c r="E124" s="10" t="s">
        <v>26</v>
      </c>
      <c r="F124" s="10" t="s">
        <v>26</v>
      </c>
      <c r="G124" s="10" t="s">
        <v>26</v>
      </c>
      <c r="H124" s="10" t="s">
        <v>155</v>
      </c>
      <c r="I124" s="10" t="s">
        <v>27</v>
      </c>
      <c r="J124" s="10" t="s">
        <v>25</v>
      </c>
      <c r="K124" s="23" t="s">
        <v>278</v>
      </c>
      <c r="L124" s="5" t="s">
        <v>126</v>
      </c>
      <c r="M124" s="23" t="s">
        <v>279</v>
      </c>
      <c r="N124" s="11" t="s">
        <v>280</v>
      </c>
      <c r="O124" s="11"/>
      <c r="P124" s="11"/>
      <c r="Q124" s="11"/>
    </row>
    <row r="125" ht="15.75" hidden="1" customHeight="1">
      <c r="A125" s="8">
        <v>45694.0</v>
      </c>
      <c r="B125" s="9">
        <f t="shared" si="9"/>
        <v>20</v>
      </c>
      <c r="C125" s="9">
        <f>C124+3.78</f>
        <v>9.46</v>
      </c>
      <c r="D125" s="10" t="s">
        <v>25</v>
      </c>
      <c r="E125" s="10" t="s">
        <v>26</v>
      </c>
      <c r="F125" s="10" t="s">
        <v>26</v>
      </c>
      <c r="G125" s="10" t="s">
        <v>26</v>
      </c>
      <c r="H125" s="10" t="s">
        <v>25</v>
      </c>
      <c r="I125" s="10" t="s">
        <v>27</v>
      </c>
      <c r="J125" s="10" t="s">
        <v>25</v>
      </c>
      <c r="K125" s="23" t="s">
        <v>281</v>
      </c>
      <c r="L125" s="5" t="s">
        <v>126</v>
      </c>
      <c r="M125" s="23" t="s">
        <v>282</v>
      </c>
      <c r="N125" s="11" t="s">
        <v>283</v>
      </c>
      <c r="O125" s="11" t="s">
        <v>284</v>
      </c>
      <c r="P125" s="11"/>
      <c r="Q125" s="11"/>
    </row>
    <row r="126" ht="15.75" hidden="1" customHeight="1">
      <c r="A126" s="8">
        <v>45695.0</v>
      </c>
      <c r="B126" s="9">
        <f t="shared" si="9"/>
        <v>24</v>
      </c>
      <c r="C126" s="9">
        <v>10.45</v>
      </c>
      <c r="D126" s="10" t="s">
        <v>25</v>
      </c>
      <c r="E126" s="10" t="s">
        <v>26</v>
      </c>
      <c r="F126" s="10" t="s">
        <v>26</v>
      </c>
      <c r="G126" s="10" t="s">
        <v>26</v>
      </c>
      <c r="H126" s="10" t="s">
        <v>25</v>
      </c>
      <c r="I126" s="10" t="s">
        <v>27</v>
      </c>
      <c r="J126" s="10" t="s">
        <v>25</v>
      </c>
      <c r="K126" s="23" t="s">
        <v>285</v>
      </c>
      <c r="L126" s="5" t="s">
        <v>126</v>
      </c>
      <c r="M126" s="11" t="s">
        <v>286</v>
      </c>
      <c r="N126" s="11" t="s">
        <v>287</v>
      </c>
      <c r="O126" s="11"/>
      <c r="P126" s="11"/>
      <c r="Q126" s="11"/>
    </row>
    <row r="127" ht="15.75" hidden="1" customHeight="1">
      <c r="A127" s="8">
        <v>45696.0</v>
      </c>
      <c r="B127" s="9">
        <f t="shared" si="9"/>
        <v>28</v>
      </c>
      <c r="C127" s="9">
        <v>13.12</v>
      </c>
      <c r="D127" s="10" t="s">
        <v>25</v>
      </c>
      <c r="E127" s="10" t="s">
        <v>26</v>
      </c>
      <c r="F127" s="10" t="s">
        <v>26</v>
      </c>
      <c r="G127" s="10" t="s">
        <v>26</v>
      </c>
      <c r="H127" s="10" t="s">
        <v>25</v>
      </c>
      <c r="I127" s="10" t="s">
        <v>27</v>
      </c>
      <c r="J127" s="10" t="s">
        <v>25</v>
      </c>
      <c r="K127" s="23" t="s">
        <v>288</v>
      </c>
      <c r="L127" s="5" t="s">
        <v>126</v>
      </c>
      <c r="M127" s="11" t="s">
        <v>289</v>
      </c>
      <c r="N127" s="11" t="s">
        <v>287</v>
      </c>
      <c r="O127" s="11"/>
      <c r="P127" s="11"/>
      <c r="Q127" s="11"/>
    </row>
    <row r="128" ht="15.75" hidden="1" customHeight="1">
      <c r="A128" s="8">
        <v>45698.0</v>
      </c>
      <c r="B128" s="9">
        <f t="shared" si="9"/>
        <v>32</v>
      </c>
      <c r="C128" s="9">
        <f>C127+2.26</f>
        <v>15.38</v>
      </c>
      <c r="D128" s="10" t="s">
        <v>25</v>
      </c>
      <c r="E128" s="10" t="s">
        <v>26</v>
      </c>
      <c r="F128" s="10" t="s">
        <v>26</v>
      </c>
      <c r="G128" s="10" t="s">
        <v>26</v>
      </c>
      <c r="H128" s="10" t="s">
        <v>25</v>
      </c>
      <c r="I128" s="10" t="s">
        <v>27</v>
      </c>
      <c r="J128" s="10" t="s">
        <v>25</v>
      </c>
      <c r="K128" s="23" t="s">
        <v>290</v>
      </c>
      <c r="L128" s="5" t="s">
        <v>126</v>
      </c>
      <c r="M128" s="11" t="s">
        <v>291</v>
      </c>
      <c r="N128" s="11" t="s">
        <v>292</v>
      </c>
      <c r="O128" s="11" t="s">
        <v>293</v>
      </c>
      <c r="P128" s="11" t="s">
        <v>294</v>
      </c>
      <c r="Q128" s="11"/>
    </row>
    <row r="129" ht="15.75" hidden="1" customHeight="1">
      <c r="A129" s="8">
        <v>45699.0</v>
      </c>
      <c r="B129" s="9">
        <f t="shared" si="9"/>
        <v>36</v>
      </c>
      <c r="C129" s="9">
        <v>16.36</v>
      </c>
      <c r="D129" s="10" t="s">
        <v>25</v>
      </c>
      <c r="E129" s="10" t="s">
        <v>26</v>
      </c>
      <c r="F129" s="10" t="s">
        <v>26</v>
      </c>
      <c r="G129" s="10" t="s">
        <v>26</v>
      </c>
      <c r="H129" s="10" t="s">
        <v>25</v>
      </c>
      <c r="I129" s="10" t="s">
        <v>27</v>
      </c>
      <c r="J129" s="10" t="s">
        <v>25</v>
      </c>
      <c r="K129" s="23" t="s">
        <v>295</v>
      </c>
      <c r="L129" s="5" t="s">
        <v>126</v>
      </c>
      <c r="M129" s="11" t="s">
        <v>296</v>
      </c>
      <c r="N129" s="11" t="s">
        <v>297</v>
      </c>
      <c r="O129" s="11"/>
      <c r="P129" s="11"/>
      <c r="Q129" s="11"/>
    </row>
    <row r="130" ht="15.75" hidden="1" customHeight="1">
      <c r="A130" s="8">
        <v>45700.0</v>
      </c>
      <c r="B130" s="9">
        <f t="shared" si="9"/>
        <v>40</v>
      </c>
      <c r="C130" s="9">
        <v>17.83</v>
      </c>
      <c r="D130" s="10" t="s">
        <v>25</v>
      </c>
      <c r="E130" s="10" t="s">
        <v>26</v>
      </c>
      <c r="F130" s="10" t="s">
        <v>26</v>
      </c>
      <c r="G130" s="10" t="s">
        <v>26</v>
      </c>
      <c r="H130" s="10" t="s">
        <v>25</v>
      </c>
      <c r="I130" s="10" t="s">
        <v>27</v>
      </c>
      <c r="J130" s="10" t="s">
        <v>25</v>
      </c>
      <c r="K130" s="23" t="s">
        <v>298</v>
      </c>
      <c r="L130" s="5" t="s">
        <v>126</v>
      </c>
      <c r="M130" s="11" t="s">
        <v>299</v>
      </c>
      <c r="N130" s="11" t="s">
        <v>300</v>
      </c>
      <c r="O130" s="11"/>
      <c r="P130" s="11"/>
      <c r="Q130" s="11"/>
    </row>
    <row r="131" ht="15.75" hidden="1" customHeight="1">
      <c r="A131" s="8">
        <v>45701.0</v>
      </c>
      <c r="B131" s="9">
        <f t="shared" si="9"/>
        <v>44</v>
      </c>
      <c r="C131" s="9">
        <f>C130+2.23</f>
        <v>20.06</v>
      </c>
      <c r="D131" s="10" t="s">
        <v>25</v>
      </c>
      <c r="E131" s="10" t="s">
        <v>26</v>
      </c>
      <c r="F131" s="10" t="s">
        <v>26</v>
      </c>
      <c r="G131" s="10" t="s">
        <v>26</v>
      </c>
      <c r="H131" s="10" t="s">
        <v>25</v>
      </c>
      <c r="I131" s="10" t="s">
        <v>27</v>
      </c>
      <c r="J131" s="10" t="s">
        <v>25</v>
      </c>
      <c r="K131" s="23" t="s">
        <v>301</v>
      </c>
      <c r="L131" s="5" t="s">
        <v>126</v>
      </c>
      <c r="M131" s="11" t="s">
        <v>302</v>
      </c>
      <c r="N131" s="11" t="s">
        <v>303</v>
      </c>
      <c r="O131" s="11" t="s">
        <v>304</v>
      </c>
      <c r="P131" s="11"/>
      <c r="Q131" s="11"/>
    </row>
    <row r="132" ht="15.75" hidden="1" customHeight="1">
      <c r="A132" s="8">
        <v>45702.0</v>
      </c>
      <c r="B132" s="9">
        <f t="shared" si="9"/>
        <v>48</v>
      </c>
      <c r="C132" s="9">
        <v>21.15</v>
      </c>
      <c r="D132" s="10" t="s">
        <v>25</v>
      </c>
      <c r="E132" s="10" t="s">
        <v>26</v>
      </c>
      <c r="F132" s="10" t="s">
        <v>26</v>
      </c>
      <c r="G132" s="10" t="s">
        <v>26</v>
      </c>
      <c r="H132" s="10" t="s">
        <v>25</v>
      </c>
      <c r="I132" s="10" t="s">
        <v>27</v>
      </c>
      <c r="J132" s="10" t="s">
        <v>25</v>
      </c>
      <c r="K132" s="23" t="s">
        <v>305</v>
      </c>
      <c r="L132" s="5" t="s">
        <v>126</v>
      </c>
      <c r="M132" s="11" t="s">
        <v>306</v>
      </c>
      <c r="N132" s="11" t="s">
        <v>307</v>
      </c>
      <c r="O132" s="11"/>
      <c r="P132" s="11"/>
      <c r="Q132" s="11"/>
    </row>
    <row r="133" ht="15.75" hidden="1" customHeight="1">
      <c r="A133" s="8">
        <v>45703.0</v>
      </c>
      <c r="B133" s="9">
        <f t="shared" si="9"/>
        <v>52</v>
      </c>
      <c r="C133" s="9">
        <f>C132+0.16</f>
        <v>21.31</v>
      </c>
      <c r="D133" s="10" t="s">
        <v>25</v>
      </c>
      <c r="E133" s="10" t="s">
        <v>26</v>
      </c>
      <c r="F133" s="10" t="s">
        <v>26</v>
      </c>
      <c r="G133" s="10" t="s">
        <v>26</v>
      </c>
      <c r="H133" s="10" t="s">
        <v>25</v>
      </c>
      <c r="I133" s="10" t="s">
        <v>27</v>
      </c>
      <c r="J133" s="10" t="s">
        <v>25</v>
      </c>
      <c r="K133" s="23" t="s">
        <v>308</v>
      </c>
      <c r="L133" s="5" t="s">
        <v>126</v>
      </c>
      <c r="M133" s="11" t="s">
        <v>309</v>
      </c>
      <c r="N133" s="11" t="s">
        <v>310</v>
      </c>
      <c r="O133" s="11"/>
      <c r="P133" s="11"/>
      <c r="Q133" s="11"/>
    </row>
    <row r="134" ht="15.75" hidden="1" customHeight="1">
      <c r="A134" s="8">
        <v>45705.0</v>
      </c>
      <c r="B134" s="9">
        <f t="shared" si="9"/>
        <v>56</v>
      </c>
      <c r="C134" s="9">
        <v>24.39</v>
      </c>
      <c r="D134" s="10" t="s">
        <v>25</v>
      </c>
      <c r="E134" s="10" t="s">
        <v>26</v>
      </c>
      <c r="F134" s="10" t="s">
        <v>26</v>
      </c>
      <c r="G134" s="10" t="s">
        <v>26</v>
      </c>
      <c r="H134" s="10" t="s">
        <v>25</v>
      </c>
      <c r="I134" s="10" t="s">
        <v>27</v>
      </c>
      <c r="J134" s="10" t="s">
        <v>25</v>
      </c>
      <c r="K134" s="23" t="s">
        <v>311</v>
      </c>
      <c r="L134" s="5" t="s">
        <v>126</v>
      </c>
      <c r="M134" s="11" t="s">
        <v>312</v>
      </c>
      <c r="N134" s="11" t="s">
        <v>313</v>
      </c>
      <c r="O134" s="11"/>
      <c r="P134" s="11"/>
      <c r="Q134" s="11"/>
    </row>
    <row r="135" ht="15.75" hidden="1" customHeight="1">
      <c r="A135" s="8">
        <v>45706.0</v>
      </c>
      <c r="B135" s="9">
        <f t="shared" si="9"/>
        <v>60</v>
      </c>
      <c r="C135" s="9">
        <f>C134+1.4</f>
        <v>25.79</v>
      </c>
      <c r="D135" s="10" t="s">
        <v>25</v>
      </c>
      <c r="E135" s="10" t="s">
        <v>26</v>
      </c>
      <c r="F135" s="10" t="s">
        <v>26</v>
      </c>
      <c r="G135" s="10" t="s">
        <v>26</v>
      </c>
      <c r="H135" s="10" t="s">
        <v>25</v>
      </c>
      <c r="I135" s="10" t="s">
        <v>27</v>
      </c>
      <c r="J135" s="10" t="s">
        <v>25</v>
      </c>
      <c r="K135" s="23" t="s">
        <v>314</v>
      </c>
      <c r="L135" s="5" t="s">
        <v>126</v>
      </c>
      <c r="M135" s="11" t="s">
        <v>315</v>
      </c>
      <c r="N135" s="11" t="s">
        <v>316</v>
      </c>
      <c r="O135" s="11"/>
      <c r="P135" s="11"/>
      <c r="Q135" s="11"/>
    </row>
    <row r="136" ht="15.75" hidden="1" customHeight="1">
      <c r="A136" s="8">
        <v>45707.0</v>
      </c>
      <c r="B136" s="9">
        <f t="shared" si="9"/>
        <v>64</v>
      </c>
      <c r="C136" s="9">
        <f>C135+1.3</f>
        <v>27.09</v>
      </c>
      <c r="D136" s="10" t="s">
        <v>25</v>
      </c>
      <c r="E136" s="10" t="s">
        <v>26</v>
      </c>
      <c r="F136" s="10" t="s">
        <v>26</v>
      </c>
      <c r="G136" s="10" t="s">
        <v>26</v>
      </c>
      <c r="H136" s="10" t="s">
        <v>155</v>
      </c>
      <c r="I136" s="10" t="s">
        <v>27</v>
      </c>
      <c r="J136" s="10" t="s">
        <v>25</v>
      </c>
      <c r="K136" s="23" t="s">
        <v>317</v>
      </c>
      <c r="L136" s="5" t="s">
        <v>126</v>
      </c>
      <c r="M136" s="11" t="s">
        <v>318</v>
      </c>
      <c r="N136" s="11" t="s">
        <v>319</v>
      </c>
      <c r="O136" s="11"/>
      <c r="P136" s="11"/>
      <c r="Q136" s="11"/>
    </row>
    <row r="137" ht="15.75" hidden="1" customHeight="1">
      <c r="A137" s="8">
        <v>45708.0</v>
      </c>
      <c r="B137" s="9">
        <f t="shared" si="9"/>
        <v>68</v>
      </c>
      <c r="C137" s="9">
        <v>31.57</v>
      </c>
      <c r="D137" s="10" t="s">
        <v>25</v>
      </c>
      <c r="E137" s="10" t="s">
        <v>26</v>
      </c>
      <c r="F137" s="10" t="s">
        <v>26</v>
      </c>
      <c r="G137" s="10" t="s">
        <v>26</v>
      </c>
      <c r="H137" s="10" t="s">
        <v>25</v>
      </c>
      <c r="I137" s="10" t="s">
        <v>27</v>
      </c>
      <c r="J137" s="10" t="s">
        <v>25</v>
      </c>
      <c r="K137" s="23" t="s">
        <v>320</v>
      </c>
      <c r="L137" s="5" t="s">
        <v>126</v>
      </c>
      <c r="M137" s="11" t="s">
        <v>321</v>
      </c>
      <c r="N137" s="11" t="s">
        <v>322</v>
      </c>
      <c r="O137" s="11"/>
      <c r="P137" s="11"/>
      <c r="Q137" s="11"/>
    </row>
    <row r="138" ht="15.75" hidden="1" customHeight="1">
      <c r="A138" s="8">
        <v>45709.0</v>
      </c>
      <c r="B138" s="9">
        <f t="shared" si="9"/>
        <v>72</v>
      </c>
      <c r="C138" s="9">
        <f>C137+2.37</f>
        <v>33.94</v>
      </c>
      <c r="D138" s="10" t="s">
        <v>25</v>
      </c>
      <c r="E138" s="10" t="s">
        <v>26</v>
      </c>
      <c r="F138" s="10" t="s">
        <v>26</v>
      </c>
      <c r="G138" s="10" t="s">
        <v>26</v>
      </c>
      <c r="H138" s="10" t="s">
        <v>25</v>
      </c>
      <c r="I138" s="10" t="s">
        <v>27</v>
      </c>
      <c r="J138" s="10" t="s">
        <v>25</v>
      </c>
      <c r="K138" s="23" t="s">
        <v>323</v>
      </c>
      <c r="L138" s="5" t="s">
        <v>126</v>
      </c>
      <c r="M138" s="11" t="s">
        <v>324</v>
      </c>
      <c r="N138" s="11" t="s">
        <v>325</v>
      </c>
      <c r="O138" s="11"/>
      <c r="P138" s="11"/>
      <c r="Q138" s="11"/>
    </row>
    <row r="139" ht="15.75" hidden="1" customHeight="1">
      <c r="A139" s="8">
        <v>45710.0</v>
      </c>
      <c r="B139" s="9">
        <f t="shared" si="9"/>
        <v>76</v>
      </c>
      <c r="C139" s="9">
        <v>34.1</v>
      </c>
      <c r="D139" s="10" t="s">
        <v>25</v>
      </c>
      <c r="E139" s="10" t="s">
        <v>26</v>
      </c>
      <c r="F139" s="10" t="s">
        <v>26</v>
      </c>
      <c r="G139" s="10" t="s">
        <v>26</v>
      </c>
      <c r="H139" s="10" t="s">
        <v>25</v>
      </c>
      <c r="I139" s="10" t="s">
        <v>27</v>
      </c>
      <c r="J139" s="10" t="s">
        <v>25</v>
      </c>
      <c r="K139" s="23" t="s">
        <v>326</v>
      </c>
      <c r="L139" s="5" t="s">
        <v>126</v>
      </c>
      <c r="M139" s="11" t="s">
        <v>327</v>
      </c>
      <c r="N139" s="11" t="s">
        <v>328</v>
      </c>
      <c r="O139" s="11"/>
      <c r="P139" s="11"/>
      <c r="Q139" s="11"/>
    </row>
    <row r="140" ht="15.75" hidden="1" customHeight="1">
      <c r="A140" s="8">
        <v>45712.0</v>
      </c>
      <c r="B140" s="9">
        <f t="shared" si="9"/>
        <v>80</v>
      </c>
      <c r="C140" s="9">
        <v>35.35</v>
      </c>
      <c r="D140" s="10" t="s">
        <v>26</v>
      </c>
      <c r="E140" s="10" t="s">
        <v>26</v>
      </c>
      <c r="F140" s="10" t="s">
        <v>26</v>
      </c>
      <c r="G140" s="10" t="s">
        <v>26</v>
      </c>
      <c r="H140" s="10" t="s">
        <v>25</v>
      </c>
      <c r="I140" s="10" t="s">
        <v>27</v>
      </c>
      <c r="J140" s="10" t="s">
        <v>25</v>
      </c>
      <c r="K140" s="23" t="s">
        <v>329</v>
      </c>
      <c r="L140" s="5" t="s">
        <v>126</v>
      </c>
      <c r="M140" s="11" t="s">
        <v>330</v>
      </c>
      <c r="N140" s="11" t="s">
        <v>331</v>
      </c>
      <c r="O140" s="11"/>
      <c r="P140" s="11"/>
      <c r="Q140" s="11"/>
    </row>
    <row r="141" ht="15.75" hidden="1" customHeight="1">
      <c r="A141" s="8">
        <v>45713.0</v>
      </c>
      <c r="B141" s="9">
        <f t="shared" si="9"/>
        <v>84</v>
      </c>
      <c r="C141" s="9">
        <f>C140+2.32</f>
        <v>37.67</v>
      </c>
      <c r="D141" s="10" t="s">
        <v>26</v>
      </c>
      <c r="E141" s="10" t="s">
        <v>26</v>
      </c>
      <c r="F141" s="10" t="s">
        <v>26</v>
      </c>
      <c r="G141" s="10" t="s">
        <v>26</v>
      </c>
      <c r="H141" s="10" t="s">
        <v>25</v>
      </c>
      <c r="I141" s="10" t="s">
        <v>27</v>
      </c>
      <c r="J141" s="10" t="s">
        <v>25</v>
      </c>
      <c r="K141" s="23" t="s">
        <v>332</v>
      </c>
      <c r="L141" s="5" t="s">
        <v>126</v>
      </c>
      <c r="M141" s="11" t="s">
        <v>333</v>
      </c>
      <c r="N141" s="11" t="s">
        <v>334</v>
      </c>
      <c r="O141" s="11" t="s">
        <v>335</v>
      </c>
      <c r="P141" s="11"/>
      <c r="Q141" s="11"/>
    </row>
    <row r="142" ht="15.75" hidden="1" customHeight="1">
      <c r="A142" s="8">
        <v>45714.0</v>
      </c>
      <c r="B142" s="9">
        <f t="shared" si="9"/>
        <v>88</v>
      </c>
      <c r="C142" s="9">
        <v>38.56</v>
      </c>
      <c r="D142" s="10" t="s">
        <v>26</v>
      </c>
      <c r="E142" s="10" t="s">
        <v>26</v>
      </c>
      <c r="F142" s="10" t="s">
        <v>26</v>
      </c>
      <c r="G142" s="10" t="s">
        <v>26</v>
      </c>
      <c r="H142" s="10" t="s">
        <v>25</v>
      </c>
      <c r="I142" s="10" t="s">
        <v>27</v>
      </c>
      <c r="J142" s="10" t="s">
        <v>25</v>
      </c>
      <c r="K142" s="23" t="s">
        <v>336</v>
      </c>
      <c r="L142" s="5" t="s">
        <v>126</v>
      </c>
      <c r="M142" s="11" t="s">
        <v>337</v>
      </c>
      <c r="N142" s="11" t="s">
        <v>338</v>
      </c>
      <c r="O142" s="11" t="s">
        <v>339</v>
      </c>
      <c r="P142" s="11" t="s">
        <v>340</v>
      </c>
      <c r="Q142" s="11"/>
    </row>
    <row r="143" ht="15.75" hidden="1" customHeight="1">
      <c r="A143" s="8">
        <v>45715.0</v>
      </c>
      <c r="B143" s="9">
        <f t="shared" si="9"/>
        <v>92</v>
      </c>
      <c r="C143" s="9">
        <v>39.94</v>
      </c>
      <c r="D143" s="10" t="s">
        <v>25</v>
      </c>
      <c r="E143" s="10" t="s">
        <v>26</v>
      </c>
      <c r="F143" s="10" t="s">
        <v>26</v>
      </c>
      <c r="G143" s="10" t="s">
        <v>26</v>
      </c>
      <c r="H143" s="10" t="s">
        <v>25</v>
      </c>
      <c r="I143" s="10" t="s">
        <v>27</v>
      </c>
      <c r="J143" s="10" t="s">
        <v>25</v>
      </c>
      <c r="K143" s="23" t="s">
        <v>341</v>
      </c>
      <c r="L143" s="5" t="s">
        <v>126</v>
      </c>
      <c r="M143" s="11" t="s">
        <v>342</v>
      </c>
      <c r="N143" s="11" t="s">
        <v>343</v>
      </c>
      <c r="O143" s="11"/>
      <c r="P143" s="11" t="s">
        <v>344</v>
      </c>
      <c r="Q143" s="21" t="s">
        <v>345</v>
      </c>
    </row>
    <row r="144" ht="15.75" hidden="1" customHeight="1">
      <c r="A144" s="8">
        <v>45716.0</v>
      </c>
      <c r="B144" s="9">
        <f t="shared" si="9"/>
        <v>96</v>
      </c>
      <c r="C144" s="9">
        <v>40.5</v>
      </c>
      <c r="D144" s="10" t="s">
        <v>25</v>
      </c>
      <c r="E144" s="10" t="s">
        <v>26</v>
      </c>
      <c r="F144" s="10" t="s">
        <v>26</v>
      </c>
      <c r="G144" s="10" t="s">
        <v>26</v>
      </c>
      <c r="H144" s="10" t="s">
        <v>25</v>
      </c>
      <c r="I144" s="10" t="s">
        <v>27</v>
      </c>
      <c r="J144" s="10" t="s">
        <v>25</v>
      </c>
      <c r="K144" s="23" t="s">
        <v>346</v>
      </c>
      <c r="L144" s="5" t="s">
        <v>126</v>
      </c>
      <c r="M144" s="11" t="s">
        <v>309</v>
      </c>
      <c r="N144" s="11" t="s">
        <v>347</v>
      </c>
      <c r="O144" s="11"/>
      <c r="P144" s="11"/>
      <c r="Q144" s="11"/>
    </row>
    <row r="145" ht="15.75" hidden="1" customHeight="1">
      <c r="A145" s="8">
        <v>45717.0</v>
      </c>
      <c r="B145" s="9">
        <v>4.0</v>
      </c>
      <c r="C145" s="9">
        <v>3.89</v>
      </c>
      <c r="D145" s="10" t="s">
        <v>25</v>
      </c>
      <c r="E145" s="10" t="s">
        <v>26</v>
      </c>
      <c r="F145" s="10" t="s">
        <v>26</v>
      </c>
      <c r="G145" s="10" t="s">
        <v>26</v>
      </c>
      <c r="H145" s="10" t="s">
        <v>25</v>
      </c>
      <c r="I145" s="10" t="s">
        <v>27</v>
      </c>
      <c r="J145" s="10" t="s">
        <v>25</v>
      </c>
      <c r="K145" s="23" t="s">
        <v>348</v>
      </c>
      <c r="L145" s="5" t="s">
        <v>126</v>
      </c>
      <c r="M145" s="11" t="s">
        <v>349</v>
      </c>
      <c r="N145" s="11" t="s">
        <v>350</v>
      </c>
      <c r="O145" s="11"/>
      <c r="P145" s="11"/>
      <c r="Q145" s="11"/>
    </row>
    <row r="146" ht="15.75" hidden="1" customHeight="1">
      <c r="A146" s="8">
        <v>45719.0</v>
      </c>
      <c r="B146" s="9">
        <f t="shared" ref="B146:B169" si="10">B145+4</f>
        <v>8</v>
      </c>
      <c r="C146" s="9">
        <f>C145+3.75</f>
        <v>7.64</v>
      </c>
      <c r="D146" s="10" t="s">
        <v>25</v>
      </c>
      <c r="E146" s="10" t="s">
        <v>26</v>
      </c>
      <c r="F146" s="10" t="s">
        <v>26</v>
      </c>
      <c r="G146" s="10" t="s">
        <v>26</v>
      </c>
      <c r="H146" s="10" t="s">
        <v>25</v>
      </c>
      <c r="I146" s="10" t="s">
        <v>27</v>
      </c>
      <c r="J146" s="10" t="s">
        <v>25</v>
      </c>
      <c r="K146" s="23" t="s">
        <v>351</v>
      </c>
      <c r="L146" s="5" t="s">
        <v>126</v>
      </c>
      <c r="M146" s="11" t="s">
        <v>352</v>
      </c>
      <c r="N146" s="11" t="s">
        <v>353</v>
      </c>
      <c r="O146" s="11"/>
      <c r="P146" s="11"/>
      <c r="Q146" s="11"/>
    </row>
    <row r="147" ht="15.75" hidden="1" customHeight="1">
      <c r="A147" s="8">
        <v>45720.0</v>
      </c>
      <c r="B147" s="9">
        <f t="shared" si="10"/>
        <v>12</v>
      </c>
      <c r="C147" s="9">
        <v>10.39</v>
      </c>
      <c r="D147" s="10" t="s">
        <v>25</v>
      </c>
      <c r="E147" s="10" t="s">
        <v>26</v>
      </c>
      <c r="F147" s="10" t="s">
        <v>26</v>
      </c>
      <c r="G147" s="10" t="s">
        <v>26</v>
      </c>
      <c r="H147" s="10" t="s">
        <v>25</v>
      </c>
      <c r="I147" s="10" t="s">
        <v>27</v>
      </c>
      <c r="J147" s="10" t="s">
        <v>25</v>
      </c>
      <c r="K147" s="23" t="s">
        <v>354</v>
      </c>
      <c r="L147" s="5" t="s">
        <v>126</v>
      </c>
      <c r="M147" s="11" t="s">
        <v>355</v>
      </c>
      <c r="N147" s="11" t="s">
        <v>356</v>
      </c>
      <c r="O147" s="11"/>
      <c r="P147" s="11"/>
      <c r="Q147" s="11"/>
    </row>
    <row r="148" ht="15.75" hidden="1" customHeight="1">
      <c r="A148" s="8">
        <v>45721.0</v>
      </c>
      <c r="B148" s="9">
        <f t="shared" si="10"/>
        <v>16</v>
      </c>
      <c r="C148" s="9">
        <v>12.05</v>
      </c>
      <c r="D148" s="10" t="s">
        <v>25</v>
      </c>
      <c r="E148" s="10" t="s">
        <v>26</v>
      </c>
      <c r="F148" s="10" t="s">
        <v>26</v>
      </c>
      <c r="G148" s="10" t="s">
        <v>26</v>
      </c>
      <c r="H148" s="10" t="s">
        <v>25</v>
      </c>
      <c r="I148" s="10" t="s">
        <v>27</v>
      </c>
      <c r="J148" s="10" t="s">
        <v>25</v>
      </c>
      <c r="K148" s="23" t="s">
        <v>357</v>
      </c>
      <c r="L148" s="5" t="s">
        <v>40</v>
      </c>
      <c r="M148" s="11" t="s">
        <v>358</v>
      </c>
      <c r="N148" s="11"/>
      <c r="O148" s="11"/>
      <c r="P148" s="11"/>
      <c r="Q148" s="11"/>
    </row>
    <row r="149" ht="15.75" hidden="1" customHeight="1">
      <c r="A149" s="8">
        <v>45722.0</v>
      </c>
      <c r="B149" s="9">
        <f t="shared" si="10"/>
        <v>20</v>
      </c>
      <c r="C149" s="9">
        <v>14.44</v>
      </c>
      <c r="D149" s="10" t="s">
        <v>25</v>
      </c>
      <c r="E149" s="10" t="s">
        <v>26</v>
      </c>
      <c r="F149" s="10" t="s">
        <v>26</v>
      </c>
      <c r="G149" s="10" t="s">
        <v>26</v>
      </c>
      <c r="H149" s="10" t="s">
        <v>25</v>
      </c>
      <c r="I149" s="10" t="s">
        <v>27</v>
      </c>
      <c r="J149" s="10" t="s">
        <v>25</v>
      </c>
      <c r="K149" s="23" t="s">
        <v>359</v>
      </c>
      <c r="L149" s="5" t="s">
        <v>40</v>
      </c>
      <c r="M149" s="11" t="s">
        <v>360</v>
      </c>
      <c r="N149" s="11"/>
      <c r="O149" s="11"/>
      <c r="P149" s="11"/>
      <c r="Q149" s="11"/>
    </row>
    <row r="150" ht="15.75" hidden="1" customHeight="1">
      <c r="A150" s="8">
        <v>45723.0</v>
      </c>
      <c r="B150" s="9">
        <f t="shared" si="10"/>
        <v>24</v>
      </c>
      <c r="C150" s="9">
        <v>17.32</v>
      </c>
      <c r="D150" s="10" t="s">
        <v>25</v>
      </c>
      <c r="E150" s="10" t="s">
        <v>26</v>
      </c>
      <c r="F150" s="10" t="s">
        <v>26</v>
      </c>
      <c r="G150" s="10" t="s">
        <v>26</v>
      </c>
      <c r="H150" s="10" t="s">
        <v>25</v>
      </c>
      <c r="I150" s="10" t="s">
        <v>27</v>
      </c>
      <c r="J150" s="10" t="s">
        <v>25</v>
      </c>
      <c r="K150" s="23" t="s">
        <v>361</v>
      </c>
      <c r="L150" s="5" t="s">
        <v>40</v>
      </c>
      <c r="M150" s="11" t="s">
        <v>362</v>
      </c>
      <c r="N150" s="11"/>
      <c r="O150" s="11"/>
      <c r="P150" s="11"/>
      <c r="Q150" s="11"/>
    </row>
    <row r="151" ht="15.75" hidden="1" customHeight="1">
      <c r="A151" s="8">
        <v>45724.0</v>
      </c>
      <c r="B151" s="9">
        <f t="shared" si="10"/>
        <v>28</v>
      </c>
      <c r="C151" s="9">
        <v>19.77</v>
      </c>
      <c r="D151" s="10" t="s">
        <v>25</v>
      </c>
      <c r="E151" s="10" t="s">
        <v>26</v>
      </c>
      <c r="F151" s="10" t="s">
        <v>26</v>
      </c>
      <c r="G151" s="10" t="s">
        <v>26</v>
      </c>
      <c r="H151" s="10" t="s">
        <v>25</v>
      </c>
      <c r="I151" s="10" t="s">
        <v>27</v>
      </c>
      <c r="J151" s="10" t="s">
        <v>25</v>
      </c>
      <c r="K151" s="23" t="s">
        <v>363</v>
      </c>
      <c r="L151" s="5" t="s">
        <v>126</v>
      </c>
      <c r="M151" s="11" t="s">
        <v>364</v>
      </c>
      <c r="N151" s="11" t="s">
        <v>365</v>
      </c>
      <c r="O151" s="11"/>
      <c r="P151" s="11"/>
      <c r="Q151" s="11"/>
    </row>
    <row r="152" ht="15.75" hidden="1" customHeight="1">
      <c r="A152" s="8">
        <v>45726.0</v>
      </c>
      <c r="B152" s="9">
        <f t="shared" si="10"/>
        <v>32</v>
      </c>
      <c r="C152" s="9">
        <v>22.14</v>
      </c>
      <c r="D152" s="10" t="s">
        <v>25</v>
      </c>
      <c r="E152" s="10" t="s">
        <v>26</v>
      </c>
      <c r="F152" s="10" t="s">
        <v>26</v>
      </c>
      <c r="G152" s="10" t="s">
        <v>26</v>
      </c>
      <c r="H152" s="10" t="s">
        <v>25</v>
      </c>
      <c r="I152" s="10" t="s">
        <v>27</v>
      </c>
      <c r="J152" s="10" t="s">
        <v>25</v>
      </c>
      <c r="K152" s="23" t="s">
        <v>366</v>
      </c>
      <c r="L152" s="5" t="s">
        <v>126</v>
      </c>
      <c r="M152" s="11" t="s">
        <v>367</v>
      </c>
      <c r="N152" s="11" t="s">
        <v>368</v>
      </c>
      <c r="O152" s="11"/>
      <c r="P152" s="11"/>
      <c r="Q152" s="11"/>
    </row>
    <row r="153" ht="15.75" hidden="1" customHeight="1">
      <c r="A153" s="8">
        <v>45727.0</v>
      </c>
      <c r="B153" s="9">
        <f t="shared" si="10"/>
        <v>36</v>
      </c>
      <c r="C153" s="9">
        <f>C152+1.5</f>
        <v>23.64</v>
      </c>
      <c r="D153" s="10" t="s">
        <v>25</v>
      </c>
      <c r="E153" s="10" t="s">
        <v>26</v>
      </c>
      <c r="F153" s="10" t="s">
        <v>26</v>
      </c>
      <c r="G153" s="10" t="s">
        <v>26</v>
      </c>
      <c r="H153" s="10" t="s">
        <v>25</v>
      </c>
      <c r="I153" s="10" t="s">
        <v>27</v>
      </c>
      <c r="J153" s="10" t="s">
        <v>25</v>
      </c>
      <c r="K153" s="23" t="s">
        <v>369</v>
      </c>
      <c r="L153" s="5" t="s">
        <v>126</v>
      </c>
      <c r="M153" s="11" t="s">
        <v>370</v>
      </c>
      <c r="N153" s="11" t="s">
        <v>371</v>
      </c>
      <c r="O153" s="11"/>
      <c r="P153" s="11"/>
      <c r="Q153" s="11"/>
    </row>
    <row r="154" ht="15.75" hidden="1" customHeight="1">
      <c r="A154" s="8">
        <v>45728.0</v>
      </c>
      <c r="B154" s="9">
        <f t="shared" si="10"/>
        <v>40</v>
      </c>
      <c r="C154" s="9">
        <f>C153+3.67</f>
        <v>27.31</v>
      </c>
      <c r="D154" s="10" t="s">
        <v>25</v>
      </c>
      <c r="E154" s="10" t="s">
        <v>26</v>
      </c>
      <c r="F154" s="10" t="s">
        <v>26</v>
      </c>
      <c r="G154" s="10" t="s">
        <v>26</v>
      </c>
      <c r="H154" s="10" t="s">
        <v>25</v>
      </c>
      <c r="I154" s="10" t="s">
        <v>27</v>
      </c>
      <c r="J154" s="10" t="s">
        <v>25</v>
      </c>
      <c r="K154" s="23" t="s">
        <v>372</v>
      </c>
      <c r="L154" s="5" t="s">
        <v>126</v>
      </c>
      <c r="M154" s="11" t="s">
        <v>373</v>
      </c>
      <c r="N154" s="11" t="s">
        <v>374</v>
      </c>
      <c r="O154" s="11" t="s">
        <v>375</v>
      </c>
      <c r="P154" s="11" t="s">
        <v>376</v>
      </c>
      <c r="Q154" s="11"/>
    </row>
    <row r="155" ht="15.75" hidden="1" customHeight="1">
      <c r="A155" s="8">
        <v>45729.0</v>
      </c>
      <c r="B155" s="9">
        <f t="shared" si="10"/>
        <v>44</v>
      </c>
      <c r="C155" s="9">
        <f>C154+0.64</f>
        <v>27.95</v>
      </c>
      <c r="D155" s="10" t="s">
        <v>25</v>
      </c>
      <c r="E155" s="10" t="s">
        <v>26</v>
      </c>
      <c r="F155" s="10" t="s">
        <v>26</v>
      </c>
      <c r="G155" s="10" t="s">
        <v>25</v>
      </c>
      <c r="H155" s="10" t="s">
        <v>25</v>
      </c>
      <c r="I155" s="10" t="s">
        <v>27</v>
      </c>
      <c r="J155" s="10" t="s">
        <v>25</v>
      </c>
      <c r="K155" s="23" t="s">
        <v>377</v>
      </c>
      <c r="L155" s="5" t="s">
        <v>126</v>
      </c>
      <c r="M155" s="11" t="s">
        <v>378</v>
      </c>
      <c r="N155" s="11" t="s">
        <v>379</v>
      </c>
      <c r="O155" s="11"/>
      <c r="P155" s="11"/>
      <c r="Q155" s="11"/>
    </row>
    <row r="156" ht="15.75" hidden="1" customHeight="1">
      <c r="A156" s="8">
        <v>45730.0</v>
      </c>
      <c r="B156" s="9">
        <f t="shared" si="10"/>
        <v>48</v>
      </c>
      <c r="C156" s="9">
        <v>30.62</v>
      </c>
      <c r="D156" s="10" t="s">
        <v>25</v>
      </c>
      <c r="E156" s="10" t="s">
        <v>26</v>
      </c>
      <c r="F156" s="10" t="s">
        <v>26</v>
      </c>
      <c r="G156" s="10" t="s">
        <v>25</v>
      </c>
      <c r="H156" s="10" t="s">
        <v>25</v>
      </c>
      <c r="I156" s="10" t="s">
        <v>27</v>
      </c>
      <c r="J156" s="10" t="s">
        <v>25</v>
      </c>
      <c r="K156" s="23" t="s">
        <v>380</v>
      </c>
      <c r="L156" s="5" t="s">
        <v>126</v>
      </c>
      <c r="M156" s="11" t="s">
        <v>381</v>
      </c>
      <c r="N156" s="11" t="s">
        <v>382</v>
      </c>
      <c r="O156" s="11"/>
      <c r="P156" s="11"/>
      <c r="Q156" s="11"/>
    </row>
    <row r="157" ht="15.75" hidden="1" customHeight="1">
      <c r="A157" s="8">
        <v>45731.0</v>
      </c>
      <c r="B157" s="9">
        <f t="shared" si="10"/>
        <v>52</v>
      </c>
      <c r="C157" s="9">
        <f>C156+1.49</f>
        <v>32.11</v>
      </c>
      <c r="D157" s="10" t="s">
        <v>25</v>
      </c>
      <c r="E157" s="10" t="s">
        <v>26</v>
      </c>
      <c r="F157" s="10" t="s">
        <v>26</v>
      </c>
      <c r="G157" s="10" t="s">
        <v>25</v>
      </c>
      <c r="H157" s="10" t="s">
        <v>25</v>
      </c>
      <c r="I157" s="10" t="s">
        <v>27</v>
      </c>
      <c r="J157" s="10" t="s">
        <v>25</v>
      </c>
      <c r="K157" s="23" t="s">
        <v>383</v>
      </c>
      <c r="L157" s="5" t="s">
        <v>126</v>
      </c>
      <c r="M157" s="11" t="s">
        <v>384</v>
      </c>
      <c r="N157" s="11" t="s">
        <v>385</v>
      </c>
      <c r="O157" s="11"/>
      <c r="P157" s="11"/>
      <c r="Q157" s="11"/>
    </row>
    <row r="158" ht="15.75" hidden="1" customHeight="1">
      <c r="A158" s="8">
        <v>45733.0</v>
      </c>
      <c r="B158" s="9">
        <f t="shared" si="10"/>
        <v>56</v>
      </c>
      <c r="C158" s="9">
        <v>34.18</v>
      </c>
      <c r="D158" s="10" t="s">
        <v>25</v>
      </c>
      <c r="E158" s="10" t="s">
        <v>26</v>
      </c>
      <c r="F158" s="10" t="s">
        <v>26</v>
      </c>
      <c r="G158" s="10" t="s">
        <v>25</v>
      </c>
      <c r="H158" s="10" t="s">
        <v>25</v>
      </c>
      <c r="I158" s="10" t="s">
        <v>27</v>
      </c>
      <c r="J158" s="10" t="s">
        <v>25</v>
      </c>
      <c r="K158" s="23" t="s">
        <v>386</v>
      </c>
      <c r="L158" s="5" t="s">
        <v>126</v>
      </c>
      <c r="M158" s="11" t="s">
        <v>387</v>
      </c>
      <c r="N158" s="11" t="s">
        <v>388</v>
      </c>
      <c r="O158" s="11"/>
      <c r="P158" s="11"/>
      <c r="Q158" s="11"/>
    </row>
    <row r="159" ht="15.75" hidden="1" customHeight="1">
      <c r="A159" s="8">
        <v>45734.0</v>
      </c>
      <c r="B159" s="9">
        <f t="shared" si="10"/>
        <v>60</v>
      </c>
      <c r="C159" s="9">
        <f>C158+3.16</f>
        <v>37.34</v>
      </c>
      <c r="D159" s="10" t="s">
        <v>25</v>
      </c>
      <c r="E159" s="10" t="s">
        <v>26</v>
      </c>
      <c r="F159" s="10" t="s">
        <v>26</v>
      </c>
      <c r="G159" s="10" t="s">
        <v>25</v>
      </c>
      <c r="H159" s="10" t="s">
        <v>25</v>
      </c>
      <c r="I159" s="10" t="s">
        <v>27</v>
      </c>
      <c r="J159" s="10" t="s">
        <v>25</v>
      </c>
      <c r="K159" s="23" t="s">
        <v>389</v>
      </c>
      <c r="L159" s="5" t="s">
        <v>126</v>
      </c>
      <c r="M159" s="11" t="s">
        <v>390</v>
      </c>
      <c r="N159" s="11" t="s">
        <v>391</v>
      </c>
      <c r="O159" s="11"/>
      <c r="P159" s="11"/>
      <c r="Q159" s="11"/>
    </row>
    <row r="160" ht="15.75" hidden="1" customHeight="1">
      <c r="A160" s="8">
        <v>45735.0</v>
      </c>
      <c r="B160" s="9">
        <f t="shared" si="10"/>
        <v>64</v>
      </c>
      <c r="C160" s="9">
        <f>C159+1.95</f>
        <v>39.29</v>
      </c>
      <c r="D160" s="10" t="s">
        <v>25</v>
      </c>
      <c r="E160" s="10" t="s">
        <v>26</v>
      </c>
      <c r="F160" s="10" t="s">
        <v>26</v>
      </c>
      <c r="G160" s="10" t="s">
        <v>25</v>
      </c>
      <c r="H160" s="10" t="s">
        <v>25</v>
      </c>
      <c r="I160" s="10" t="s">
        <v>27</v>
      </c>
      <c r="J160" s="10" t="s">
        <v>25</v>
      </c>
      <c r="K160" s="23" t="s">
        <v>392</v>
      </c>
      <c r="L160" s="5" t="s">
        <v>126</v>
      </c>
      <c r="M160" s="11" t="s">
        <v>393</v>
      </c>
      <c r="N160" s="11" t="s">
        <v>394</v>
      </c>
      <c r="O160" s="11" t="s">
        <v>395</v>
      </c>
      <c r="P160" s="11"/>
      <c r="Q160" s="11"/>
    </row>
    <row r="161" ht="15.75" hidden="1" customHeight="1">
      <c r="A161" s="8">
        <v>45736.0</v>
      </c>
      <c r="B161" s="9">
        <f t="shared" si="10"/>
        <v>68</v>
      </c>
      <c r="C161" s="9">
        <v>40.57</v>
      </c>
      <c r="D161" s="10" t="s">
        <v>25</v>
      </c>
      <c r="E161" s="10" t="s">
        <v>26</v>
      </c>
      <c r="F161" s="10" t="s">
        <v>26</v>
      </c>
      <c r="G161" s="10" t="s">
        <v>25</v>
      </c>
      <c r="H161" s="10" t="s">
        <v>25</v>
      </c>
      <c r="I161" s="10" t="s">
        <v>27</v>
      </c>
      <c r="J161" s="10" t="s">
        <v>25</v>
      </c>
      <c r="K161" s="23" t="s">
        <v>396</v>
      </c>
      <c r="L161" s="5" t="s">
        <v>126</v>
      </c>
      <c r="M161" s="11" t="s">
        <v>397</v>
      </c>
      <c r="N161" s="11" t="s">
        <v>398</v>
      </c>
      <c r="O161" s="11"/>
      <c r="P161" s="11"/>
      <c r="Q161" s="11"/>
    </row>
    <row r="162" ht="15.75" hidden="1" customHeight="1">
      <c r="A162" s="8">
        <v>45737.0</v>
      </c>
      <c r="B162" s="9">
        <f t="shared" si="10"/>
        <v>72</v>
      </c>
      <c r="C162" s="9">
        <f>C161+2.89</f>
        <v>43.46</v>
      </c>
      <c r="D162" s="10" t="s">
        <v>25</v>
      </c>
      <c r="E162" s="10" t="s">
        <v>26</v>
      </c>
      <c r="F162" s="10" t="s">
        <v>26</v>
      </c>
      <c r="G162" s="10" t="s">
        <v>25</v>
      </c>
      <c r="H162" s="10" t="s">
        <v>25</v>
      </c>
      <c r="I162" s="10" t="s">
        <v>27</v>
      </c>
      <c r="J162" s="10" t="s">
        <v>25</v>
      </c>
      <c r="K162" s="23" t="s">
        <v>399</v>
      </c>
      <c r="L162" s="5" t="s">
        <v>126</v>
      </c>
      <c r="M162" s="11" t="s">
        <v>400</v>
      </c>
      <c r="N162" s="11" t="s">
        <v>401</v>
      </c>
      <c r="O162" s="11"/>
      <c r="P162" s="11"/>
      <c r="Q162" s="11"/>
    </row>
    <row r="163" ht="15.75" hidden="1" customHeight="1">
      <c r="A163" s="8">
        <v>45738.0</v>
      </c>
      <c r="B163" s="9">
        <f t="shared" si="10"/>
        <v>76</v>
      </c>
      <c r="C163" s="9">
        <f>C162+0.57</f>
        <v>44.03</v>
      </c>
      <c r="D163" s="10" t="s">
        <v>25</v>
      </c>
      <c r="E163" s="10" t="s">
        <v>26</v>
      </c>
      <c r="F163" s="10" t="s">
        <v>26</v>
      </c>
      <c r="G163" s="10" t="s">
        <v>25</v>
      </c>
      <c r="H163" s="10" t="s">
        <v>25</v>
      </c>
      <c r="I163" s="10" t="s">
        <v>27</v>
      </c>
      <c r="J163" s="10" t="s">
        <v>25</v>
      </c>
      <c r="K163" s="23" t="s">
        <v>402</v>
      </c>
      <c r="L163" s="5" t="s">
        <v>126</v>
      </c>
      <c r="M163" s="11" t="s">
        <v>403</v>
      </c>
      <c r="N163" s="11" t="s">
        <v>404</v>
      </c>
      <c r="O163" s="11"/>
      <c r="P163" s="11"/>
      <c r="Q163" s="11"/>
    </row>
    <row r="164" ht="15.75" hidden="1" customHeight="1">
      <c r="A164" s="8">
        <v>45740.0</v>
      </c>
      <c r="B164" s="9">
        <f t="shared" si="10"/>
        <v>80</v>
      </c>
      <c r="C164" s="9">
        <f>C163+1.66</f>
        <v>45.69</v>
      </c>
      <c r="D164" s="10" t="s">
        <v>25</v>
      </c>
      <c r="E164" s="10" t="s">
        <v>26</v>
      </c>
      <c r="F164" s="10" t="s">
        <v>26</v>
      </c>
      <c r="G164" s="10" t="s">
        <v>25</v>
      </c>
      <c r="H164" s="10" t="s">
        <v>25</v>
      </c>
      <c r="I164" s="10" t="s">
        <v>27</v>
      </c>
      <c r="J164" s="10" t="s">
        <v>25</v>
      </c>
      <c r="K164" s="23" t="s">
        <v>405</v>
      </c>
      <c r="L164" s="5" t="s">
        <v>126</v>
      </c>
      <c r="M164" s="11" t="s">
        <v>406</v>
      </c>
      <c r="N164" s="11" t="s">
        <v>407</v>
      </c>
      <c r="O164" s="11"/>
      <c r="P164" s="11"/>
      <c r="Q164" s="11"/>
    </row>
    <row r="165" ht="15.75" hidden="1" customHeight="1">
      <c r="A165" s="8">
        <v>45741.0</v>
      </c>
      <c r="B165" s="9">
        <f t="shared" si="10"/>
        <v>84</v>
      </c>
      <c r="C165" s="9">
        <f>C164+1.37</f>
        <v>47.06</v>
      </c>
      <c r="D165" s="10" t="s">
        <v>25</v>
      </c>
      <c r="E165" s="10" t="s">
        <v>26</v>
      </c>
      <c r="F165" s="10" t="s">
        <v>26</v>
      </c>
      <c r="G165" s="10" t="s">
        <v>25</v>
      </c>
      <c r="H165" s="10" t="s">
        <v>25</v>
      </c>
      <c r="I165" s="10" t="s">
        <v>27</v>
      </c>
      <c r="J165" s="10" t="s">
        <v>25</v>
      </c>
      <c r="K165" s="23" t="s">
        <v>408</v>
      </c>
      <c r="L165" s="5" t="s">
        <v>126</v>
      </c>
      <c r="M165" s="11" t="s">
        <v>409</v>
      </c>
      <c r="N165" s="11" t="s">
        <v>410</v>
      </c>
      <c r="O165" s="11"/>
      <c r="P165" s="11"/>
      <c r="Q165" s="11"/>
    </row>
    <row r="166" ht="15.75" hidden="1" customHeight="1">
      <c r="A166" s="8">
        <v>45742.0</v>
      </c>
      <c r="B166" s="9">
        <f t="shared" si="10"/>
        <v>88</v>
      </c>
      <c r="C166" s="9">
        <v>48.07</v>
      </c>
      <c r="D166" s="10" t="s">
        <v>25</v>
      </c>
      <c r="E166" s="10" t="s">
        <v>26</v>
      </c>
      <c r="F166" s="10" t="s">
        <v>26</v>
      </c>
      <c r="G166" s="10" t="s">
        <v>25</v>
      </c>
      <c r="H166" s="10" t="s">
        <v>25</v>
      </c>
      <c r="I166" s="10" t="s">
        <v>27</v>
      </c>
      <c r="J166" s="10" t="s">
        <v>25</v>
      </c>
      <c r="K166" s="23" t="s">
        <v>411</v>
      </c>
      <c r="L166" s="5" t="s">
        <v>126</v>
      </c>
      <c r="M166" s="11" t="s">
        <v>412</v>
      </c>
      <c r="N166" s="11" t="s">
        <v>413</v>
      </c>
      <c r="O166" s="11"/>
      <c r="P166" s="11"/>
      <c r="Q166" s="11"/>
    </row>
    <row r="167" ht="15.75" hidden="1" customHeight="1">
      <c r="A167" s="8">
        <v>45743.0</v>
      </c>
      <c r="B167" s="9">
        <f t="shared" si="10"/>
        <v>92</v>
      </c>
      <c r="C167" s="9">
        <v>53.52</v>
      </c>
      <c r="D167" s="10" t="s">
        <v>25</v>
      </c>
      <c r="E167" s="10" t="s">
        <v>26</v>
      </c>
      <c r="F167" s="10" t="s">
        <v>26</v>
      </c>
      <c r="G167" s="10" t="s">
        <v>25</v>
      </c>
      <c r="H167" s="10" t="s">
        <v>25</v>
      </c>
      <c r="I167" s="10" t="s">
        <v>27</v>
      </c>
      <c r="J167" s="10" t="s">
        <v>25</v>
      </c>
      <c r="K167" s="23" t="s">
        <v>414</v>
      </c>
      <c r="L167" s="5" t="s">
        <v>126</v>
      </c>
      <c r="M167" s="11" t="s">
        <v>415</v>
      </c>
      <c r="N167" s="11" t="s">
        <v>416</v>
      </c>
      <c r="O167" s="11"/>
      <c r="P167" s="11"/>
      <c r="Q167" s="11"/>
    </row>
    <row r="168" ht="15.75" hidden="1" customHeight="1">
      <c r="A168" s="8">
        <v>45744.0</v>
      </c>
      <c r="B168" s="9">
        <f t="shared" si="10"/>
        <v>96</v>
      </c>
      <c r="C168" s="9">
        <f>C167+5.59</f>
        <v>59.11</v>
      </c>
      <c r="D168" s="10" t="s">
        <v>25</v>
      </c>
      <c r="E168" s="10" t="s">
        <v>26</v>
      </c>
      <c r="F168" s="10" t="s">
        <v>26</v>
      </c>
      <c r="G168" s="10" t="s">
        <v>25</v>
      </c>
      <c r="H168" s="10" t="s">
        <v>25</v>
      </c>
      <c r="I168" s="10" t="s">
        <v>27</v>
      </c>
      <c r="J168" s="10" t="s">
        <v>25</v>
      </c>
      <c r="K168" s="23" t="s">
        <v>417</v>
      </c>
      <c r="L168" s="5" t="s">
        <v>126</v>
      </c>
      <c r="M168" s="11" t="s">
        <v>418</v>
      </c>
      <c r="N168" s="11" t="s">
        <v>419</v>
      </c>
      <c r="O168" s="11"/>
      <c r="P168" s="11"/>
      <c r="Q168" s="11"/>
    </row>
    <row r="169" ht="15.75" hidden="1" customHeight="1">
      <c r="A169" s="8">
        <v>45747.0</v>
      </c>
      <c r="B169" s="9">
        <f t="shared" si="10"/>
        <v>100</v>
      </c>
      <c r="C169" s="9">
        <f>C168+4.24</f>
        <v>63.35</v>
      </c>
      <c r="D169" s="10" t="s">
        <v>25</v>
      </c>
      <c r="E169" s="10" t="s">
        <v>26</v>
      </c>
      <c r="F169" s="10" t="s">
        <v>26</v>
      </c>
      <c r="G169" s="10" t="s">
        <v>25</v>
      </c>
      <c r="H169" s="10" t="s">
        <v>25</v>
      </c>
      <c r="I169" s="10" t="s">
        <v>27</v>
      </c>
      <c r="J169" s="10" t="s">
        <v>25</v>
      </c>
      <c r="K169" s="23" t="s">
        <v>420</v>
      </c>
      <c r="L169" s="5" t="s">
        <v>126</v>
      </c>
      <c r="M169" s="11" t="s">
        <v>421</v>
      </c>
      <c r="N169" s="11" t="s">
        <v>422</v>
      </c>
      <c r="O169" s="11"/>
      <c r="P169" s="11"/>
      <c r="Q169" s="11"/>
    </row>
    <row r="170" ht="15.75" hidden="1" customHeight="1">
      <c r="A170" s="8">
        <v>45748.0</v>
      </c>
      <c r="B170" s="9">
        <v>4.0</v>
      </c>
      <c r="C170" s="9">
        <v>1.97</v>
      </c>
      <c r="D170" s="10" t="s">
        <v>25</v>
      </c>
      <c r="E170" s="10" t="s">
        <v>26</v>
      </c>
      <c r="F170" s="10" t="s">
        <v>26</v>
      </c>
      <c r="G170" s="10" t="s">
        <v>25</v>
      </c>
      <c r="H170" s="10" t="s">
        <v>25</v>
      </c>
      <c r="I170" s="10" t="s">
        <v>27</v>
      </c>
      <c r="J170" s="10" t="s">
        <v>25</v>
      </c>
      <c r="K170" s="23" t="s">
        <v>423</v>
      </c>
      <c r="L170" s="5" t="s">
        <v>126</v>
      </c>
      <c r="M170" s="11" t="s">
        <v>424</v>
      </c>
      <c r="N170" s="11" t="s">
        <v>425</v>
      </c>
      <c r="O170" s="11"/>
      <c r="P170" s="11"/>
      <c r="Q170" s="11"/>
    </row>
    <row r="171" ht="15.75" hidden="1" customHeight="1">
      <c r="A171" s="8">
        <v>45749.0</v>
      </c>
      <c r="B171" s="9">
        <f t="shared" ref="B171:B189" si="11">B170+4</f>
        <v>8</v>
      </c>
      <c r="C171" s="9">
        <f>C170+0.5</f>
        <v>2.47</v>
      </c>
      <c r="D171" s="10" t="s">
        <v>25</v>
      </c>
      <c r="E171" s="10" t="s">
        <v>26</v>
      </c>
      <c r="F171" s="10" t="s">
        <v>26</v>
      </c>
      <c r="G171" s="10" t="s">
        <v>25</v>
      </c>
      <c r="H171" s="10" t="s">
        <v>25</v>
      </c>
      <c r="I171" s="10" t="s">
        <v>27</v>
      </c>
      <c r="J171" s="10" t="s">
        <v>25</v>
      </c>
      <c r="K171" s="23" t="s">
        <v>426</v>
      </c>
      <c r="L171" s="5" t="s">
        <v>126</v>
      </c>
      <c r="M171" s="11" t="s">
        <v>427</v>
      </c>
      <c r="N171" s="11" t="s">
        <v>428</v>
      </c>
      <c r="O171" s="11"/>
      <c r="P171" s="11"/>
      <c r="Q171" s="11"/>
    </row>
    <row r="172" ht="15.75" hidden="1" customHeight="1">
      <c r="A172" s="8">
        <v>45750.0</v>
      </c>
      <c r="B172" s="9">
        <f t="shared" si="11"/>
        <v>12</v>
      </c>
      <c r="C172" s="9">
        <v>3.59</v>
      </c>
      <c r="D172" s="10" t="s">
        <v>25</v>
      </c>
      <c r="E172" s="10" t="s">
        <v>26</v>
      </c>
      <c r="F172" s="10" t="s">
        <v>26</v>
      </c>
      <c r="G172" s="10" t="s">
        <v>25</v>
      </c>
      <c r="H172" s="10" t="s">
        <v>25</v>
      </c>
      <c r="I172" s="10" t="s">
        <v>27</v>
      </c>
      <c r="J172" s="10" t="s">
        <v>25</v>
      </c>
      <c r="K172" s="23" t="s">
        <v>429</v>
      </c>
      <c r="L172" s="5" t="s">
        <v>126</v>
      </c>
      <c r="M172" s="11" t="s">
        <v>430</v>
      </c>
      <c r="N172" s="11" t="s">
        <v>431</v>
      </c>
      <c r="O172" s="11"/>
      <c r="P172" s="11"/>
      <c r="Q172" s="11"/>
    </row>
    <row r="173" ht="15.75" hidden="1" customHeight="1">
      <c r="A173" s="8">
        <v>45751.0</v>
      </c>
      <c r="B173" s="9">
        <f t="shared" si="11"/>
        <v>16</v>
      </c>
      <c r="C173" s="9">
        <v>5.45</v>
      </c>
      <c r="D173" s="10" t="s">
        <v>25</v>
      </c>
      <c r="E173" s="10" t="s">
        <v>26</v>
      </c>
      <c r="F173" s="10" t="s">
        <v>26</v>
      </c>
      <c r="G173" s="10" t="s">
        <v>25</v>
      </c>
      <c r="H173" s="10" t="s">
        <v>25</v>
      </c>
      <c r="I173" s="10" t="s">
        <v>27</v>
      </c>
      <c r="J173" s="10" t="s">
        <v>25</v>
      </c>
      <c r="K173" s="23" t="s">
        <v>432</v>
      </c>
      <c r="L173" s="5" t="s">
        <v>126</v>
      </c>
      <c r="M173" s="11" t="s">
        <v>433</v>
      </c>
      <c r="N173" s="11" t="s">
        <v>434</v>
      </c>
      <c r="O173" s="11"/>
      <c r="P173" s="11"/>
      <c r="Q173" s="11"/>
    </row>
    <row r="174" ht="15.75" hidden="1" customHeight="1">
      <c r="A174" s="8">
        <v>45754.0</v>
      </c>
      <c r="B174" s="9">
        <f t="shared" si="11"/>
        <v>20</v>
      </c>
      <c r="C174" s="9">
        <v>12.61</v>
      </c>
      <c r="D174" s="10" t="s">
        <v>25</v>
      </c>
      <c r="E174" s="10" t="s">
        <v>26</v>
      </c>
      <c r="F174" s="10" t="s">
        <v>26</v>
      </c>
      <c r="G174" s="10" t="s">
        <v>25</v>
      </c>
      <c r="H174" s="10" t="s">
        <v>25</v>
      </c>
      <c r="I174" s="10" t="s">
        <v>27</v>
      </c>
      <c r="J174" s="10" t="s">
        <v>25</v>
      </c>
      <c r="K174" s="23" t="s">
        <v>435</v>
      </c>
      <c r="L174" s="5" t="s">
        <v>126</v>
      </c>
      <c r="M174" s="11" t="s">
        <v>436</v>
      </c>
      <c r="N174" s="11" t="s">
        <v>437</v>
      </c>
      <c r="O174" s="11"/>
      <c r="P174" s="11"/>
      <c r="Q174" s="11"/>
    </row>
    <row r="175" ht="15.75" hidden="1" customHeight="1">
      <c r="A175" s="8">
        <v>45755.0</v>
      </c>
      <c r="B175" s="9">
        <f t="shared" si="11"/>
        <v>24</v>
      </c>
      <c r="C175" s="9">
        <v>19.02</v>
      </c>
      <c r="D175" s="10" t="s">
        <v>25</v>
      </c>
      <c r="E175" s="10" t="s">
        <v>26</v>
      </c>
      <c r="F175" s="10" t="s">
        <v>26</v>
      </c>
      <c r="G175" s="10" t="s">
        <v>25</v>
      </c>
      <c r="H175" s="10" t="s">
        <v>25</v>
      </c>
      <c r="I175" s="10" t="s">
        <v>27</v>
      </c>
      <c r="J175" s="10" t="s">
        <v>25</v>
      </c>
      <c r="K175" s="23" t="s">
        <v>438</v>
      </c>
      <c r="L175" s="5" t="s">
        <v>126</v>
      </c>
      <c r="M175" s="11" t="s">
        <v>439</v>
      </c>
      <c r="N175" s="11" t="s">
        <v>440</v>
      </c>
      <c r="O175" s="11"/>
      <c r="P175" s="11"/>
      <c r="Q175" s="11"/>
    </row>
    <row r="176" ht="15.75" hidden="1" customHeight="1">
      <c r="A176" s="8">
        <v>45756.0</v>
      </c>
      <c r="B176" s="9">
        <f t="shared" si="11"/>
        <v>28</v>
      </c>
      <c r="C176" s="9">
        <v>24.48</v>
      </c>
      <c r="D176" s="10" t="s">
        <v>25</v>
      </c>
      <c r="E176" s="10" t="s">
        <v>26</v>
      </c>
      <c r="F176" s="10" t="s">
        <v>26</v>
      </c>
      <c r="G176" s="10" t="s">
        <v>25</v>
      </c>
      <c r="H176" s="10" t="s">
        <v>25</v>
      </c>
      <c r="I176" s="10" t="s">
        <v>27</v>
      </c>
      <c r="J176" s="10" t="s">
        <v>25</v>
      </c>
      <c r="K176" s="23" t="s">
        <v>441</v>
      </c>
      <c r="L176" s="5" t="s">
        <v>126</v>
      </c>
      <c r="M176" s="11" t="s">
        <v>442</v>
      </c>
      <c r="N176" s="11" t="s">
        <v>443</v>
      </c>
      <c r="O176" s="11" t="s">
        <v>444</v>
      </c>
      <c r="P176" s="11"/>
      <c r="Q176" s="11"/>
    </row>
    <row r="177" ht="15.75" hidden="1" customHeight="1">
      <c r="A177" s="8">
        <v>45757.0</v>
      </c>
      <c r="B177" s="9">
        <f t="shared" si="11"/>
        <v>32</v>
      </c>
      <c r="C177" s="9">
        <v>27.17</v>
      </c>
      <c r="D177" s="10" t="s">
        <v>25</v>
      </c>
      <c r="E177" s="10" t="s">
        <v>26</v>
      </c>
      <c r="F177" s="10" t="s">
        <v>26</v>
      </c>
      <c r="G177" s="10" t="s">
        <v>25</v>
      </c>
      <c r="H177" s="10" t="s">
        <v>25</v>
      </c>
      <c r="I177" s="10" t="s">
        <v>27</v>
      </c>
      <c r="J177" s="10" t="s">
        <v>25</v>
      </c>
      <c r="K177" s="23" t="s">
        <v>445</v>
      </c>
      <c r="L177" s="5" t="s">
        <v>126</v>
      </c>
      <c r="M177" s="11" t="s">
        <v>446</v>
      </c>
      <c r="N177" s="11" t="s">
        <v>447</v>
      </c>
      <c r="O177" s="11"/>
      <c r="P177" s="11"/>
      <c r="Q177" s="11"/>
    </row>
    <row r="178" ht="15.75" hidden="1" customHeight="1">
      <c r="A178" s="8">
        <v>45758.0</v>
      </c>
      <c r="B178" s="9">
        <f t="shared" si="11"/>
        <v>36</v>
      </c>
      <c r="C178" s="9">
        <v>29.25</v>
      </c>
      <c r="D178" s="10" t="s">
        <v>25</v>
      </c>
      <c r="E178" s="10" t="s">
        <v>26</v>
      </c>
      <c r="F178" s="10" t="s">
        <v>26</v>
      </c>
      <c r="G178" s="10" t="s">
        <v>25</v>
      </c>
      <c r="H178" s="10" t="s">
        <v>25</v>
      </c>
      <c r="I178" s="10" t="s">
        <v>27</v>
      </c>
      <c r="J178" s="10" t="s">
        <v>25</v>
      </c>
      <c r="K178" s="23" t="s">
        <v>448</v>
      </c>
      <c r="L178" s="5" t="s">
        <v>126</v>
      </c>
      <c r="M178" s="11" t="s">
        <v>449</v>
      </c>
      <c r="N178" s="11"/>
      <c r="O178" s="11"/>
      <c r="P178" s="11"/>
      <c r="Q178" s="11"/>
    </row>
    <row r="179" ht="15.75" hidden="1" customHeight="1">
      <c r="A179" s="8">
        <v>45759.0</v>
      </c>
      <c r="B179" s="9">
        <f t="shared" si="11"/>
        <v>40</v>
      </c>
      <c r="C179" s="9">
        <f>C178+1.06</f>
        <v>30.31</v>
      </c>
      <c r="D179" s="10" t="s">
        <v>25</v>
      </c>
      <c r="E179" s="10" t="s">
        <v>26</v>
      </c>
      <c r="F179" s="10" t="s">
        <v>26</v>
      </c>
      <c r="G179" s="10" t="s">
        <v>25</v>
      </c>
      <c r="H179" s="10" t="s">
        <v>25</v>
      </c>
      <c r="I179" s="10" t="s">
        <v>27</v>
      </c>
      <c r="J179" s="10" t="s">
        <v>25</v>
      </c>
      <c r="K179" s="23" t="s">
        <v>450</v>
      </c>
      <c r="L179" s="5" t="s">
        <v>126</v>
      </c>
      <c r="M179" s="11" t="s">
        <v>451</v>
      </c>
      <c r="N179" s="11" t="s">
        <v>452</v>
      </c>
      <c r="O179" s="11"/>
      <c r="P179" s="11"/>
      <c r="Q179" s="11"/>
    </row>
    <row r="180" ht="15.75" hidden="1" customHeight="1">
      <c r="A180" s="8">
        <v>45762.0</v>
      </c>
      <c r="B180" s="9">
        <f t="shared" si="11"/>
        <v>44</v>
      </c>
      <c r="C180" s="9">
        <f>C179+1.79</f>
        <v>32.1</v>
      </c>
      <c r="D180" s="10" t="s">
        <v>25</v>
      </c>
      <c r="E180" s="10" t="s">
        <v>26</v>
      </c>
      <c r="F180" s="10" t="s">
        <v>26</v>
      </c>
      <c r="G180" s="10" t="s">
        <v>25</v>
      </c>
      <c r="H180" s="10" t="s">
        <v>25</v>
      </c>
      <c r="I180" s="10" t="s">
        <v>27</v>
      </c>
      <c r="J180" s="10" t="s">
        <v>25</v>
      </c>
      <c r="K180" s="23" t="s">
        <v>453</v>
      </c>
      <c r="L180" s="5" t="s">
        <v>126</v>
      </c>
      <c r="M180" s="11" t="s">
        <v>454</v>
      </c>
      <c r="N180" s="11" t="s">
        <v>455</v>
      </c>
      <c r="O180" s="11"/>
      <c r="P180" s="11"/>
      <c r="Q180" s="11"/>
    </row>
    <row r="181" ht="15.75" hidden="1" customHeight="1">
      <c r="A181" s="8">
        <v>45763.0</v>
      </c>
      <c r="B181" s="9">
        <f t="shared" si="11"/>
        <v>48</v>
      </c>
      <c r="C181" s="9">
        <v>35.04</v>
      </c>
      <c r="D181" s="10" t="s">
        <v>25</v>
      </c>
      <c r="E181" s="10" t="s">
        <v>26</v>
      </c>
      <c r="F181" s="10" t="s">
        <v>26</v>
      </c>
      <c r="G181" s="10" t="s">
        <v>25</v>
      </c>
      <c r="H181" s="10" t="s">
        <v>25</v>
      </c>
      <c r="I181" s="10" t="s">
        <v>27</v>
      </c>
      <c r="J181" s="10" t="s">
        <v>25</v>
      </c>
      <c r="K181" s="23" t="s">
        <v>456</v>
      </c>
      <c r="L181" s="5" t="s">
        <v>126</v>
      </c>
      <c r="M181" s="11" t="s">
        <v>457</v>
      </c>
      <c r="N181" s="11" t="s">
        <v>458</v>
      </c>
      <c r="O181" s="11"/>
      <c r="P181" s="11"/>
      <c r="Q181" s="11"/>
    </row>
    <row r="182" ht="15.75" hidden="1" customHeight="1">
      <c r="A182" s="8">
        <v>45764.0</v>
      </c>
      <c r="B182" s="9">
        <f t="shared" si="11"/>
        <v>52</v>
      </c>
      <c r="C182" s="9">
        <f>C181+1.09</f>
        <v>36.13</v>
      </c>
      <c r="D182" s="10" t="s">
        <v>25</v>
      </c>
      <c r="E182" s="10" t="s">
        <v>26</v>
      </c>
      <c r="F182" s="10" t="s">
        <v>26</v>
      </c>
      <c r="G182" s="10" t="s">
        <v>25</v>
      </c>
      <c r="H182" s="10" t="s">
        <v>25</v>
      </c>
      <c r="I182" s="10" t="s">
        <v>27</v>
      </c>
      <c r="J182" s="10" t="s">
        <v>25</v>
      </c>
      <c r="K182" s="23" t="s">
        <v>459</v>
      </c>
      <c r="L182" s="5" t="s">
        <v>126</v>
      </c>
      <c r="M182" s="11" t="s">
        <v>460</v>
      </c>
      <c r="N182" s="11" t="s">
        <v>461</v>
      </c>
      <c r="O182" s="11"/>
      <c r="P182" s="11"/>
      <c r="Q182" s="11"/>
    </row>
    <row r="183" ht="15.75" hidden="1" customHeight="1">
      <c r="A183" s="8">
        <v>45765.0</v>
      </c>
      <c r="B183" s="9">
        <f t="shared" si="11"/>
        <v>56</v>
      </c>
      <c r="C183" s="9">
        <f>C182+0.16</f>
        <v>36.29</v>
      </c>
      <c r="D183" s="10" t="s">
        <v>25</v>
      </c>
      <c r="E183" s="10" t="s">
        <v>26</v>
      </c>
      <c r="F183" s="10" t="s">
        <v>26</v>
      </c>
      <c r="G183" s="10" t="s">
        <v>25</v>
      </c>
      <c r="H183" s="10" t="s">
        <v>25</v>
      </c>
      <c r="I183" s="10" t="s">
        <v>27</v>
      </c>
      <c r="J183" s="10" t="s">
        <v>25</v>
      </c>
      <c r="K183" s="23" t="s">
        <v>462</v>
      </c>
      <c r="L183" s="5" t="s">
        <v>126</v>
      </c>
      <c r="M183" s="11" t="s">
        <v>60</v>
      </c>
      <c r="N183" s="11" t="s">
        <v>463</v>
      </c>
      <c r="O183" s="11" t="s">
        <v>335</v>
      </c>
      <c r="P183" s="11"/>
      <c r="Q183" s="11"/>
    </row>
    <row r="184" ht="15.75" hidden="1" customHeight="1">
      <c r="A184" s="8">
        <v>45768.0</v>
      </c>
      <c r="B184" s="9">
        <f t="shared" si="11"/>
        <v>60</v>
      </c>
      <c r="C184" s="9">
        <f>C183+4.66</f>
        <v>40.95</v>
      </c>
      <c r="D184" s="10" t="s">
        <v>25</v>
      </c>
      <c r="E184" s="10" t="s">
        <v>26</v>
      </c>
      <c r="F184" s="10" t="s">
        <v>26</v>
      </c>
      <c r="G184" s="10" t="s">
        <v>25</v>
      </c>
      <c r="H184" s="10" t="s">
        <v>25</v>
      </c>
      <c r="I184" s="10" t="s">
        <v>27</v>
      </c>
      <c r="J184" s="10" t="s">
        <v>25</v>
      </c>
      <c r="K184" s="23" t="s">
        <v>464</v>
      </c>
      <c r="L184" s="5" t="s">
        <v>126</v>
      </c>
      <c r="M184" s="11" t="s">
        <v>465</v>
      </c>
      <c r="N184" s="11" t="s">
        <v>466</v>
      </c>
      <c r="O184" s="11"/>
      <c r="P184" s="11"/>
      <c r="Q184" s="11"/>
    </row>
    <row r="185" ht="15.75" hidden="1" customHeight="1">
      <c r="A185" s="8">
        <v>45769.0</v>
      </c>
      <c r="B185" s="9">
        <f t="shared" si="11"/>
        <v>64</v>
      </c>
      <c r="C185" s="9">
        <f>C184+1.54</f>
        <v>42.49</v>
      </c>
      <c r="D185" s="10" t="s">
        <v>25</v>
      </c>
      <c r="E185" s="10" t="s">
        <v>26</v>
      </c>
      <c r="F185" s="10" t="s">
        <v>26</v>
      </c>
      <c r="G185" s="10" t="s">
        <v>25</v>
      </c>
      <c r="H185" s="10" t="s">
        <v>25</v>
      </c>
      <c r="I185" s="10" t="s">
        <v>27</v>
      </c>
      <c r="J185" s="10" t="s">
        <v>25</v>
      </c>
      <c r="K185" s="23" t="s">
        <v>467</v>
      </c>
      <c r="L185" s="5" t="s">
        <v>126</v>
      </c>
      <c r="M185" s="11" t="s">
        <v>468</v>
      </c>
      <c r="N185" s="11" t="s">
        <v>469</v>
      </c>
      <c r="O185" s="11"/>
      <c r="P185" s="11"/>
      <c r="Q185" s="11"/>
    </row>
    <row r="186" ht="15.75" hidden="1" customHeight="1">
      <c r="A186" s="8">
        <v>45770.0</v>
      </c>
      <c r="B186" s="9">
        <f t="shared" si="11"/>
        <v>68</v>
      </c>
      <c r="C186" s="9">
        <f>C185+2</f>
        <v>44.49</v>
      </c>
      <c r="D186" s="10" t="s">
        <v>25</v>
      </c>
      <c r="E186" s="10" t="s">
        <v>26</v>
      </c>
      <c r="F186" s="10" t="s">
        <v>26</v>
      </c>
      <c r="G186" s="10" t="s">
        <v>25</v>
      </c>
      <c r="H186" s="10" t="s">
        <v>155</v>
      </c>
      <c r="I186" s="10" t="s">
        <v>27</v>
      </c>
      <c r="J186" s="10" t="s">
        <v>25</v>
      </c>
      <c r="K186" s="23" t="s">
        <v>470</v>
      </c>
      <c r="L186" s="5" t="s">
        <v>126</v>
      </c>
      <c r="M186" s="11" t="s">
        <v>471</v>
      </c>
      <c r="N186" s="11" t="s">
        <v>472</v>
      </c>
      <c r="O186" s="11"/>
      <c r="P186" s="11"/>
      <c r="Q186" s="11"/>
    </row>
    <row r="187" ht="15.75" hidden="1" customHeight="1">
      <c r="A187" s="8">
        <v>45771.0</v>
      </c>
      <c r="B187" s="9">
        <f t="shared" si="11"/>
        <v>72</v>
      </c>
      <c r="C187" s="9">
        <f>C186+0.65</f>
        <v>45.14</v>
      </c>
      <c r="D187" s="10" t="s">
        <v>25</v>
      </c>
      <c r="E187" s="10" t="s">
        <v>26</v>
      </c>
      <c r="F187" s="10" t="s">
        <v>26</v>
      </c>
      <c r="G187" s="10" t="s">
        <v>25</v>
      </c>
      <c r="H187" s="10" t="s">
        <v>155</v>
      </c>
      <c r="I187" s="10" t="s">
        <v>27</v>
      </c>
      <c r="J187" s="10" t="s">
        <v>25</v>
      </c>
      <c r="K187" s="23" t="s">
        <v>473</v>
      </c>
      <c r="L187" s="5" t="s">
        <v>126</v>
      </c>
      <c r="M187" s="11" t="s">
        <v>474</v>
      </c>
      <c r="N187" s="11" t="s">
        <v>475</v>
      </c>
      <c r="O187" s="11"/>
      <c r="P187" s="11"/>
      <c r="Q187" s="11"/>
    </row>
    <row r="188" ht="15.75" hidden="1" customHeight="1">
      <c r="A188" s="8">
        <v>45772.0</v>
      </c>
      <c r="B188" s="9">
        <f t="shared" si="11"/>
        <v>76</v>
      </c>
      <c r="C188" s="9">
        <f>C187+1.01</f>
        <v>46.15</v>
      </c>
      <c r="D188" s="10" t="s">
        <v>25</v>
      </c>
      <c r="E188" s="10" t="s">
        <v>26</v>
      </c>
      <c r="F188" s="10" t="s">
        <v>26</v>
      </c>
      <c r="G188" s="10" t="s">
        <v>25</v>
      </c>
      <c r="H188" s="10" t="s">
        <v>25</v>
      </c>
      <c r="I188" s="10" t="s">
        <v>27</v>
      </c>
      <c r="J188" s="10" t="s">
        <v>25</v>
      </c>
      <c r="K188" s="23" t="s">
        <v>476</v>
      </c>
      <c r="L188" s="5" t="s">
        <v>126</v>
      </c>
      <c r="M188" s="11" t="s">
        <v>477</v>
      </c>
      <c r="N188" s="11" t="s">
        <v>478</v>
      </c>
      <c r="O188" s="11"/>
      <c r="P188" s="11"/>
      <c r="Q188" s="11"/>
    </row>
    <row r="189" ht="15.75" hidden="1" customHeight="1">
      <c r="A189" s="8">
        <v>45775.0</v>
      </c>
      <c r="B189" s="9">
        <f t="shared" si="11"/>
        <v>80</v>
      </c>
      <c r="C189" s="9">
        <f>C188+4.6</f>
        <v>50.75</v>
      </c>
      <c r="D189" s="10" t="s">
        <v>26</v>
      </c>
      <c r="E189" s="10" t="s">
        <v>26</v>
      </c>
      <c r="F189" s="10" t="s">
        <v>26</v>
      </c>
      <c r="G189" s="10" t="s">
        <v>25</v>
      </c>
      <c r="H189" s="10" t="s">
        <v>25</v>
      </c>
      <c r="I189" s="10" t="s">
        <v>27</v>
      </c>
      <c r="J189" s="10" t="s">
        <v>25</v>
      </c>
      <c r="K189" s="23" t="s">
        <v>479</v>
      </c>
      <c r="L189" s="5" t="s">
        <v>126</v>
      </c>
      <c r="M189" s="11" t="s">
        <v>480</v>
      </c>
      <c r="N189" s="11" t="s">
        <v>481</v>
      </c>
      <c r="O189" s="11"/>
      <c r="P189" s="11"/>
      <c r="Q189" s="11"/>
    </row>
    <row r="190" ht="15.75" hidden="1" customHeight="1">
      <c r="A190" s="8">
        <v>45776.0</v>
      </c>
      <c r="B190" s="9">
        <v>80.0</v>
      </c>
      <c r="C190" s="9">
        <f>C189+0.87</f>
        <v>51.62</v>
      </c>
      <c r="D190" s="10" t="s">
        <v>25</v>
      </c>
      <c r="E190" s="10" t="s">
        <v>26</v>
      </c>
      <c r="F190" s="10" t="s">
        <v>26</v>
      </c>
      <c r="G190" s="10" t="s">
        <v>25</v>
      </c>
      <c r="H190" s="10" t="s">
        <v>25</v>
      </c>
      <c r="I190" s="10" t="s">
        <v>27</v>
      </c>
      <c r="J190" s="10" t="s">
        <v>25</v>
      </c>
      <c r="K190" s="23" t="s">
        <v>482</v>
      </c>
      <c r="L190" s="5" t="s">
        <v>126</v>
      </c>
      <c r="M190" s="11" t="s">
        <v>483</v>
      </c>
      <c r="N190" s="11" t="s">
        <v>484</v>
      </c>
      <c r="O190" s="11" t="s">
        <v>335</v>
      </c>
      <c r="P190" s="11"/>
      <c r="Q190" s="11"/>
    </row>
    <row r="191" ht="15.75" hidden="1" customHeight="1">
      <c r="A191" s="8">
        <v>45777.0</v>
      </c>
      <c r="B191" s="9">
        <v>80.0</v>
      </c>
      <c r="C191" s="9">
        <f>C190+2.11</f>
        <v>53.73</v>
      </c>
      <c r="D191" s="10" t="s">
        <v>25</v>
      </c>
      <c r="E191" s="10" t="s">
        <v>26</v>
      </c>
      <c r="F191" s="10" t="s">
        <v>26</v>
      </c>
      <c r="G191" s="10" t="s">
        <v>25</v>
      </c>
      <c r="H191" s="10" t="s">
        <v>25</v>
      </c>
      <c r="I191" s="10" t="s">
        <v>27</v>
      </c>
      <c r="J191" s="10" t="s">
        <v>25</v>
      </c>
      <c r="K191" s="23" t="s">
        <v>485</v>
      </c>
      <c r="L191" s="5" t="s">
        <v>126</v>
      </c>
      <c r="M191" s="11" t="s">
        <v>486</v>
      </c>
      <c r="N191" s="11" t="s">
        <v>487</v>
      </c>
      <c r="O191" s="11"/>
      <c r="P191" s="11"/>
      <c r="Q191" s="11"/>
    </row>
    <row r="192" ht="15.75" hidden="1" customHeight="1">
      <c r="A192" s="8">
        <v>45779.0</v>
      </c>
      <c r="B192" s="9">
        <v>4.0</v>
      </c>
      <c r="C192" s="9">
        <v>4.28</v>
      </c>
      <c r="D192" s="10" t="s">
        <v>25</v>
      </c>
      <c r="E192" s="10" t="s">
        <v>26</v>
      </c>
      <c r="F192" s="10" t="s">
        <v>26</v>
      </c>
      <c r="G192" s="10" t="s">
        <v>25</v>
      </c>
      <c r="H192" s="10" t="s">
        <v>25</v>
      </c>
      <c r="I192" s="10" t="s">
        <v>27</v>
      </c>
      <c r="J192" s="10" t="s">
        <v>25</v>
      </c>
      <c r="K192" s="23" t="s">
        <v>488</v>
      </c>
      <c r="L192" s="5" t="s">
        <v>126</v>
      </c>
      <c r="M192" s="11" t="s">
        <v>489</v>
      </c>
      <c r="N192" s="11" t="s">
        <v>490</v>
      </c>
      <c r="O192" s="11"/>
      <c r="P192" s="11"/>
      <c r="Q192" s="11"/>
    </row>
    <row r="193" ht="15.75" hidden="1" customHeight="1">
      <c r="A193" s="8">
        <v>45782.0</v>
      </c>
      <c r="B193" s="9">
        <f t="shared" ref="B193:B212" si="12">B192+4</f>
        <v>8</v>
      </c>
      <c r="C193" s="9">
        <v>8.38</v>
      </c>
      <c r="D193" s="10" t="s">
        <v>25</v>
      </c>
      <c r="E193" s="10" t="s">
        <v>26</v>
      </c>
      <c r="F193" s="10" t="s">
        <v>26</v>
      </c>
      <c r="G193" s="10" t="s">
        <v>25</v>
      </c>
      <c r="H193" s="10" t="s">
        <v>25</v>
      </c>
      <c r="I193" s="10" t="s">
        <v>27</v>
      </c>
      <c r="J193" s="10" t="s">
        <v>25</v>
      </c>
      <c r="K193" s="23" t="s">
        <v>491</v>
      </c>
      <c r="L193" s="5" t="s">
        <v>126</v>
      </c>
      <c r="M193" s="11" t="s">
        <v>492</v>
      </c>
      <c r="N193" s="11" t="s">
        <v>493</v>
      </c>
      <c r="O193" s="11"/>
      <c r="P193" s="11"/>
      <c r="Q193" s="11"/>
    </row>
    <row r="194" ht="15.75" hidden="1" customHeight="1">
      <c r="A194" s="8">
        <v>45783.0</v>
      </c>
      <c r="B194" s="9">
        <f t="shared" si="12"/>
        <v>12</v>
      </c>
      <c r="C194" s="9">
        <f>C193+5.02</f>
        <v>13.4</v>
      </c>
      <c r="D194" s="10" t="s">
        <v>25</v>
      </c>
      <c r="E194" s="10" t="s">
        <v>26</v>
      </c>
      <c r="F194" s="10" t="s">
        <v>26</v>
      </c>
      <c r="G194" s="10" t="s">
        <v>25</v>
      </c>
      <c r="H194" s="10" t="s">
        <v>25</v>
      </c>
      <c r="I194" s="10" t="s">
        <v>27</v>
      </c>
      <c r="J194" s="10" t="s">
        <v>25</v>
      </c>
      <c r="K194" s="23" t="s">
        <v>494</v>
      </c>
      <c r="L194" s="5" t="s">
        <v>126</v>
      </c>
      <c r="M194" s="11" t="s">
        <v>495</v>
      </c>
      <c r="N194" s="11"/>
      <c r="O194" s="11"/>
      <c r="P194" s="11"/>
      <c r="Q194" s="11"/>
    </row>
    <row r="195" ht="15.75" hidden="1" customHeight="1">
      <c r="A195" s="8">
        <v>45784.0</v>
      </c>
      <c r="B195" s="9">
        <f t="shared" si="12"/>
        <v>16</v>
      </c>
      <c r="C195" s="9">
        <v>18.08</v>
      </c>
      <c r="D195" s="10" t="s">
        <v>26</v>
      </c>
      <c r="E195" s="10" t="s">
        <v>26</v>
      </c>
      <c r="F195" s="10" t="s">
        <v>26</v>
      </c>
      <c r="G195" s="10" t="s">
        <v>25</v>
      </c>
      <c r="H195" s="10" t="s">
        <v>155</v>
      </c>
      <c r="I195" s="10" t="s">
        <v>27</v>
      </c>
      <c r="J195" s="10" t="s">
        <v>25</v>
      </c>
      <c r="K195" s="23" t="s">
        <v>496</v>
      </c>
      <c r="L195" s="5" t="s">
        <v>126</v>
      </c>
      <c r="M195" s="11" t="s">
        <v>497</v>
      </c>
      <c r="N195" s="11"/>
      <c r="O195" s="11"/>
      <c r="P195" s="11"/>
      <c r="Q195" s="11"/>
    </row>
    <row r="196" ht="15.75" hidden="1" customHeight="1">
      <c r="A196" s="8">
        <v>45785.0</v>
      </c>
      <c r="B196" s="9">
        <f t="shared" si="12"/>
        <v>20</v>
      </c>
      <c r="C196" s="9">
        <v>18.08</v>
      </c>
      <c r="D196" s="10" t="s">
        <v>25</v>
      </c>
      <c r="E196" s="10" t="s">
        <v>25</v>
      </c>
      <c r="F196" s="10" t="s">
        <v>25</v>
      </c>
      <c r="G196" s="10" t="s">
        <v>25</v>
      </c>
      <c r="H196" s="10" t="s">
        <v>25</v>
      </c>
      <c r="I196" s="10" t="s">
        <v>498</v>
      </c>
      <c r="J196" s="10" t="s">
        <v>25</v>
      </c>
      <c r="K196" s="11" t="s">
        <v>499</v>
      </c>
      <c r="L196" s="5" t="s">
        <v>126</v>
      </c>
      <c r="M196" s="11"/>
      <c r="N196" s="11"/>
      <c r="O196" s="11"/>
      <c r="P196" s="11"/>
      <c r="Q196" s="11"/>
    </row>
    <row r="197" ht="15.75" hidden="1" customHeight="1">
      <c r="A197" s="8">
        <v>45786.0</v>
      </c>
      <c r="B197" s="9">
        <f t="shared" si="12"/>
        <v>24</v>
      </c>
      <c r="C197" s="9">
        <v>18.08</v>
      </c>
      <c r="D197" s="10" t="s">
        <v>25</v>
      </c>
      <c r="E197" s="10" t="s">
        <v>25</v>
      </c>
      <c r="F197" s="10" t="s">
        <v>25</v>
      </c>
      <c r="G197" s="10" t="s">
        <v>25</v>
      </c>
      <c r="H197" s="10" t="s">
        <v>25</v>
      </c>
      <c r="I197" s="10" t="s">
        <v>498</v>
      </c>
      <c r="J197" s="10" t="s">
        <v>25</v>
      </c>
      <c r="K197" s="11" t="s">
        <v>499</v>
      </c>
      <c r="L197" s="5" t="s">
        <v>126</v>
      </c>
      <c r="M197" s="11"/>
      <c r="N197" s="11"/>
      <c r="O197" s="11"/>
      <c r="P197" s="11"/>
      <c r="Q197" s="11"/>
    </row>
    <row r="198" ht="15.75" hidden="1" customHeight="1">
      <c r="A198" s="8">
        <v>45789.0</v>
      </c>
      <c r="B198" s="9">
        <f t="shared" si="12"/>
        <v>28</v>
      </c>
      <c r="C198" s="9">
        <v>18.08</v>
      </c>
      <c r="D198" s="10" t="s">
        <v>25</v>
      </c>
      <c r="E198" s="10" t="s">
        <v>25</v>
      </c>
      <c r="F198" s="10" t="s">
        <v>25</v>
      </c>
      <c r="G198" s="10" t="s">
        <v>25</v>
      </c>
      <c r="H198" s="10" t="s">
        <v>25</v>
      </c>
      <c r="I198" s="10" t="s">
        <v>498</v>
      </c>
      <c r="J198" s="10" t="s">
        <v>25</v>
      </c>
      <c r="K198" s="11" t="s">
        <v>499</v>
      </c>
      <c r="L198" s="5" t="s">
        <v>126</v>
      </c>
      <c r="M198" s="11"/>
      <c r="N198" s="11"/>
      <c r="O198" s="11"/>
      <c r="P198" s="11"/>
      <c r="Q198" s="11"/>
    </row>
    <row r="199" ht="15.75" hidden="1" customHeight="1">
      <c r="A199" s="8">
        <v>45790.0</v>
      </c>
      <c r="B199" s="9">
        <f t="shared" si="12"/>
        <v>32</v>
      </c>
      <c r="C199" s="9">
        <v>22.58</v>
      </c>
      <c r="D199" s="10" t="s">
        <v>25</v>
      </c>
      <c r="E199" s="10" t="s">
        <v>26</v>
      </c>
      <c r="F199" s="10" t="s">
        <v>26</v>
      </c>
      <c r="G199" s="10" t="s">
        <v>25</v>
      </c>
      <c r="H199" s="10" t="s">
        <v>155</v>
      </c>
      <c r="I199" s="10" t="s">
        <v>27</v>
      </c>
      <c r="J199" s="10" t="s">
        <v>25</v>
      </c>
      <c r="K199" s="23" t="s">
        <v>500</v>
      </c>
      <c r="L199" s="5" t="s">
        <v>40</v>
      </c>
      <c r="M199" s="11" t="s">
        <v>501</v>
      </c>
      <c r="N199" s="11"/>
      <c r="O199" s="11"/>
      <c r="P199" s="11"/>
      <c r="Q199" s="11"/>
    </row>
    <row r="200" ht="15.75" hidden="1" customHeight="1">
      <c r="A200" s="8">
        <v>45791.0</v>
      </c>
      <c r="B200" s="9">
        <f t="shared" si="12"/>
        <v>36</v>
      </c>
      <c r="C200" s="9">
        <v>25.54</v>
      </c>
      <c r="D200" s="10" t="s">
        <v>25</v>
      </c>
      <c r="E200" s="10" t="s">
        <v>26</v>
      </c>
      <c r="F200" s="10" t="s">
        <v>26</v>
      </c>
      <c r="G200" s="10" t="s">
        <v>25</v>
      </c>
      <c r="H200" s="10" t="s">
        <v>25</v>
      </c>
      <c r="I200" s="10" t="s">
        <v>27</v>
      </c>
      <c r="J200" s="10" t="s">
        <v>25</v>
      </c>
      <c r="K200" s="23" t="s">
        <v>502</v>
      </c>
      <c r="L200" s="5" t="s">
        <v>40</v>
      </c>
      <c r="M200" s="11" t="s">
        <v>503</v>
      </c>
      <c r="N200" s="11" t="s">
        <v>504</v>
      </c>
      <c r="O200" s="11"/>
      <c r="P200" s="11"/>
      <c r="Q200" s="11"/>
    </row>
    <row r="201" ht="15.75" hidden="1" customHeight="1">
      <c r="A201" s="8">
        <v>45792.0</v>
      </c>
      <c r="B201" s="9">
        <f t="shared" si="12"/>
        <v>40</v>
      </c>
      <c r="C201" s="9">
        <v>30.8</v>
      </c>
      <c r="D201" s="10" t="s">
        <v>25</v>
      </c>
      <c r="E201" s="10" t="s">
        <v>26</v>
      </c>
      <c r="F201" s="10" t="s">
        <v>26</v>
      </c>
      <c r="G201" s="10" t="s">
        <v>25</v>
      </c>
      <c r="H201" s="10" t="s">
        <v>25</v>
      </c>
      <c r="I201" s="10" t="s">
        <v>27</v>
      </c>
      <c r="J201" s="10" t="s">
        <v>25</v>
      </c>
      <c r="K201" s="23" t="s">
        <v>505</v>
      </c>
      <c r="L201" s="5" t="s">
        <v>126</v>
      </c>
      <c r="M201" s="11" t="s">
        <v>506</v>
      </c>
      <c r="N201" s="11" t="s">
        <v>504</v>
      </c>
      <c r="O201" s="11"/>
      <c r="P201" s="11"/>
      <c r="Q201" s="11"/>
    </row>
    <row r="202" ht="15.75" hidden="1" customHeight="1">
      <c r="A202" s="8">
        <v>45793.0</v>
      </c>
      <c r="B202" s="9">
        <f t="shared" si="12"/>
        <v>44</v>
      </c>
      <c r="C202" s="9">
        <v>33.94</v>
      </c>
      <c r="D202" s="10" t="s">
        <v>25</v>
      </c>
      <c r="E202" s="10" t="s">
        <v>26</v>
      </c>
      <c r="F202" s="10" t="s">
        <v>26</v>
      </c>
      <c r="G202" s="10" t="s">
        <v>25</v>
      </c>
      <c r="H202" s="10" t="s">
        <v>155</v>
      </c>
      <c r="I202" s="10" t="s">
        <v>27</v>
      </c>
      <c r="J202" s="10" t="s">
        <v>25</v>
      </c>
      <c r="K202" s="23" t="s">
        <v>507</v>
      </c>
      <c r="L202" s="5" t="s">
        <v>126</v>
      </c>
      <c r="M202" s="11" t="s">
        <v>508</v>
      </c>
      <c r="N202" s="25" t="s">
        <v>509</v>
      </c>
      <c r="O202" s="11"/>
      <c r="P202" s="11"/>
      <c r="Q202" s="11"/>
    </row>
    <row r="203" ht="15.75" hidden="1" customHeight="1">
      <c r="A203" s="8">
        <v>45794.0</v>
      </c>
      <c r="B203" s="9">
        <f t="shared" si="12"/>
        <v>48</v>
      </c>
      <c r="C203" s="9">
        <f>C202+4.4</f>
        <v>38.34</v>
      </c>
      <c r="D203" s="10" t="s">
        <v>26</v>
      </c>
      <c r="E203" s="10" t="s">
        <v>26</v>
      </c>
      <c r="F203" s="10" t="s">
        <v>26</v>
      </c>
      <c r="G203" s="10" t="s">
        <v>25</v>
      </c>
      <c r="H203" s="10" t="s">
        <v>25</v>
      </c>
      <c r="I203" s="10" t="s">
        <v>27</v>
      </c>
      <c r="J203" s="10" t="s">
        <v>25</v>
      </c>
      <c r="K203" s="23" t="s">
        <v>510</v>
      </c>
      <c r="L203" s="5" t="s">
        <v>126</v>
      </c>
      <c r="M203" s="11" t="s">
        <v>511</v>
      </c>
      <c r="N203" s="25" t="s">
        <v>512</v>
      </c>
      <c r="O203" s="11"/>
      <c r="P203" s="11"/>
      <c r="Q203" s="11"/>
    </row>
    <row r="204" ht="15.75" hidden="1" customHeight="1">
      <c r="A204" s="8">
        <v>45796.0</v>
      </c>
      <c r="B204" s="9">
        <f t="shared" si="12"/>
        <v>52</v>
      </c>
      <c r="C204" s="9">
        <f>C203+1.72</f>
        <v>40.06</v>
      </c>
      <c r="D204" s="10" t="s">
        <v>25</v>
      </c>
      <c r="E204" s="10" t="s">
        <v>26</v>
      </c>
      <c r="F204" s="10" t="s">
        <v>26</v>
      </c>
      <c r="G204" s="10" t="s">
        <v>25</v>
      </c>
      <c r="H204" s="10" t="s">
        <v>25</v>
      </c>
      <c r="I204" s="10" t="s">
        <v>27</v>
      </c>
      <c r="J204" s="10" t="s">
        <v>25</v>
      </c>
      <c r="K204" s="23" t="s">
        <v>513</v>
      </c>
      <c r="L204" s="5" t="s">
        <v>126</v>
      </c>
      <c r="M204" s="11" t="s">
        <v>514</v>
      </c>
      <c r="N204" s="11" t="s">
        <v>515</v>
      </c>
      <c r="O204" s="11" t="s">
        <v>516</v>
      </c>
      <c r="P204" s="11"/>
      <c r="Q204" s="11"/>
    </row>
    <row r="205" ht="15.75" hidden="1" customHeight="1">
      <c r="A205" s="8">
        <v>45797.0</v>
      </c>
      <c r="B205" s="9">
        <f t="shared" si="12"/>
        <v>56</v>
      </c>
      <c r="C205" s="9">
        <v>42.49</v>
      </c>
      <c r="D205" s="10" t="s">
        <v>25</v>
      </c>
      <c r="E205" s="10" t="s">
        <v>26</v>
      </c>
      <c r="F205" s="10" t="s">
        <v>26</v>
      </c>
      <c r="G205" s="10" t="s">
        <v>25</v>
      </c>
      <c r="H205" s="10" t="s">
        <v>25</v>
      </c>
      <c r="I205" s="10" t="s">
        <v>27</v>
      </c>
      <c r="J205" s="10" t="s">
        <v>25</v>
      </c>
      <c r="K205" s="23" t="s">
        <v>517</v>
      </c>
      <c r="L205" s="5" t="s">
        <v>126</v>
      </c>
      <c r="M205" s="11" t="s">
        <v>518</v>
      </c>
      <c r="N205" s="11" t="s">
        <v>519</v>
      </c>
      <c r="O205" s="11"/>
      <c r="P205" s="11"/>
      <c r="Q205" s="11"/>
    </row>
    <row r="206" ht="15.75" hidden="1" customHeight="1">
      <c r="A206" s="8">
        <v>45798.0</v>
      </c>
      <c r="B206" s="9">
        <f t="shared" si="12"/>
        <v>60</v>
      </c>
      <c r="C206" s="9">
        <f>C205+4.16</f>
        <v>46.65</v>
      </c>
      <c r="D206" s="10" t="s">
        <v>26</v>
      </c>
      <c r="E206" s="10" t="s">
        <v>25</v>
      </c>
      <c r="F206" s="10" t="s">
        <v>26</v>
      </c>
      <c r="G206" s="10" t="s">
        <v>25</v>
      </c>
      <c r="H206" s="10" t="s">
        <v>25</v>
      </c>
      <c r="I206" s="10" t="s">
        <v>27</v>
      </c>
      <c r="J206" s="10" t="s">
        <v>25</v>
      </c>
      <c r="K206" s="23" t="s">
        <v>520</v>
      </c>
      <c r="L206" s="5" t="s">
        <v>126</v>
      </c>
      <c r="M206" s="11" t="s">
        <v>521</v>
      </c>
      <c r="N206" s="11" t="s">
        <v>522</v>
      </c>
      <c r="O206" s="11"/>
      <c r="P206" s="11"/>
      <c r="Q206" s="11"/>
    </row>
    <row r="207" ht="15.75" hidden="1" customHeight="1">
      <c r="A207" s="8">
        <v>45799.0</v>
      </c>
      <c r="B207" s="9">
        <f t="shared" si="12"/>
        <v>64</v>
      </c>
      <c r="C207" s="9">
        <f>C206+0.7</f>
        <v>47.35</v>
      </c>
      <c r="D207" s="10" t="s">
        <v>25</v>
      </c>
      <c r="E207" s="10" t="s">
        <v>25</v>
      </c>
      <c r="F207" s="10" t="s">
        <v>26</v>
      </c>
      <c r="G207" s="10" t="s">
        <v>25</v>
      </c>
      <c r="H207" s="10" t="s">
        <v>25</v>
      </c>
      <c r="I207" s="10" t="s">
        <v>27</v>
      </c>
      <c r="J207" s="10" t="s">
        <v>25</v>
      </c>
      <c r="K207" s="23" t="s">
        <v>523</v>
      </c>
      <c r="L207" s="5" t="s">
        <v>126</v>
      </c>
      <c r="M207" s="11" t="s">
        <v>524</v>
      </c>
      <c r="N207" s="11" t="s">
        <v>525</v>
      </c>
      <c r="O207" s="11"/>
      <c r="P207" s="11"/>
      <c r="Q207" s="11"/>
    </row>
    <row r="208" ht="15.75" hidden="1" customHeight="1">
      <c r="A208" s="8">
        <v>45800.0</v>
      </c>
      <c r="B208" s="9">
        <f t="shared" si="12"/>
        <v>68</v>
      </c>
      <c r="C208" s="9">
        <f>C207+3.11</f>
        <v>50.46</v>
      </c>
      <c r="D208" s="10" t="s">
        <v>25</v>
      </c>
      <c r="E208" s="10" t="s">
        <v>26</v>
      </c>
      <c r="F208" s="10" t="s">
        <v>26</v>
      </c>
      <c r="G208" s="10" t="s">
        <v>25</v>
      </c>
      <c r="H208" s="10" t="s">
        <v>25</v>
      </c>
      <c r="I208" s="10" t="s">
        <v>27</v>
      </c>
      <c r="J208" s="10" t="s">
        <v>25</v>
      </c>
      <c r="K208" s="23" t="s">
        <v>526</v>
      </c>
      <c r="L208" s="5" t="s">
        <v>126</v>
      </c>
      <c r="M208" s="11" t="s">
        <v>527</v>
      </c>
      <c r="N208" s="11" t="s">
        <v>528</v>
      </c>
      <c r="O208" s="11"/>
      <c r="P208" s="11"/>
      <c r="Q208" s="11"/>
    </row>
    <row r="209" ht="15.75" hidden="1" customHeight="1">
      <c r="A209" s="8">
        <v>45803.0</v>
      </c>
      <c r="B209" s="9">
        <f t="shared" si="12"/>
        <v>72</v>
      </c>
      <c r="C209" s="9">
        <v>55.77</v>
      </c>
      <c r="D209" s="10" t="s">
        <v>25</v>
      </c>
      <c r="E209" s="10" t="s">
        <v>26</v>
      </c>
      <c r="F209" s="10" t="s">
        <v>26</v>
      </c>
      <c r="G209" s="10" t="s">
        <v>25</v>
      </c>
      <c r="H209" s="10" t="s">
        <v>25</v>
      </c>
      <c r="I209" s="10" t="s">
        <v>27</v>
      </c>
      <c r="J209" s="10" t="s">
        <v>25</v>
      </c>
      <c r="K209" s="23" t="s">
        <v>529</v>
      </c>
      <c r="L209" s="5" t="s">
        <v>126</v>
      </c>
      <c r="M209" s="11" t="s">
        <v>530</v>
      </c>
      <c r="N209" s="11" t="s">
        <v>531</v>
      </c>
      <c r="O209" s="11"/>
      <c r="P209" s="11"/>
      <c r="Q209" s="11"/>
    </row>
    <row r="210" ht="15.75" hidden="1" customHeight="1">
      <c r="A210" s="8">
        <v>45804.0</v>
      </c>
      <c r="B210" s="9">
        <f t="shared" si="12"/>
        <v>76</v>
      </c>
      <c r="C210" s="9">
        <v>60.22</v>
      </c>
      <c r="D210" s="10" t="s">
        <v>25</v>
      </c>
      <c r="E210" s="10" t="s">
        <v>26</v>
      </c>
      <c r="F210" s="10" t="s">
        <v>26</v>
      </c>
      <c r="G210" s="10" t="s">
        <v>25</v>
      </c>
      <c r="H210" s="10" t="s">
        <v>25</v>
      </c>
      <c r="I210" s="10" t="s">
        <v>27</v>
      </c>
      <c r="J210" s="10" t="s">
        <v>25</v>
      </c>
      <c r="K210" s="23" t="s">
        <v>532</v>
      </c>
      <c r="L210" s="5" t="s">
        <v>126</v>
      </c>
      <c r="M210" s="11" t="s">
        <v>533</v>
      </c>
      <c r="N210" s="11" t="s">
        <v>534</v>
      </c>
      <c r="O210" s="11"/>
      <c r="P210" s="11"/>
      <c r="Q210" s="11"/>
    </row>
    <row r="211" ht="15.75" hidden="1" customHeight="1">
      <c r="A211" s="8">
        <v>45805.0</v>
      </c>
      <c r="B211" s="9">
        <f t="shared" si="12"/>
        <v>80</v>
      </c>
      <c r="C211" s="9">
        <f>C210+1.06</f>
        <v>61.28</v>
      </c>
      <c r="D211" s="10" t="s">
        <v>25</v>
      </c>
      <c r="E211" s="10" t="s">
        <v>26</v>
      </c>
      <c r="F211" s="10" t="s">
        <v>26</v>
      </c>
      <c r="G211" s="10" t="s">
        <v>25</v>
      </c>
      <c r="H211" s="10" t="s">
        <v>25</v>
      </c>
      <c r="I211" s="10" t="s">
        <v>27</v>
      </c>
      <c r="J211" s="10" t="s">
        <v>25</v>
      </c>
      <c r="K211" s="23" t="s">
        <v>535</v>
      </c>
      <c r="L211" s="5" t="s">
        <v>126</v>
      </c>
      <c r="M211" s="11" t="s">
        <v>536</v>
      </c>
      <c r="N211" s="11" t="s">
        <v>537</v>
      </c>
      <c r="O211" s="11"/>
      <c r="P211" s="11"/>
      <c r="Q211" s="11"/>
    </row>
    <row r="212" ht="15.75" hidden="1" customHeight="1">
      <c r="A212" s="8">
        <v>45806.0</v>
      </c>
      <c r="B212" s="9">
        <f t="shared" si="12"/>
        <v>84</v>
      </c>
      <c r="C212" s="9">
        <f>C211+2.16</f>
        <v>63.44</v>
      </c>
      <c r="D212" s="10" t="s">
        <v>25</v>
      </c>
      <c r="E212" s="10" t="s">
        <v>26</v>
      </c>
      <c r="F212" s="10" t="s">
        <v>26</v>
      </c>
      <c r="G212" s="10" t="s">
        <v>25</v>
      </c>
      <c r="H212" s="10" t="s">
        <v>25</v>
      </c>
      <c r="I212" s="10" t="s">
        <v>27</v>
      </c>
      <c r="J212" s="10" t="s">
        <v>25</v>
      </c>
      <c r="K212" s="23" t="s">
        <v>538</v>
      </c>
      <c r="L212" s="5" t="s">
        <v>126</v>
      </c>
      <c r="M212" s="11" t="s">
        <v>539</v>
      </c>
      <c r="N212" s="11" t="s">
        <v>540</v>
      </c>
      <c r="O212" s="11"/>
      <c r="P212" s="11"/>
      <c r="Q212" s="11"/>
    </row>
    <row r="213" ht="15.75" hidden="1" customHeight="1">
      <c r="A213" s="8">
        <v>45811.0</v>
      </c>
      <c r="B213" s="9">
        <v>8.0</v>
      </c>
      <c r="C213" s="9">
        <v>5.13</v>
      </c>
      <c r="D213" s="10" t="s">
        <v>25</v>
      </c>
      <c r="E213" s="10" t="s">
        <v>26</v>
      </c>
      <c r="F213" s="10" t="s">
        <v>26</v>
      </c>
      <c r="G213" s="10" t="s">
        <v>25</v>
      </c>
      <c r="H213" s="10" t="s">
        <v>25</v>
      </c>
      <c r="I213" s="10" t="s">
        <v>27</v>
      </c>
      <c r="J213" s="10" t="s">
        <v>25</v>
      </c>
      <c r="K213" s="23" t="s">
        <v>541</v>
      </c>
      <c r="L213" s="5" t="s">
        <v>40</v>
      </c>
      <c r="M213" s="11" t="s">
        <v>542</v>
      </c>
      <c r="N213" s="11" t="s">
        <v>543</v>
      </c>
      <c r="O213" s="11"/>
      <c r="P213" s="11"/>
      <c r="Q213" s="11"/>
    </row>
    <row r="214" ht="15.75" hidden="1" customHeight="1">
      <c r="A214" s="8">
        <v>45812.0</v>
      </c>
      <c r="B214" s="9">
        <f t="shared" ref="B214:B231" si="13">B213+4</f>
        <v>12</v>
      </c>
      <c r="C214" s="9">
        <f>C213+7</f>
        <v>12.13</v>
      </c>
      <c r="D214" s="10" t="s">
        <v>25</v>
      </c>
      <c r="E214" s="10" t="s">
        <v>26</v>
      </c>
      <c r="F214" s="10" t="s">
        <v>26</v>
      </c>
      <c r="G214" s="10" t="s">
        <v>25</v>
      </c>
      <c r="H214" s="10" t="s">
        <v>25</v>
      </c>
      <c r="I214" s="10" t="s">
        <v>27</v>
      </c>
      <c r="J214" s="10" t="s">
        <v>25</v>
      </c>
      <c r="K214" s="23" t="s">
        <v>544</v>
      </c>
      <c r="L214" s="5" t="s">
        <v>126</v>
      </c>
      <c r="M214" s="11" t="s">
        <v>545</v>
      </c>
      <c r="N214" s="11" t="s">
        <v>546</v>
      </c>
      <c r="O214" s="11"/>
      <c r="P214" s="11"/>
      <c r="Q214" s="11"/>
    </row>
    <row r="215" ht="15.75" hidden="1" customHeight="1">
      <c r="A215" s="8">
        <v>45813.0</v>
      </c>
      <c r="B215" s="9">
        <f t="shared" si="13"/>
        <v>16</v>
      </c>
      <c r="C215" s="9">
        <v>16.52</v>
      </c>
      <c r="D215" s="10" t="s">
        <v>26</v>
      </c>
      <c r="E215" s="10" t="s">
        <v>26</v>
      </c>
      <c r="F215" s="10" t="s">
        <v>26</v>
      </c>
      <c r="G215" s="10" t="s">
        <v>25</v>
      </c>
      <c r="H215" s="10" t="s">
        <v>25</v>
      </c>
      <c r="I215" s="10" t="s">
        <v>27</v>
      </c>
      <c r="J215" s="10" t="s">
        <v>25</v>
      </c>
      <c r="K215" s="23" t="s">
        <v>547</v>
      </c>
      <c r="L215" s="5" t="s">
        <v>40</v>
      </c>
      <c r="M215" s="11" t="s">
        <v>548</v>
      </c>
      <c r="N215" s="11"/>
      <c r="O215" s="11"/>
      <c r="P215" s="11"/>
      <c r="Q215" s="11"/>
    </row>
    <row r="216" ht="15.75" hidden="1" customHeight="1">
      <c r="A216" s="8">
        <v>45814.0</v>
      </c>
      <c r="B216" s="9">
        <f t="shared" si="13"/>
        <v>20</v>
      </c>
      <c r="C216" s="9">
        <f>C215+4.01</f>
        <v>20.53</v>
      </c>
      <c r="D216" s="10" t="s">
        <v>26</v>
      </c>
      <c r="E216" s="10" t="s">
        <v>26</v>
      </c>
      <c r="F216" s="10" t="s">
        <v>26</v>
      </c>
      <c r="G216" s="10" t="s">
        <v>25</v>
      </c>
      <c r="H216" s="10" t="s">
        <v>25</v>
      </c>
      <c r="I216" s="10" t="s">
        <v>27</v>
      </c>
      <c r="J216" s="10" t="s">
        <v>25</v>
      </c>
      <c r="K216" s="23" t="s">
        <v>549</v>
      </c>
      <c r="L216" s="5" t="s">
        <v>126</v>
      </c>
      <c r="M216" s="11" t="s">
        <v>550</v>
      </c>
      <c r="N216" s="11" t="s">
        <v>551</v>
      </c>
      <c r="O216" s="11"/>
      <c r="P216" s="11"/>
      <c r="Q216" s="11"/>
    </row>
    <row r="217" ht="15.75" hidden="1" customHeight="1">
      <c r="A217" s="8">
        <v>45815.0</v>
      </c>
      <c r="B217" s="9">
        <f t="shared" si="13"/>
        <v>24</v>
      </c>
      <c r="C217" s="9">
        <v>20.69</v>
      </c>
      <c r="D217" s="10" t="s">
        <v>25</v>
      </c>
      <c r="E217" s="10" t="s">
        <v>26</v>
      </c>
      <c r="F217" s="10" t="s">
        <v>26</v>
      </c>
      <c r="G217" s="10" t="s">
        <v>25</v>
      </c>
      <c r="H217" s="10" t="s">
        <v>25</v>
      </c>
      <c r="I217" s="10" t="s">
        <v>27</v>
      </c>
      <c r="J217" s="10" t="s">
        <v>25</v>
      </c>
      <c r="K217" s="23" t="s">
        <v>552</v>
      </c>
      <c r="L217" s="5" t="s">
        <v>126</v>
      </c>
      <c r="M217" s="11" t="s">
        <v>553</v>
      </c>
      <c r="N217" s="11"/>
      <c r="O217" s="11"/>
      <c r="P217" s="11"/>
      <c r="Q217" s="11"/>
    </row>
    <row r="218" ht="15.75" hidden="1" customHeight="1">
      <c r="A218" s="8">
        <v>45817.0</v>
      </c>
      <c r="B218" s="9">
        <f t="shared" si="13"/>
        <v>28</v>
      </c>
      <c r="C218" s="9">
        <v>22.7</v>
      </c>
      <c r="D218" s="10" t="s">
        <v>25</v>
      </c>
      <c r="E218" s="10" t="s">
        <v>26</v>
      </c>
      <c r="F218" s="10" t="s">
        <v>26</v>
      </c>
      <c r="G218" s="10" t="s">
        <v>25</v>
      </c>
      <c r="H218" s="10" t="s">
        <v>25</v>
      </c>
      <c r="I218" s="10" t="s">
        <v>27</v>
      </c>
      <c r="J218" s="10" t="s">
        <v>25</v>
      </c>
      <c r="K218" s="23" t="s">
        <v>554</v>
      </c>
      <c r="L218" s="5" t="s">
        <v>126</v>
      </c>
      <c r="M218" s="11" t="s">
        <v>555</v>
      </c>
      <c r="N218" s="11"/>
      <c r="O218" s="11"/>
      <c r="P218" s="11"/>
      <c r="Q218" s="11"/>
    </row>
    <row r="219" ht="15.75" hidden="1" customHeight="1">
      <c r="A219" s="8">
        <v>45818.0</v>
      </c>
      <c r="B219" s="9">
        <f t="shared" si="13"/>
        <v>32</v>
      </c>
      <c r="C219" s="9">
        <f>C218+0.93</f>
        <v>23.63</v>
      </c>
      <c r="D219" s="10" t="s">
        <v>25</v>
      </c>
      <c r="E219" s="10" t="s">
        <v>26</v>
      </c>
      <c r="F219" s="10" t="s">
        <v>26</v>
      </c>
      <c r="G219" s="10" t="s">
        <v>25</v>
      </c>
      <c r="H219" s="10" t="s">
        <v>25</v>
      </c>
      <c r="I219" s="10" t="s">
        <v>27</v>
      </c>
      <c r="J219" s="10" t="s">
        <v>25</v>
      </c>
      <c r="K219" s="23" t="s">
        <v>556</v>
      </c>
      <c r="L219" s="5" t="s">
        <v>126</v>
      </c>
      <c r="M219" s="11" t="s">
        <v>557</v>
      </c>
      <c r="N219" s="11"/>
      <c r="O219" s="11"/>
      <c r="P219" s="11"/>
      <c r="Q219" s="11"/>
    </row>
    <row r="220" ht="15.75" hidden="1" customHeight="1">
      <c r="A220" s="8">
        <v>45819.0</v>
      </c>
      <c r="B220" s="9">
        <f t="shared" si="13"/>
        <v>36</v>
      </c>
      <c r="C220" s="9">
        <f>C219+2.83</f>
        <v>26.46</v>
      </c>
      <c r="D220" s="10" t="s">
        <v>26</v>
      </c>
      <c r="E220" s="10" t="s">
        <v>26</v>
      </c>
      <c r="F220" s="10" t="s">
        <v>26</v>
      </c>
      <c r="G220" s="10" t="s">
        <v>25</v>
      </c>
      <c r="H220" s="10" t="s">
        <v>25</v>
      </c>
      <c r="I220" s="10" t="s">
        <v>27</v>
      </c>
      <c r="J220" s="10" t="s">
        <v>25</v>
      </c>
      <c r="K220" s="23" t="s">
        <v>558</v>
      </c>
      <c r="L220" s="5" t="s">
        <v>126</v>
      </c>
      <c r="M220" s="11" t="s">
        <v>559</v>
      </c>
      <c r="N220" s="11"/>
      <c r="O220" s="11"/>
      <c r="P220" s="11"/>
      <c r="Q220" s="11"/>
    </row>
    <row r="221" ht="15.75" hidden="1" customHeight="1">
      <c r="A221" s="8">
        <v>45820.0</v>
      </c>
      <c r="B221" s="9">
        <f t="shared" si="13"/>
        <v>40</v>
      </c>
      <c r="C221" s="9">
        <v>28.73</v>
      </c>
      <c r="D221" s="10" t="s">
        <v>25</v>
      </c>
      <c r="E221" s="10" t="s">
        <v>26</v>
      </c>
      <c r="F221" s="10" t="s">
        <v>26</v>
      </c>
      <c r="G221" s="10" t="s">
        <v>25</v>
      </c>
      <c r="H221" s="10" t="s">
        <v>25</v>
      </c>
      <c r="I221" s="10" t="s">
        <v>27</v>
      </c>
      <c r="J221" s="10" t="s">
        <v>25</v>
      </c>
      <c r="K221" s="23" t="s">
        <v>560</v>
      </c>
      <c r="L221" s="5" t="s">
        <v>126</v>
      </c>
      <c r="M221" s="11" t="s">
        <v>561</v>
      </c>
      <c r="N221" s="11"/>
      <c r="O221" s="11"/>
      <c r="P221" s="11"/>
      <c r="Q221" s="11"/>
    </row>
    <row r="222" ht="15.75" hidden="1" customHeight="1">
      <c r="A222" s="8">
        <v>45821.0</v>
      </c>
      <c r="B222" s="9">
        <f t="shared" si="13"/>
        <v>44</v>
      </c>
      <c r="C222" s="9">
        <f>C221+2.08</f>
        <v>30.81</v>
      </c>
      <c r="D222" s="10" t="s">
        <v>25</v>
      </c>
      <c r="E222" s="10" t="s">
        <v>26</v>
      </c>
      <c r="F222" s="10" t="s">
        <v>26</v>
      </c>
      <c r="G222" s="10" t="s">
        <v>25</v>
      </c>
      <c r="H222" s="10" t="s">
        <v>25</v>
      </c>
      <c r="I222" s="10" t="s">
        <v>27</v>
      </c>
      <c r="J222" s="10" t="s">
        <v>25</v>
      </c>
      <c r="K222" s="23" t="s">
        <v>562</v>
      </c>
      <c r="L222" s="5" t="s">
        <v>126</v>
      </c>
      <c r="M222" s="11" t="s">
        <v>563</v>
      </c>
      <c r="N222" s="11"/>
      <c r="O222" s="11"/>
      <c r="P222" s="11"/>
      <c r="Q222" s="11"/>
    </row>
    <row r="223" ht="15.75" hidden="1" customHeight="1">
      <c r="A223" s="8">
        <v>45824.0</v>
      </c>
      <c r="B223" s="9">
        <f t="shared" si="13"/>
        <v>48</v>
      </c>
      <c r="C223" s="9">
        <v>33.21</v>
      </c>
      <c r="D223" s="10" t="s">
        <v>25</v>
      </c>
      <c r="E223" s="10" t="s">
        <v>26</v>
      </c>
      <c r="F223" s="10" t="s">
        <v>26</v>
      </c>
      <c r="G223" s="10" t="s">
        <v>25</v>
      </c>
      <c r="H223" s="10" t="s">
        <v>25</v>
      </c>
      <c r="I223" s="10" t="s">
        <v>27</v>
      </c>
      <c r="J223" s="10" t="s">
        <v>25</v>
      </c>
      <c r="K223" s="23" t="s">
        <v>564</v>
      </c>
      <c r="L223" s="5" t="s">
        <v>126</v>
      </c>
      <c r="M223" s="11" t="s">
        <v>565</v>
      </c>
      <c r="N223" s="11"/>
      <c r="O223" s="11"/>
      <c r="P223" s="11"/>
      <c r="Q223" s="11"/>
    </row>
    <row r="224" ht="15.75" hidden="1" customHeight="1">
      <c r="A224" s="8">
        <v>45825.0</v>
      </c>
      <c r="B224" s="9">
        <f t="shared" si="13"/>
        <v>52</v>
      </c>
      <c r="C224" s="9">
        <f>C223+0.16</f>
        <v>33.37</v>
      </c>
      <c r="D224" s="10" t="s">
        <v>25</v>
      </c>
      <c r="E224" s="10" t="s">
        <v>26</v>
      </c>
      <c r="F224" s="10" t="s">
        <v>26</v>
      </c>
      <c r="G224" s="10" t="s">
        <v>25</v>
      </c>
      <c r="H224" s="10" t="s">
        <v>25</v>
      </c>
      <c r="I224" s="10" t="s">
        <v>27</v>
      </c>
      <c r="J224" s="10" t="s">
        <v>25</v>
      </c>
      <c r="K224" s="23" t="s">
        <v>566</v>
      </c>
      <c r="L224" s="5" t="s">
        <v>40</v>
      </c>
      <c r="M224" s="11" t="s">
        <v>567</v>
      </c>
      <c r="N224" s="11"/>
      <c r="O224" s="11"/>
      <c r="P224" s="11"/>
      <c r="Q224" s="11"/>
    </row>
    <row r="225" ht="15.75" hidden="1" customHeight="1">
      <c r="A225" s="8">
        <v>45826.0</v>
      </c>
      <c r="B225" s="9">
        <f t="shared" si="13"/>
        <v>56</v>
      </c>
      <c r="C225" s="9">
        <f>C224+2.52</f>
        <v>35.89</v>
      </c>
      <c r="D225" s="10" t="s">
        <v>25</v>
      </c>
      <c r="E225" s="10" t="s">
        <v>26</v>
      </c>
      <c r="F225" s="10" t="s">
        <v>26</v>
      </c>
      <c r="G225" s="10" t="s">
        <v>25</v>
      </c>
      <c r="H225" s="10" t="s">
        <v>25</v>
      </c>
      <c r="I225" s="10" t="s">
        <v>27</v>
      </c>
      <c r="J225" s="10" t="s">
        <v>25</v>
      </c>
      <c r="K225" s="23" t="s">
        <v>568</v>
      </c>
      <c r="L225" s="5" t="s">
        <v>126</v>
      </c>
      <c r="M225" s="11" t="s">
        <v>569</v>
      </c>
      <c r="N225" s="11"/>
      <c r="O225" s="11"/>
      <c r="P225" s="11"/>
      <c r="Q225" s="11"/>
    </row>
    <row r="226" ht="15.75" hidden="1" customHeight="1">
      <c r="A226" s="8">
        <v>45827.0</v>
      </c>
      <c r="B226" s="9">
        <f t="shared" si="13"/>
        <v>60</v>
      </c>
      <c r="C226" s="9">
        <v>37.0</v>
      </c>
      <c r="D226" s="10" t="s">
        <v>25</v>
      </c>
      <c r="E226" s="10" t="s">
        <v>26</v>
      </c>
      <c r="F226" s="10" t="s">
        <v>26</v>
      </c>
      <c r="G226" s="10" t="s">
        <v>25</v>
      </c>
      <c r="H226" s="10" t="s">
        <v>25</v>
      </c>
      <c r="I226" s="10" t="s">
        <v>27</v>
      </c>
      <c r="J226" s="10" t="s">
        <v>25</v>
      </c>
      <c r="K226" s="23" t="s">
        <v>570</v>
      </c>
      <c r="L226" s="5" t="s">
        <v>126</v>
      </c>
      <c r="M226" s="11" t="s">
        <v>571</v>
      </c>
      <c r="N226" s="11"/>
      <c r="O226" s="11"/>
      <c r="P226" s="11"/>
      <c r="Q226" s="11"/>
    </row>
    <row r="227" ht="15.75" hidden="1" customHeight="1">
      <c r="A227" s="8">
        <v>45828.0</v>
      </c>
      <c r="B227" s="9">
        <f t="shared" si="13"/>
        <v>64</v>
      </c>
      <c r="C227" s="9">
        <f>C226+3.02</f>
        <v>40.02</v>
      </c>
      <c r="D227" s="10" t="s">
        <v>25</v>
      </c>
      <c r="E227" s="10" t="s">
        <v>26</v>
      </c>
      <c r="F227" s="10" t="s">
        <v>26</v>
      </c>
      <c r="G227" s="10" t="s">
        <v>25</v>
      </c>
      <c r="H227" s="10" t="s">
        <v>25</v>
      </c>
      <c r="I227" s="10" t="s">
        <v>27</v>
      </c>
      <c r="J227" s="10" t="s">
        <v>25</v>
      </c>
      <c r="K227" s="23" t="s">
        <v>572</v>
      </c>
      <c r="L227" s="5" t="s">
        <v>126</v>
      </c>
      <c r="M227" s="11" t="s">
        <v>573</v>
      </c>
      <c r="N227" s="11"/>
      <c r="O227" s="11"/>
      <c r="P227" s="11"/>
      <c r="Q227" s="11"/>
    </row>
    <row r="228" ht="15.75" hidden="1" customHeight="1">
      <c r="A228" s="8">
        <v>45831.0</v>
      </c>
      <c r="B228" s="9">
        <f t="shared" si="13"/>
        <v>68</v>
      </c>
      <c r="C228" s="9">
        <f>C227+2.99</f>
        <v>43.01</v>
      </c>
      <c r="D228" s="10" t="s">
        <v>26</v>
      </c>
      <c r="E228" s="10" t="s">
        <v>26</v>
      </c>
      <c r="F228" s="10" t="s">
        <v>26</v>
      </c>
      <c r="G228" s="10" t="s">
        <v>25</v>
      </c>
      <c r="H228" s="10" t="s">
        <v>25</v>
      </c>
      <c r="I228" s="10" t="s">
        <v>27</v>
      </c>
      <c r="J228" s="10" t="s">
        <v>25</v>
      </c>
      <c r="K228" s="23" t="s">
        <v>574</v>
      </c>
      <c r="L228" s="5" t="s">
        <v>126</v>
      </c>
      <c r="M228" s="11" t="s">
        <v>575</v>
      </c>
      <c r="N228" s="11"/>
      <c r="O228" s="11"/>
      <c r="P228" s="11"/>
      <c r="Q228" s="11"/>
    </row>
    <row r="229" ht="15.75" hidden="1" customHeight="1">
      <c r="A229" s="8">
        <v>45832.0</v>
      </c>
      <c r="B229" s="9">
        <f t="shared" si="13"/>
        <v>72</v>
      </c>
      <c r="C229" s="9">
        <v>45.07</v>
      </c>
      <c r="D229" s="10" t="s">
        <v>25</v>
      </c>
      <c r="E229" s="10" t="s">
        <v>26</v>
      </c>
      <c r="F229" s="10" t="s">
        <v>26</v>
      </c>
      <c r="G229" s="10" t="s">
        <v>25</v>
      </c>
      <c r="H229" s="10" t="s">
        <v>25</v>
      </c>
      <c r="I229" s="10" t="s">
        <v>27</v>
      </c>
      <c r="J229" s="10" t="s">
        <v>25</v>
      </c>
      <c r="K229" s="23" t="s">
        <v>576</v>
      </c>
      <c r="L229" s="5" t="s">
        <v>126</v>
      </c>
      <c r="M229" s="11" t="s">
        <v>577</v>
      </c>
      <c r="N229" s="11"/>
      <c r="O229" s="11"/>
      <c r="P229" s="11"/>
      <c r="Q229" s="11"/>
    </row>
    <row r="230" ht="15.75" hidden="1" customHeight="1">
      <c r="A230" s="8">
        <v>45833.0</v>
      </c>
      <c r="B230" s="9">
        <f t="shared" si="13"/>
        <v>76</v>
      </c>
      <c r="C230" s="9">
        <f>C229+0.73</f>
        <v>45.8</v>
      </c>
      <c r="D230" s="10" t="s">
        <v>25</v>
      </c>
      <c r="E230" s="10" t="s">
        <v>26</v>
      </c>
      <c r="F230" s="10" t="s">
        <v>26</v>
      </c>
      <c r="G230" s="10" t="s">
        <v>25</v>
      </c>
      <c r="H230" s="10" t="s">
        <v>25</v>
      </c>
      <c r="I230" s="10" t="s">
        <v>27</v>
      </c>
      <c r="J230" s="10" t="s">
        <v>25</v>
      </c>
      <c r="K230" s="23" t="s">
        <v>578</v>
      </c>
      <c r="L230" s="5" t="s">
        <v>126</v>
      </c>
      <c r="M230" s="11" t="s">
        <v>579</v>
      </c>
      <c r="N230" s="11"/>
      <c r="O230" s="11"/>
      <c r="P230" s="11"/>
      <c r="Q230" s="11"/>
    </row>
    <row r="231" ht="15.75" hidden="1" customHeight="1">
      <c r="A231" s="8">
        <v>45834.0</v>
      </c>
      <c r="B231" s="9">
        <f t="shared" si="13"/>
        <v>80</v>
      </c>
      <c r="C231" s="9">
        <f>C230+0.65</f>
        <v>46.45</v>
      </c>
      <c r="D231" s="10" t="s">
        <v>25</v>
      </c>
      <c r="E231" s="10" t="s">
        <v>26</v>
      </c>
      <c r="F231" s="10" t="s">
        <v>26</v>
      </c>
      <c r="G231" s="10" t="s">
        <v>25</v>
      </c>
      <c r="H231" s="10" t="s">
        <v>25</v>
      </c>
      <c r="I231" s="10" t="s">
        <v>27</v>
      </c>
      <c r="J231" s="10" t="s">
        <v>25</v>
      </c>
      <c r="K231" s="23" t="s">
        <v>580</v>
      </c>
      <c r="L231" s="5" t="s">
        <v>126</v>
      </c>
      <c r="M231" s="11" t="s">
        <v>581</v>
      </c>
      <c r="N231" s="11"/>
      <c r="O231" s="11"/>
      <c r="P231" s="11"/>
      <c r="Q231" s="11"/>
    </row>
    <row r="232" ht="15.75" hidden="1" customHeight="1">
      <c r="A232" s="8">
        <v>45835.0</v>
      </c>
      <c r="B232" s="9">
        <v>80.0</v>
      </c>
      <c r="C232" s="9">
        <f>C231+1.31</f>
        <v>47.76</v>
      </c>
      <c r="D232" s="10" t="s">
        <v>25</v>
      </c>
      <c r="E232" s="10" t="s">
        <v>26</v>
      </c>
      <c r="F232" s="10" t="s">
        <v>26</v>
      </c>
      <c r="G232" s="10" t="s">
        <v>25</v>
      </c>
      <c r="H232" s="10" t="s">
        <v>25</v>
      </c>
      <c r="I232" s="10" t="s">
        <v>27</v>
      </c>
      <c r="J232" s="10" t="s">
        <v>25</v>
      </c>
      <c r="K232" s="23" t="s">
        <v>582</v>
      </c>
      <c r="L232" s="5" t="s">
        <v>126</v>
      </c>
      <c r="M232" s="11" t="s">
        <v>583</v>
      </c>
      <c r="N232" s="11"/>
      <c r="O232" s="11"/>
      <c r="P232" s="11"/>
      <c r="Q232" s="11"/>
    </row>
    <row r="233" ht="15.75" hidden="1" customHeight="1">
      <c r="A233" s="8">
        <v>45838.0</v>
      </c>
      <c r="B233" s="9">
        <v>80.0</v>
      </c>
      <c r="C233" s="9">
        <v>53.52</v>
      </c>
      <c r="D233" s="10" t="s">
        <v>25</v>
      </c>
      <c r="E233" s="10" t="s">
        <v>26</v>
      </c>
      <c r="F233" s="10" t="s">
        <v>26</v>
      </c>
      <c r="G233" s="10" t="s">
        <v>25</v>
      </c>
      <c r="H233" s="10" t="s">
        <v>25</v>
      </c>
      <c r="I233" s="10" t="s">
        <v>27</v>
      </c>
      <c r="J233" s="10" t="s">
        <v>25</v>
      </c>
      <c r="K233" s="23" t="s">
        <v>584</v>
      </c>
      <c r="L233" s="5" t="s">
        <v>126</v>
      </c>
      <c r="M233" s="11" t="s">
        <v>585</v>
      </c>
      <c r="N233" s="11"/>
      <c r="O233" s="11"/>
      <c r="P233" s="11"/>
      <c r="Q233" s="11"/>
    </row>
    <row r="234" ht="15.75" hidden="1" customHeight="1">
      <c r="A234" s="8"/>
      <c r="B234" s="9"/>
      <c r="C234" s="9"/>
      <c r="K234" s="23"/>
      <c r="L234" s="5"/>
      <c r="M234" s="11"/>
      <c r="N234" s="11"/>
      <c r="O234" s="11"/>
      <c r="P234" s="11"/>
      <c r="Q234" s="11"/>
    </row>
    <row r="235" ht="15.75" hidden="1" customHeight="1">
      <c r="A235" s="8">
        <v>45839.0</v>
      </c>
      <c r="B235" s="9">
        <v>4.0</v>
      </c>
      <c r="C235" s="9">
        <v>6.06</v>
      </c>
      <c r="D235" s="10" t="s">
        <v>25</v>
      </c>
      <c r="E235" s="10" t="s">
        <v>26</v>
      </c>
      <c r="F235" s="10" t="s">
        <v>26</v>
      </c>
      <c r="G235" s="10" t="s">
        <v>26</v>
      </c>
      <c r="H235" s="10" t="s">
        <v>25</v>
      </c>
      <c r="I235" s="10" t="s">
        <v>27</v>
      </c>
      <c r="J235" s="10" t="s">
        <v>25</v>
      </c>
      <c r="K235" s="23" t="s">
        <v>586</v>
      </c>
      <c r="L235" s="5" t="s">
        <v>126</v>
      </c>
      <c r="M235" s="11" t="s">
        <v>587</v>
      </c>
      <c r="N235" s="11"/>
      <c r="O235" s="11"/>
      <c r="P235" s="11"/>
      <c r="Q235" s="11"/>
    </row>
    <row r="236" ht="15.75" hidden="1" customHeight="1">
      <c r="A236" s="8">
        <v>45840.0</v>
      </c>
      <c r="B236" s="9">
        <f t="shared" ref="B236:B254" si="14">B235+4</f>
        <v>8</v>
      </c>
      <c r="C236" s="9">
        <f>C235+3.19</f>
        <v>9.25</v>
      </c>
      <c r="D236" s="10" t="s">
        <v>25</v>
      </c>
      <c r="E236" s="10" t="s">
        <v>26</v>
      </c>
      <c r="F236" s="10" t="s">
        <v>26</v>
      </c>
      <c r="G236" s="10" t="s">
        <v>26</v>
      </c>
      <c r="H236" s="10" t="s">
        <v>25</v>
      </c>
      <c r="I236" s="10" t="s">
        <v>27</v>
      </c>
      <c r="J236" s="10" t="s">
        <v>25</v>
      </c>
      <c r="K236" s="23" t="s">
        <v>588</v>
      </c>
      <c r="L236" s="5" t="s">
        <v>40</v>
      </c>
      <c r="M236" s="11" t="s">
        <v>589</v>
      </c>
      <c r="N236" s="11"/>
      <c r="O236" s="11"/>
      <c r="P236" s="11"/>
      <c r="Q236" s="11"/>
    </row>
    <row r="237" ht="15.75" hidden="1" customHeight="1">
      <c r="A237" s="8">
        <v>45841.0</v>
      </c>
      <c r="B237" s="9">
        <f t="shared" si="14"/>
        <v>12</v>
      </c>
      <c r="C237" s="9">
        <v>14.27</v>
      </c>
      <c r="D237" s="10" t="s">
        <v>26</v>
      </c>
      <c r="E237" s="10" t="s">
        <v>26</v>
      </c>
      <c r="F237" s="10" t="s">
        <v>26</v>
      </c>
      <c r="G237" s="10" t="s">
        <v>26</v>
      </c>
      <c r="H237" s="10" t="s">
        <v>25</v>
      </c>
      <c r="I237" s="10" t="s">
        <v>27</v>
      </c>
      <c r="J237" s="10" t="s">
        <v>25</v>
      </c>
      <c r="K237" s="23" t="s">
        <v>590</v>
      </c>
      <c r="L237" s="5" t="s">
        <v>40</v>
      </c>
      <c r="M237" s="11" t="s">
        <v>591</v>
      </c>
      <c r="N237" s="11"/>
      <c r="O237" s="11"/>
      <c r="P237" s="11"/>
      <c r="Q237" s="11"/>
    </row>
    <row r="238" ht="15.75" hidden="1" customHeight="1">
      <c r="A238" s="8">
        <v>45842.0</v>
      </c>
      <c r="B238" s="9">
        <f t="shared" si="14"/>
        <v>16</v>
      </c>
      <c r="C238" s="9">
        <f>C237+5.29</f>
        <v>19.56</v>
      </c>
      <c r="D238" s="10" t="s">
        <v>26</v>
      </c>
      <c r="E238" s="10" t="s">
        <v>26</v>
      </c>
      <c r="F238" s="10" t="s">
        <v>26</v>
      </c>
      <c r="G238" s="10" t="s">
        <v>26</v>
      </c>
      <c r="H238" s="10" t="s">
        <v>25</v>
      </c>
      <c r="I238" s="10" t="s">
        <v>27</v>
      </c>
      <c r="J238" s="10" t="s">
        <v>25</v>
      </c>
      <c r="K238" s="23" t="s">
        <v>592</v>
      </c>
      <c r="L238" s="5" t="s">
        <v>40</v>
      </c>
      <c r="M238" s="11" t="s">
        <v>593</v>
      </c>
      <c r="N238" s="11"/>
      <c r="O238" s="11"/>
      <c r="P238" s="11"/>
      <c r="Q238" s="11"/>
    </row>
    <row r="239" ht="15.75" hidden="1" customHeight="1">
      <c r="A239" s="8">
        <v>45845.0</v>
      </c>
      <c r="B239" s="9">
        <f t="shared" si="14"/>
        <v>20</v>
      </c>
      <c r="C239" s="9">
        <f>C238+3.48</f>
        <v>23.04</v>
      </c>
      <c r="D239" s="10" t="s">
        <v>25</v>
      </c>
      <c r="E239" s="10" t="s">
        <v>26</v>
      </c>
      <c r="F239" s="10" t="s">
        <v>26</v>
      </c>
      <c r="G239" s="10" t="s">
        <v>26</v>
      </c>
      <c r="H239" s="10" t="s">
        <v>25</v>
      </c>
      <c r="I239" s="10" t="s">
        <v>27</v>
      </c>
      <c r="J239" s="10" t="s">
        <v>25</v>
      </c>
      <c r="K239" s="23" t="s">
        <v>594</v>
      </c>
      <c r="L239" s="5" t="s">
        <v>126</v>
      </c>
      <c r="M239" s="11" t="s">
        <v>595</v>
      </c>
      <c r="N239" s="11"/>
      <c r="O239" s="11"/>
      <c r="P239" s="11"/>
      <c r="Q239" s="11"/>
    </row>
    <row r="240" ht="15.75" hidden="1" customHeight="1">
      <c r="A240" s="8">
        <v>45846.0</v>
      </c>
      <c r="B240" s="9">
        <f t="shared" si="14"/>
        <v>24</v>
      </c>
      <c r="C240" s="9">
        <f>C239+0.54</f>
        <v>23.58</v>
      </c>
      <c r="D240" s="10" t="s">
        <v>25</v>
      </c>
      <c r="E240" s="10" t="s">
        <v>26</v>
      </c>
      <c r="F240" s="10" t="s">
        <v>26</v>
      </c>
      <c r="G240" s="10" t="s">
        <v>26</v>
      </c>
      <c r="H240" s="10" t="s">
        <v>25</v>
      </c>
      <c r="I240" s="10" t="s">
        <v>27</v>
      </c>
      <c r="J240" s="10" t="s">
        <v>25</v>
      </c>
      <c r="K240" s="23" t="s">
        <v>596</v>
      </c>
      <c r="L240" s="5" t="s">
        <v>126</v>
      </c>
      <c r="M240" s="11" t="s">
        <v>597</v>
      </c>
      <c r="N240" s="11"/>
      <c r="O240" s="11"/>
      <c r="P240" s="11"/>
      <c r="Q240" s="11"/>
    </row>
    <row r="241" ht="15.75" hidden="1" customHeight="1">
      <c r="A241" s="8">
        <v>45847.0</v>
      </c>
      <c r="B241" s="9">
        <f t="shared" si="14"/>
        <v>28</v>
      </c>
      <c r="C241" s="9">
        <v>24.61</v>
      </c>
      <c r="D241" s="10" t="s">
        <v>25</v>
      </c>
      <c r="E241" s="10" t="s">
        <v>26</v>
      </c>
      <c r="F241" s="10" t="s">
        <v>26</v>
      </c>
      <c r="G241" s="10" t="s">
        <v>26</v>
      </c>
      <c r="H241" s="10" t="s">
        <v>25</v>
      </c>
      <c r="I241" s="10" t="s">
        <v>27</v>
      </c>
      <c r="J241" s="10" t="s">
        <v>25</v>
      </c>
      <c r="K241" s="23" t="s">
        <v>598</v>
      </c>
      <c r="L241" s="5" t="s">
        <v>126</v>
      </c>
      <c r="M241" s="11" t="s">
        <v>599</v>
      </c>
      <c r="N241" s="11"/>
      <c r="O241" s="11"/>
      <c r="P241" s="11"/>
      <c r="Q241" s="11"/>
    </row>
    <row r="242" ht="15.75" hidden="1" customHeight="1">
      <c r="A242" s="8">
        <v>45848.0</v>
      </c>
      <c r="B242" s="9">
        <f t="shared" si="14"/>
        <v>32</v>
      </c>
      <c r="C242" s="9">
        <v>27.75</v>
      </c>
      <c r="D242" s="10" t="s">
        <v>25</v>
      </c>
      <c r="E242" s="10" t="s">
        <v>26</v>
      </c>
      <c r="F242" s="10" t="s">
        <v>26</v>
      </c>
      <c r="G242" s="10" t="s">
        <v>25</v>
      </c>
      <c r="H242" s="10" t="s">
        <v>25</v>
      </c>
      <c r="I242" s="10" t="s">
        <v>27</v>
      </c>
      <c r="J242" s="10" t="s">
        <v>25</v>
      </c>
      <c r="K242" s="23" t="s">
        <v>600</v>
      </c>
      <c r="L242" s="5" t="s">
        <v>126</v>
      </c>
      <c r="M242" s="11" t="s">
        <v>601</v>
      </c>
      <c r="N242" s="11"/>
      <c r="O242" s="11"/>
      <c r="P242" s="11"/>
      <c r="Q242" s="11"/>
    </row>
    <row r="243" ht="15.75" hidden="1" customHeight="1">
      <c r="A243" s="8">
        <v>45849.0</v>
      </c>
      <c r="B243" s="9">
        <f t="shared" si="14"/>
        <v>36</v>
      </c>
      <c r="C243" s="9">
        <f>C242+3.35</f>
        <v>31.1</v>
      </c>
      <c r="D243" s="10" t="s">
        <v>26</v>
      </c>
      <c r="E243" s="10" t="s">
        <v>26</v>
      </c>
      <c r="F243" s="10" t="s">
        <v>26</v>
      </c>
      <c r="G243" s="10" t="s">
        <v>26</v>
      </c>
      <c r="H243" s="10" t="s">
        <v>25</v>
      </c>
      <c r="I243" s="10" t="s">
        <v>27</v>
      </c>
      <c r="J243" s="10" t="s">
        <v>25</v>
      </c>
      <c r="K243" s="23" t="s">
        <v>602</v>
      </c>
      <c r="L243" s="5" t="s">
        <v>126</v>
      </c>
      <c r="M243" s="11" t="s">
        <v>603</v>
      </c>
      <c r="N243" s="11"/>
      <c r="O243" s="11"/>
      <c r="P243" s="11"/>
      <c r="Q243" s="11"/>
    </row>
    <row r="244" ht="15.75" hidden="1" customHeight="1">
      <c r="A244" s="8">
        <v>45852.0</v>
      </c>
      <c r="B244" s="9">
        <f t="shared" si="14"/>
        <v>40</v>
      </c>
      <c r="C244" s="9">
        <v>33.24</v>
      </c>
      <c r="D244" s="10" t="s">
        <v>26</v>
      </c>
      <c r="E244" s="10" t="s">
        <v>26</v>
      </c>
      <c r="F244" s="10" t="s">
        <v>26</v>
      </c>
      <c r="G244" s="10" t="s">
        <v>26</v>
      </c>
      <c r="H244" s="10" t="s">
        <v>25</v>
      </c>
      <c r="I244" s="10" t="s">
        <v>27</v>
      </c>
      <c r="J244" s="10" t="s">
        <v>25</v>
      </c>
      <c r="K244" s="23" t="s">
        <v>604</v>
      </c>
      <c r="L244" s="5" t="s">
        <v>126</v>
      </c>
      <c r="M244" s="11" t="s">
        <v>605</v>
      </c>
      <c r="N244" s="11"/>
      <c r="O244" s="11"/>
      <c r="P244" s="11"/>
      <c r="Q244" s="11"/>
    </row>
    <row r="245" ht="15.75" hidden="1" customHeight="1">
      <c r="A245" s="8">
        <v>45853.0</v>
      </c>
      <c r="B245" s="9">
        <f t="shared" si="14"/>
        <v>44</v>
      </c>
      <c r="C245" s="9">
        <v>33.96</v>
      </c>
      <c r="D245" s="10" t="s">
        <v>25</v>
      </c>
      <c r="E245" s="10" t="s">
        <v>26</v>
      </c>
      <c r="F245" s="10" t="s">
        <v>26</v>
      </c>
      <c r="G245" s="10" t="s">
        <v>26</v>
      </c>
      <c r="H245" s="10" t="s">
        <v>25</v>
      </c>
      <c r="I245" s="10" t="s">
        <v>27</v>
      </c>
      <c r="J245" s="10" t="s">
        <v>25</v>
      </c>
      <c r="K245" s="23" t="s">
        <v>606</v>
      </c>
      <c r="L245" s="5" t="s">
        <v>126</v>
      </c>
      <c r="M245" s="11" t="s">
        <v>607</v>
      </c>
      <c r="N245" s="11"/>
      <c r="O245" s="11"/>
      <c r="P245" s="11"/>
      <c r="Q245" s="11"/>
    </row>
    <row r="246" ht="15.75" hidden="1" customHeight="1">
      <c r="A246" s="8">
        <v>45854.0</v>
      </c>
      <c r="B246" s="9">
        <f t="shared" si="14"/>
        <v>48</v>
      </c>
      <c r="C246" s="9">
        <v>35.84</v>
      </c>
      <c r="D246" s="10" t="s">
        <v>25</v>
      </c>
      <c r="E246" s="10" t="s">
        <v>26</v>
      </c>
      <c r="F246" s="10" t="s">
        <v>26</v>
      </c>
      <c r="G246" s="10" t="s">
        <v>26</v>
      </c>
      <c r="H246" s="10" t="s">
        <v>25</v>
      </c>
      <c r="I246" s="10" t="s">
        <v>27</v>
      </c>
      <c r="J246" s="10" t="s">
        <v>25</v>
      </c>
      <c r="K246" s="23" t="s">
        <v>608</v>
      </c>
      <c r="L246" s="5" t="s">
        <v>126</v>
      </c>
      <c r="M246" s="11" t="s">
        <v>609</v>
      </c>
      <c r="N246" s="11"/>
      <c r="O246" s="11"/>
      <c r="P246" s="11"/>
      <c r="Q246" s="11"/>
    </row>
    <row r="247" ht="15.75" hidden="1" customHeight="1">
      <c r="A247" s="8">
        <v>45855.0</v>
      </c>
      <c r="B247" s="9">
        <f t="shared" si="14"/>
        <v>52</v>
      </c>
      <c r="C247" s="9">
        <f>C246+4.57</f>
        <v>40.41</v>
      </c>
      <c r="D247" s="10" t="s">
        <v>26</v>
      </c>
      <c r="E247" s="10" t="s">
        <v>25</v>
      </c>
      <c r="F247" s="10" t="s">
        <v>26</v>
      </c>
      <c r="G247" s="10" t="s">
        <v>26</v>
      </c>
      <c r="H247" s="10" t="s">
        <v>25</v>
      </c>
      <c r="I247" s="10" t="s">
        <v>27</v>
      </c>
      <c r="J247" s="10" t="s">
        <v>25</v>
      </c>
      <c r="K247" s="23" t="s">
        <v>610</v>
      </c>
      <c r="L247" s="5" t="s">
        <v>126</v>
      </c>
      <c r="M247" s="11" t="s">
        <v>611</v>
      </c>
      <c r="N247" s="11"/>
      <c r="O247" s="11"/>
      <c r="P247" s="11"/>
      <c r="Q247" s="11"/>
    </row>
    <row r="248" ht="15.75" hidden="1" customHeight="1">
      <c r="A248" s="8">
        <v>45856.0</v>
      </c>
      <c r="B248" s="9">
        <f t="shared" si="14"/>
        <v>56</v>
      </c>
      <c r="C248" s="9">
        <f>C247+2.79</f>
        <v>43.2</v>
      </c>
      <c r="D248" s="10" t="s">
        <v>25</v>
      </c>
      <c r="E248" s="10" t="s">
        <v>25</v>
      </c>
      <c r="F248" s="10" t="s">
        <v>26</v>
      </c>
      <c r="G248" s="10" t="s">
        <v>26</v>
      </c>
      <c r="H248" s="10" t="s">
        <v>25</v>
      </c>
      <c r="I248" s="10" t="s">
        <v>27</v>
      </c>
      <c r="J248" s="10" t="s">
        <v>25</v>
      </c>
      <c r="K248" s="23" t="s">
        <v>612</v>
      </c>
      <c r="L248" s="5" t="s">
        <v>126</v>
      </c>
      <c r="M248" s="11" t="s">
        <v>613</v>
      </c>
      <c r="N248" s="11"/>
      <c r="O248" s="11"/>
      <c r="P248" s="11"/>
      <c r="Q248" s="11"/>
    </row>
    <row r="249" ht="15.75" hidden="1" customHeight="1">
      <c r="A249" s="8">
        <v>45859.0</v>
      </c>
      <c r="B249" s="9">
        <f t="shared" si="14"/>
        <v>60</v>
      </c>
      <c r="C249" s="9">
        <v>46.99</v>
      </c>
      <c r="D249" s="10" t="s">
        <v>26</v>
      </c>
      <c r="E249" s="10" t="s">
        <v>25</v>
      </c>
      <c r="F249" s="10" t="s">
        <v>26</v>
      </c>
      <c r="G249" s="10" t="s">
        <v>26</v>
      </c>
      <c r="H249" s="10" t="s">
        <v>25</v>
      </c>
      <c r="I249" s="10" t="s">
        <v>27</v>
      </c>
      <c r="J249" s="10" t="s">
        <v>25</v>
      </c>
      <c r="K249" s="23" t="s">
        <v>614</v>
      </c>
      <c r="L249" s="5" t="s">
        <v>126</v>
      </c>
      <c r="M249" s="11" t="s">
        <v>615</v>
      </c>
      <c r="N249" s="11"/>
      <c r="O249" s="11"/>
      <c r="P249" s="11"/>
      <c r="Q249" s="11"/>
    </row>
    <row r="250" ht="15.75" hidden="1" customHeight="1">
      <c r="A250" s="8">
        <v>45860.0</v>
      </c>
      <c r="B250" s="9">
        <f t="shared" si="14"/>
        <v>64</v>
      </c>
      <c r="C250" s="9">
        <f>C249+3.13</f>
        <v>50.12</v>
      </c>
      <c r="D250" s="10" t="s">
        <v>26</v>
      </c>
      <c r="E250" s="10" t="s">
        <v>26</v>
      </c>
      <c r="F250" s="10" t="s">
        <v>26</v>
      </c>
      <c r="G250" s="10" t="s">
        <v>26</v>
      </c>
      <c r="H250" s="10" t="s">
        <v>25</v>
      </c>
      <c r="I250" s="10" t="s">
        <v>27</v>
      </c>
      <c r="J250" s="10" t="s">
        <v>25</v>
      </c>
      <c r="K250" s="23" t="s">
        <v>616</v>
      </c>
      <c r="L250" s="5" t="s">
        <v>126</v>
      </c>
      <c r="M250" s="11" t="s">
        <v>617</v>
      </c>
      <c r="N250" s="11"/>
      <c r="O250" s="11"/>
      <c r="P250" s="11"/>
      <c r="Q250" s="11"/>
    </row>
    <row r="251" ht="15.75" hidden="1" customHeight="1">
      <c r="A251" s="8">
        <v>45861.0</v>
      </c>
      <c r="B251" s="9">
        <f t="shared" si="14"/>
        <v>68</v>
      </c>
      <c r="C251" s="9">
        <f>C250+2.15</f>
        <v>52.27</v>
      </c>
      <c r="D251" s="10" t="s">
        <v>26</v>
      </c>
      <c r="E251" s="10" t="s">
        <v>26</v>
      </c>
      <c r="F251" s="10" t="s">
        <v>26</v>
      </c>
      <c r="G251" s="10" t="s">
        <v>26</v>
      </c>
      <c r="H251" s="10" t="s">
        <v>25</v>
      </c>
      <c r="I251" s="10" t="s">
        <v>27</v>
      </c>
      <c r="J251" s="10" t="s">
        <v>25</v>
      </c>
      <c r="K251" s="23" t="s">
        <v>618</v>
      </c>
      <c r="L251" s="5" t="s">
        <v>126</v>
      </c>
      <c r="M251" s="11" t="s">
        <v>619</v>
      </c>
      <c r="N251" s="11"/>
      <c r="O251" s="11"/>
      <c r="P251" s="11"/>
      <c r="Q251" s="11"/>
    </row>
    <row r="252" ht="15.75" hidden="1" customHeight="1">
      <c r="A252" s="8">
        <v>45862.0</v>
      </c>
      <c r="B252" s="9">
        <f t="shared" si="14"/>
        <v>72</v>
      </c>
      <c r="C252" s="9">
        <v>58.01</v>
      </c>
      <c r="D252" s="10" t="s">
        <v>25</v>
      </c>
      <c r="E252" s="10" t="s">
        <v>26</v>
      </c>
      <c r="F252" s="10" t="s">
        <v>26</v>
      </c>
      <c r="G252" s="10" t="s">
        <v>26</v>
      </c>
      <c r="H252" s="10" t="s">
        <v>25</v>
      </c>
      <c r="I252" s="10" t="s">
        <v>27</v>
      </c>
      <c r="J252" s="10" t="s">
        <v>25</v>
      </c>
      <c r="K252" s="23" t="s">
        <v>620</v>
      </c>
      <c r="L252" s="5" t="s">
        <v>126</v>
      </c>
      <c r="M252" s="11" t="s">
        <v>621</v>
      </c>
      <c r="N252" s="11"/>
      <c r="O252" s="11"/>
      <c r="P252" s="11"/>
      <c r="Q252" s="11"/>
    </row>
    <row r="253" ht="15.75" hidden="1" customHeight="1">
      <c r="A253" s="8">
        <v>45863.0</v>
      </c>
      <c r="B253" s="9">
        <f t="shared" si="14"/>
        <v>76</v>
      </c>
      <c r="C253" s="9">
        <f>C252+4.02</f>
        <v>62.03</v>
      </c>
      <c r="D253" s="10" t="s">
        <v>25</v>
      </c>
      <c r="E253" s="10" t="s">
        <v>26</v>
      </c>
      <c r="F253" s="10" t="s">
        <v>26</v>
      </c>
      <c r="G253" s="10" t="s">
        <v>26</v>
      </c>
      <c r="H253" s="10" t="s">
        <v>25</v>
      </c>
      <c r="I253" s="10" t="s">
        <v>27</v>
      </c>
      <c r="J253" s="10" t="s">
        <v>25</v>
      </c>
      <c r="K253" s="23" t="s">
        <v>622</v>
      </c>
      <c r="L253" s="5" t="s">
        <v>126</v>
      </c>
      <c r="M253" s="11" t="s">
        <v>623</v>
      </c>
      <c r="N253" s="11"/>
      <c r="O253" s="11"/>
      <c r="P253" s="11"/>
      <c r="Q253" s="11"/>
    </row>
    <row r="254" ht="15.75" hidden="1" customHeight="1">
      <c r="A254" s="8">
        <v>45866.0</v>
      </c>
      <c r="B254" s="9">
        <f t="shared" si="14"/>
        <v>80</v>
      </c>
      <c r="C254" s="9">
        <v>67.34</v>
      </c>
      <c r="D254" s="10" t="s">
        <v>26</v>
      </c>
      <c r="E254" s="10" t="s">
        <v>25</v>
      </c>
      <c r="F254" s="10" t="s">
        <v>26</v>
      </c>
      <c r="G254" s="10" t="s">
        <v>26</v>
      </c>
      <c r="H254" s="10" t="s">
        <v>25</v>
      </c>
      <c r="I254" s="10" t="s">
        <v>27</v>
      </c>
      <c r="J254" s="10" t="s">
        <v>25</v>
      </c>
      <c r="K254" s="23" t="s">
        <v>624</v>
      </c>
      <c r="L254" s="5" t="s">
        <v>126</v>
      </c>
      <c r="M254" s="11" t="s">
        <v>625</v>
      </c>
      <c r="N254" s="11"/>
      <c r="O254" s="11"/>
      <c r="P254" s="11"/>
      <c r="Q254" s="11"/>
    </row>
    <row r="255" ht="15.75" hidden="1" customHeight="1">
      <c r="A255" s="8">
        <v>45867.0</v>
      </c>
      <c r="B255" s="9">
        <v>80.0</v>
      </c>
      <c r="C255" s="9">
        <f>C254+5</f>
        <v>72.34</v>
      </c>
      <c r="D255" s="10" t="s">
        <v>26</v>
      </c>
      <c r="E255" s="10" t="s">
        <v>25</v>
      </c>
      <c r="F255" s="10" t="s">
        <v>26</v>
      </c>
      <c r="G255" s="10" t="s">
        <v>26</v>
      </c>
      <c r="H255" s="10" t="s">
        <v>25</v>
      </c>
      <c r="I255" s="10" t="s">
        <v>27</v>
      </c>
      <c r="J255" s="10" t="s">
        <v>25</v>
      </c>
      <c r="K255" s="23" t="s">
        <v>626</v>
      </c>
      <c r="L255" s="5" t="s">
        <v>126</v>
      </c>
      <c r="M255" s="11" t="s">
        <v>627</v>
      </c>
      <c r="N255" s="11"/>
      <c r="O255" s="11"/>
      <c r="P255" s="11"/>
      <c r="Q255" s="11"/>
    </row>
    <row r="256" ht="15.75" hidden="1" customHeight="1">
      <c r="A256" s="8">
        <v>45868.0</v>
      </c>
      <c r="B256" s="9">
        <v>80.0</v>
      </c>
      <c r="C256" s="9">
        <v>72.34</v>
      </c>
      <c r="D256" s="10" t="s">
        <v>26</v>
      </c>
      <c r="E256" s="10" t="s">
        <v>25</v>
      </c>
      <c r="F256" s="10" t="s">
        <v>26</v>
      </c>
      <c r="G256" s="10" t="s">
        <v>26</v>
      </c>
      <c r="H256" s="10" t="s">
        <v>25</v>
      </c>
      <c r="I256" s="10" t="s">
        <v>27</v>
      </c>
      <c r="J256" s="10" t="s">
        <v>25</v>
      </c>
      <c r="K256" s="23" t="s">
        <v>628</v>
      </c>
      <c r="L256" s="5" t="s">
        <v>40</v>
      </c>
      <c r="M256" s="11" t="s">
        <v>629</v>
      </c>
      <c r="N256" s="11"/>
      <c r="O256" s="11"/>
      <c r="P256" s="11"/>
      <c r="Q256" s="11"/>
    </row>
    <row r="257" ht="15.75" hidden="1" customHeight="1">
      <c r="A257" s="8">
        <v>45869.0</v>
      </c>
      <c r="B257" s="9">
        <v>80.0</v>
      </c>
      <c r="C257" s="9">
        <f>C256+1.95</f>
        <v>74.29</v>
      </c>
      <c r="D257" s="10" t="s">
        <v>25</v>
      </c>
      <c r="E257" s="10" t="s">
        <v>26</v>
      </c>
      <c r="F257" s="10" t="s">
        <v>26</v>
      </c>
      <c r="G257" s="10" t="s">
        <v>26</v>
      </c>
      <c r="H257" s="10" t="s">
        <v>25</v>
      </c>
      <c r="I257" s="10" t="s">
        <v>27</v>
      </c>
      <c r="J257" s="10" t="s">
        <v>25</v>
      </c>
      <c r="K257" s="23" t="s">
        <v>630</v>
      </c>
      <c r="L257" s="5" t="s">
        <v>126</v>
      </c>
      <c r="M257" s="11" t="s">
        <v>631</v>
      </c>
      <c r="N257" s="11"/>
      <c r="O257" s="11"/>
      <c r="P257" s="11"/>
      <c r="Q257" s="11"/>
    </row>
    <row r="258" ht="15.75" hidden="1" customHeight="1">
      <c r="A258" s="8"/>
      <c r="B258" s="9"/>
      <c r="C258" s="9"/>
      <c r="K258" s="23"/>
      <c r="L258" s="5"/>
      <c r="M258" s="11"/>
      <c r="N258" s="11"/>
      <c r="O258" s="11"/>
      <c r="P258" s="11"/>
      <c r="Q258" s="11"/>
    </row>
    <row r="259" ht="15.75" hidden="1" customHeight="1">
      <c r="A259" s="8">
        <v>45870.0</v>
      </c>
      <c r="B259" s="9">
        <v>4.0</v>
      </c>
      <c r="C259" s="9">
        <v>3.41</v>
      </c>
      <c r="D259" s="10" t="s">
        <v>25</v>
      </c>
      <c r="E259" s="10" t="s">
        <v>26</v>
      </c>
      <c r="F259" s="10" t="s">
        <v>26</v>
      </c>
      <c r="G259" s="10" t="s">
        <v>26</v>
      </c>
      <c r="H259" s="10" t="s">
        <v>25</v>
      </c>
      <c r="I259" s="10" t="s">
        <v>27</v>
      </c>
      <c r="J259" s="10" t="s">
        <v>25</v>
      </c>
      <c r="K259" s="23" t="s">
        <v>632</v>
      </c>
      <c r="L259" s="5" t="s">
        <v>126</v>
      </c>
      <c r="M259" s="11" t="s">
        <v>633</v>
      </c>
      <c r="N259" s="11"/>
      <c r="O259" s="11"/>
      <c r="P259" s="11"/>
      <c r="Q259" s="11"/>
    </row>
    <row r="260" ht="15.75" hidden="1" customHeight="1">
      <c r="A260" s="8">
        <v>45873.0</v>
      </c>
      <c r="B260" s="9">
        <f t="shared" ref="B260:B277" si="15">B259+4</f>
        <v>8</v>
      </c>
      <c r="C260" s="9">
        <f>C259+2.19</f>
        <v>5.6</v>
      </c>
      <c r="D260" s="10" t="s">
        <v>25</v>
      </c>
      <c r="E260" s="10" t="s">
        <v>26</v>
      </c>
      <c r="F260" s="10" t="s">
        <v>26</v>
      </c>
      <c r="G260" s="10" t="s">
        <v>26</v>
      </c>
      <c r="H260" s="10" t="s">
        <v>25</v>
      </c>
      <c r="I260" s="10" t="s">
        <v>27</v>
      </c>
      <c r="J260" s="10" t="s">
        <v>25</v>
      </c>
      <c r="K260" s="23" t="s">
        <v>634</v>
      </c>
      <c r="L260" s="5" t="s">
        <v>126</v>
      </c>
      <c r="M260" s="11" t="s">
        <v>635</v>
      </c>
      <c r="N260" s="11"/>
      <c r="O260" s="11"/>
      <c r="P260" s="11"/>
      <c r="Q260" s="11"/>
    </row>
    <row r="261" ht="15.75" hidden="1" customHeight="1">
      <c r="A261" s="8">
        <v>45874.0</v>
      </c>
      <c r="B261" s="9">
        <f t="shared" si="15"/>
        <v>12</v>
      </c>
      <c r="C261" s="9">
        <f>C260+2.85</f>
        <v>8.45</v>
      </c>
      <c r="D261" s="10" t="s">
        <v>25</v>
      </c>
      <c r="E261" s="10" t="s">
        <v>26</v>
      </c>
      <c r="F261" s="10" t="s">
        <v>26</v>
      </c>
      <c r="G261" s="10" t="s">
        <v>26</v>
      </c>
      <c r="H261" s="10" t="s">
        <v>25</v>
      </c>
      <c r="I261" s="10" t="s">
        <v>27</v>
      </c>
      <c r="J261" s="10" t="s">
        <v>25</v>
      </c>
      <c r="K261" s="23" t="s">
        <v>636</v>
      </c>
      <c r="L261" s="5" t="s">
        <v>126</v>
      </c>
      <c r="M261" s="11" t="s">
        <v>637</v>
      </c>
      <c r="N261" s="11"/>
      <c r="O261" s="11"/>
      <c r="P261" s="11"/>
      <c r="Q261" s="11"/>
    </row>
    <row r="262" ht="15.75" hidden="1" customHeight="1">
      <c r="A262" s="8">
        <v>45875.0</v>
      </c>
      <c r="B262" s="9">
        <f t="shared" si="15"/>
        <v>16</v>
      </c>
      <c r="C262" s="9">
        <f>C261+2.33</f>
        <v>10.78</v>
      </c>
      <c r="D262" s="10" t="s">
        <v>25</v>
      </c>
      <c r="E262" s="10" t="s">
        <v>26</v>
      </c>
      <c r="F262" s="10" t="s">
        <v>26</v>
      </c>
      <c r="G262" s="10" t="s">
        <v>26</v>
      </c>
      <c r="H262" s="10" t="s">
        <v>25</v>
      </c>
      <c r="I262" s="10" t="s">
        <v>27</v>
      </c>
      <c r="J262" s="10" t="s">
        <v>25</v>
      </c>
      <c r="K262" s="23" t="s">
        <v>638</v>
      </c>
      <c r="L262" s="5" t="s">
        <v>126</v>
      </c>
      <c r="M262" s="11" t="s">
        <v>639</v>
      </c>
      <c r="N262" s="11"/>
      <c r="O262" s="11"/>
      <c r="P262" s="11"/>
      <c r="Q262" s="11"/>
    </row>
    <row r="263" ht="15.75" hidden="1" customHeight="1">
      <c r="A263" s="8">
        <v>45876.0</v>
      </c>
      <c r="B263" s="9">
        <f t="shared" si="15"/>
        <v>20</v>
      </c>
      <c r="C263" s="9">
        <f>C262+4.93</f>
        <v>15.71</v>
      </c>
      <c r="D263" s="10" t="s">
        <v>26</v>
      </c>
      <c r="E263" s="10" t="s">
        <v>26</v>
      </c>
      <c r="F263" s="10" t="s">
        <v>26</v>
      </c>
      <c r="G263" s="10" t="s">
        <v>26</v>
      </c>
      <c r="H263" s="10" t="s">
        <v>25</v>
      </c>
      <c r="I263" s="10" t="s">
        <v>27</v>
      </c>
      <c r="J263" s="10" t="s">
        <v>25</v>
      </c>
      <c r="K263" s="23" t="s">
        <v>640</v>
      </c>
      <c r="L263" s="5" t="s">
        <v>126</v>
      </c>
      <c r="M263" s="11" t="s">
        <v>641</v>
      </c>
      <c r="N263" s="11"/>
      <c r="O263" s="11"/>
      <c r="P263" s="11"/>
      <c r="Q263" s="11"/>
    </row>
    <row r="264" ht="15.75" hidden="1" customHeight="1">
      <c r="A264" s="8">
        <v>45877.0</v>
      </c>
      <c r="B264" s="9">
        <f t="shared" si="15"/>
        <v>24</v>
      </c>
      <c r="C264" s="9">
        <f>C263+3.41</f>
        <v>19.12</v>
      </c>
      <c r="D264" s="10" t="s">
        <v>25</v>
      </c>
      <c r="E264" s="10" t="s">
        <v>26</v>
      </c>
      <c r="F264" s="10" t="s">
        <v>26</v>
      </c>
      <c r="G264" s="10" t="s">
        <v>26</v>
      </c>
      <c r="H264" s="10" t="s">
        <v>25</v>
      </c>
      <c r="I264" s="10" t="s">
        <v>27</v>
      </c>
      <c r="J264" s="10" t="s">
        <v>25</v>
      </c>
      <c r="K264" s="23" t="s">
        <v>642</v>
      </c>
      <c r="L264" s="5" t="s">
        <v>126</v>
      </c>
      <c r="M264" s="11" t="s">
        <v>643</v>
      </c>
      <c r="N264" s="11"/>
      <c r="O264" s="11"/>
      <c r="P264" s="11"/>
      <c r="Q264" s="11"/>
    </row>
    <row r="265" ht="15.75" hidden="1" customHeight="1">
      <c r="A265" s="8">
        <v>45880.0</v>
      </c>
      <c r="B265" s="9">
        <f t="shared" si="15"/>
        <v>28</v>
      </c>
      <c r="C265" s="9">
        <v>22.93</v>
      </c>
      <c r="D265" s="10" t="s">
        <v>26</v>
      </c>
      <c r="E265" s="10" t="s">
        <v>25</v>
      </c>
      <c r="F265" s="10" t="s">
        <v>26</v>
      </c>
      <c r="G265" s="10" t="s">
        <v>26</v>
      </c>
      <c r="H265" s="10" t="s">
        <v>25</v>
      </c>
      <c r="I265" s="10" t="s">
        <v>27</v>
      </c>
      <c r="J265" s="10" t="s">
        <v>25</v>
      </c>
      <c r="K265" s="23" t="s">
        <v>644</v>
      </c>
      <c r="L265" s="5" t="s">
        <v>126</v>
      </c>
      <c r="M265" s="11" t="s">
        <v>645</v>
      </c>
      <c r="N265" s="11"/>
      <c r="O265" s="11"/>
      <c r="P265" s="11"/>
      <c r="Q265" s="11"/>
    </row>
    <row r="266" ht="15.75" hidden="1" customHeight="1">
      <c r="A266" s="8">
        <v>45881.0</v>
      </c>
      <c r="B266" s="9">
        <f t="shared" si="15"/>
        <v>32</v>
      </c>
      <c r="C266" s="9">
        <f>C265+4.17</f>
        <v>27.1</v>
      </c>
      <c r="D266" s="10" t="s">
        <v>26</v>
      </c>
      <c r="E266" s="10" t="s">
        <v>25</v>
      </c>
      <c r="F266" s="10" t="s">
        <v>26</v>
      </c>
      <c r="G266" s="10" t="s">
        <v>26</v>
      </c>
      <c r="H266" s="10" t="s">
        <v>25</v>
      </c>
      <c r="I266" s="10" t="s">
        <v>27</v>
      </c>
      <c r="J266" s="10" t="s">
        <v>25</v>
      </c>
      <c r="K266" s="23" t="s">
        <v>646</v>
      </c>
      <c r="L266" s="5" t="s">
        <v>126</v>
      </c>
      <c r="M266" s="11" t="s">
        <v>647</v>
      </c>
      <c r="N266" s="11"/>
      <c r="O266" s="11"/>
      <c r="P266" s="11"/>
      <c r="Q266" s="11"/>
    </row>
    <row r="267" ht="15.75" hidden="1" customHeight="1">
      <c r="A267" s="8">
        <v>45882.0</v>
      </c>
      <c r="B267" s="9">
        <f t="shared" si="15"/>
        <v>36</v>
      </c>
      <c r="C267" s="9">
        <f>C266+2.72</f>
        <v>29.82</v>
      </c>
      <c r="D267" s="10" t="s">
        <v>25</v>
      </c>
      <c r="E267" s="10" t="s">
        <v>25</v>
      </c>
      <c r="F267" s="10" t="s">
        <v>26</v>
      </c>
      <c r="G267" s="10" t="s">
        <v>26</v>
      </c>
      <c r="H267" s="10" t="s">
        <v>25</v>
      </c>
      <c r="I267" s="10" t="s">
        <v>27</v>
      </c>
      <c r="J267" s="10" t="s">
        <v>25</v>
      </c>
      <c r="K267" s="23" t="s">
        <v>648</v>
      </c>
      <c r="L267" s="5" t="s">
        <v>126</v>
      </c>
      <c r="M267" s="11" t="s">
        <v>649</v>
      </c>
      <c r="N267" s="11"/>
      <c r="O267" s="11"/>
      <c r="P267" s="11"/>
      <c r="Q267" s="11"/>
    </row>
    <row r="268" ht="15.75" hidden="1" customHeight="1">
      <c r="A268" s="8">
        <v>45883.0</v>
      </c>
      <c r="B268" s="9">
        <f t="shared" si="15"/>
        <v>40</v>
      </c>
      <c r="C268" s="9">
        <f>C267+3.2</f>
        <v>33.02</v>
      </c>
      <c r="D268" s="10" t="s">
        <v>25</v>
      </c>
      <c r="E268" s="10" t="s">
        <v>25</v>
      </c>
      <c r="F268" s="10" t="s">
        <v>26</v>
      </c>
      <c r="G268" s="10" t="s">
        <v>26</v>
      </c>
      <c r="H268" s="10" t="s">
        <v>25</v>
      </c>
      <c r="I268" s="10" t="s">
        <v>27</v>
      </c>
      <c r="J268" s="10" t="s">
        <v>25</v>
      </c>
      <c r="K268" s="23" t="s">
        <v>650</v>
      </c>
      <c r="L268" s="5" t="s">
        <v>126</v>
      </c>
      <c r="M268" s="11" t="s">
        <v>651</v>
      </c>
      <c r="N268" s="11"/>
      <c r="O268" s="11"/>
      <c r="P268" s="11"/>
      <c r="Q268" s="11"/>
    </row>
    <row r="269" ht="15.75" hidden="1" customHeight="1">
      <c r="A269" s="8">
        <v>45887.0</v>
      </c>
      <c r="B269" s="9">
        <f t="shared" si="15"/>
        <v>44</v>
      </c>
      <c r="C269" s="9">
        <f>C268+2.81</f>
        <v>35.83</v>
      </c>
      <c r="D269" s="10" t="s">
        <v>25</v>
      </c>
      <c r="E269" s="10" t="s">
        <v>26</v>
      </c>
      <c r="F269" s="10" t="s">
        <v>26</v>
      </c>
      <c r="G269" s="10" t="s">
        <v>26</v>
      </c>
      <c r="H269" s="10" t="s">
        <v>25</v>
      </c>
      <c r="I269" s="10" t="s">
        <v>27</v>
      </c>
      <c r="J269" s="10" t="s">
        <v>25</v>
      </c>
      <c r="K269" s="23" t="s">
        <v>652</v>
      </c>
      <c r="L269" s="5" t="s">
        <v>126</v>
      </c>
      <c r="M269" s="11" t="s">
        <v>653</v>
      </c>
      <c r="N269" s="11"/>
      <c r="O269" s="11"/>
      <c r="P269" s="11"/>
      <c r="Q269" s="11"/>
    </row>
    <row r="270" ht="15.75" hidden="1" customHeight="1">
      <c r="A270" s="8">
        <v>45888.0</v>
      </c>
      <c r="B270" s="9">
        <f t="shared" si="15"/>
        <v>48</v>
      </c>
      <c r="C270" s="9">
        <v>36.15</v>
      </c>
      <c r="D270" s="10" t="s">
        <v>25</v>
      </c>
      <c r="E270" s="10" t="s">
        <v>26</v>
      </c>
      <c r="F270" s="10" t="s">
        <v>26</v>
      </c>
      <c r="G270" s="10" t="s">
        <v>26</v>
      </c>
      <c r="H270" s="10" t="s">
        <v>25</v>
      </c>
      <c r="I270" s="10" t="s">
        <v>27</v>
      </c>
      <c r="J270" s="10" t="s">
        <v>25</v>
      </c>
      <c r="K270" s="23" t="s">
        <v>654</v>
      </c>
      <c r="L270" s="5" t="s">
        <v>126</v>
      </c>
      <c r="M270" s="11" t="s">
        <v>655</v>
      </c>
      <c r="N270" s="11"/>
      <c r="O270" s="11"/>
      <c r="P270" s="11"/>
      <c r="Q270" s="11"/>
    </row>
    <row r="271" ht="15.75" hidden="1" customHeight="1">
      <c r="A271" s="8">
        <v>45889.0</v>
      </c>
      <c r="B271" s="9">
        <f t="shared" si="15"/>
        <v>52</v>
      </c>
      <c r="C271" s="9">
        <f>C270+2.48</f>
        <v>38.63</v>
      </c>
      <c r="D271" s="10" t="s">
        <v>25</v>
      </c>
      <c r="E271" s="10" t="s">
        <v>26</v>
      </c>
      <c r="F271" s="10" t="s">
        <v>26</v>
      </c>
      <c r="G271" s="10" t="s">
        <v>26</v>
      </c>
      <c r="H271" s="10" t="s">
        <v>25</v>
      </c>
      <c r="I271" s="10" t="s">
        <v>27</v>
      </c>
      <c r="J271" s="10" t="s">
        <v>25</v>
      </c>
      <c r="K271" s="23" t="s">
        <v>656</v>
      </c>
      <c r="L271" s="5" t="s">
        <v>126</v>
      </c>
      <c r="M271" s="11" t="s">
        <v>657</v>
      </c>
      <c r="N271" s="11"/>
      <c r="O271" s="25" t="s">
        <v>658</v>
      </c>
      <c r="P271" s="11"/>
      <c r="Q271" s="11"/>
    </row>
    <row r="272" ht="15.75" hidden="1" customHeight="1">
      <c r="A272" s="8">
        <v>45890.0</v>
      </c>
      <c r="B272" s="9">
        <f t="shared" si="15"/>
        <v>56</v>
      </c>
      <c r="C272" s="9">
        <f>C271+3.29</f>
        <v>41.92</v>
      </c>
      <c r="D272" s="10" t="s">
        <v>25</v>
      </c>
      <c r="E272" s="10" t="s">
        <v>26</v>
      </c>
      <c r="F272" s="10" t="s">
        <v>26</v>
      </c>
      <c r="G272" s="10" t="s">
        <v>26</v>
      </c>
      <c r="H272" s="10" t="s">
        <v>25</v>
      </c>
      <c r="I272" s="10" t="s">
        <v>27</v>
      </c>
      <c r="J272" s="10" t="s">
        <v>25</v>
      </c>
      <c r="K272" s="23" t="s">
        <v>659</v>
      </c>
      <c r="L272" s="5" t="s">
        <v>126</v>
      </c>
      <c r="M272" s="11" t="s">
        <v>660</v>
      </c>
      <c r="N272" s="11"/>
      <c r="O272" s="11"/>
      <c r="P272" s="11"/>
      <c r="Q272" s="11"/>
    </row>
    <row r="273" ht="15.75" hidden="1" customHeight="1">
      <c r="A273" s="8">
        <v>45891.0</v>
      </c>
      <c r="B273" s="9">
        <f t="shared" si="15"/>
        <v>60</v>
      </c>
      <c r="C273" s="9">
        <f>C272+4.01</f>
        <v>45.93</v>
      </c>
      <c r="D273" s="10" t="s">
        <v>25</v>
      </c>
      <c r="E273" s="10" t="s">
        <v>26</v>
      </c>
      <c r="F273" s="10" t="s">
        <v>26</v>
      </c>
      <c r="G273" s="10" t="s">
        <v>26</v>
      </c>
      <c r="H273" s="10" t="s">
        <v>25</v>
      </c>
      <c r="I273" s="10" t="s">
        <v>27</v>
      </c>
      <c r="J273" s="10" t="s">
        <v>25</v>
      </c>
      <c r="K273" s="23" t="s">
        <v>661</v>
      </c>
      <c r="L273" s="5" t="s">
        <v>126</v>
      </c>
      <c r="M273" s="11" t="s">
        <v>662</v>
      </c>
      <c r="N273" s="11"/>
      <c r="O273" s="11"/>
      <c r="P273" s="11"/>
      <c r="Q273" s="11"/>
    </row>
    <row r="274" ht="15.75" hidden="1" customHeight="1">
      <c r="A274" s="8">
        <v>45894.0</v>
      </c>
      <c r="B274" s="9">
        <f t="shared" si="15"/>
        <v>64</v>
      </c>
      <c r="C274" s="9">
        <f>C273+5.23</f>
        <v>51.16</v>
      </c>
      <c r="D274" s="10" t="s">
        <v>25</v>
      </c>
      <c r="E274" s="10" t="s">
        <v>26</v>
      </c>
      <c r="F274" s="10" t="s">
        <v>26</v>
      </c>
      <c r="G274" s="10" t="s">
        <v>26</v>
      </c>
      <c r="H274" s="10" t="s">
        <v>25</v>
      </c>
      <c r="I274" s="10" t="s">
        <v>27</v>
      </c>
      <c r="J274" s="10" t="s">
        <v>25</v>
      </c>
      <c r="K274" s="23" t="s">
        <v>663</v>
      </c>
      <c r="L274" s="5" t="s">
        <v>126</v>
      </c>
      <c r="M274" s="11" t="s">
        <v>664</v>
      </c>
      <c r="N274" s="11"/>
      <c r="O274" s="11"/>
      <c r="P274" s="11"/>
      <c r="Q274" s="11"/>
    </row>
    <row r="275" ht="15.75" hidden="1" customHeight="1">
      <c r="A275" s="8">
        <v>45895.0</v>
      </c>
      <c r="B275" s="9">
        <f t="shared" si="15"/>
        <v>68</v>
      </c>
      <c r="C275" s="9">
        <f>C274+3.06</f>
        <v>54.22</v>
      </c>
      <c r="D275" s="10" t="s">
        <v>25</v>
      </c>
      <c r="E275" s="10" t="s">
        <v>26</v>
      </c>
      <c r="F275" s="10" t="s">
        <v>26</v>
      </c>
      <c r="G275" s="10" t="s">
        <v>26</v>
      </c>
      <c r="H275" s="10" t="s">
        <v>25</v>
      </c>
      <c r="I275" s="10" t="s">
        <v>27</v>
      </c>
      <c r="J275" s="10" t="s">
        <v>25</v>
      </c>
      <c r="K275" s="23" t="s">
        <v>665</v>
      </c>
      <c r="L275" s="5" t="s">
        <v>126</v>
      </c>
      <c r="M275" s="11" t="s">
        <v>666</v>
      </c>
      <c r="N275" s="11"/>
      <c r="O275" s="11"/>
      <c r="P275" s="11"/>
      <c r="Q275" s="11"/>
    </row>
    <row r="276" ht="15.75" hidden="1" customHeight="1">
      <c r="A276" s="8">
        <v>45897.0</v>
      </c>
      <c r="B276" s="9">
        <f t="shared" si="15"/>
        <v>72</v>
      </c>
      <c r="C276" s="9">
        <f>C275+2.94</f>
        <v>57.16</v>
      </c>
      <c r="D276" s="10" t="s">
        <v>25</v>
      </c>
      <c r="E276" s="10" t="s">
        <v>26</v>
      </c>
      <c r="F276" s="10" t="s">
        <v>26</v>
      </c>
      <c r="G276" s="10" t="s">
        <v>26</v>
      </c>
      <c r="H276" s="10" t="s">
        <v>25</v>
      </c>
      <c r="I276" s="10" t="s">
        <v>27</v>
      </c>
      <c r="J276" s="10" t="s">
        <v>25</v>
      </c>
      <c r="K276" s="23" t="s">
        <v>667</v>
      </c>
      <c r="L276" s="5" t="s">
        <v>126</v>
      </c>
      <c r="M276" s="11" t="s">
        <v>668</v>
      </c>
      <c r="N276" s="11"/>
      <c r="O276" s="11"/>
      <c r="P276" s="11"/>
      <c r="Q276" s="11"/>
    </row>
    <row r="277" ht="15.75" hidden="1" customHeight="1">
      <c r="A277" s="8">
        <v>45898.0</v>
      </c>
      <c r="B277" s="9">
        <f t="shared" si="15"/>
        <v>76</v>
      </c>
      <c r="C277" s="9">
        <f>C276+2.08</f>
        <v>59.24</v>
      </c>
      <c r="D277" s="10" t="s">
        <v>25</v>
      </c>
      <c r="E277" s="10" t="s">
        <v>26</v>
      </c>
      <c r="F277" s="10" t="s">
        <v>26</v>
      </c>
      <c r="G277" s="10" t="s">
        <v>26</v>
      </c>
      <c r="H277" s="10" t="s">
        <v>25</v>
      </c>
      <c r="I277" s="10" t="s">
        <v>27</v>
      </c>
      <c r="J277" s="10" t="s">
        <v>25</v>
      </c>
      <c r="K277" s="23" t="s">
        <v>669</v>
      </c>
      <c r="L277" s="5" t="s">
        <v>126</v>
      </c>
      <c r="M277" s="11" t="s">
        <v>670</v>
      </c>
      <c r="N277" s="11"/>
      <c r="O277" s="11"/>
      <c r="P277" s="11"/>
      <c r="Q277" s="11"/>
    </row>
    <row r="278" ht="15.75" hidden="1" customHeight="1">
      <c r="A278" s="8"/>
      <c r="B278" s="9"/>
      <c r="C278" s="9"/>
      <c r="K278" s="23"/>
      <c r="L278" s="5"/>
      <c r="M278" s="11"/>
      <c r="N278" s="11"/>
      <c r="O278" s="11"/>
      <c r="P278" s="11"/>
      <c r="Q278" s="11"/>
    </row>
    <row r="279" ht="15.75" hidden="1" customHeight="1">
      <c r="A279" s="8">
        <v>45901.0</v>
      </c>
      <c r="B279" s="9">
        <v>4.0</v>
      </c>
      <c r="C279" s="9">
        <v>2.58</v>
      </c>
      <c r="D279" s="10" t="s">
        <v>25</v>
      </c>
      <c r="E279" s="10" t="s">
        <v>26</v>
      </c>
      <c r="F279" s="10" t="s">
        <v>26</v>
      </c>
      <c r="G279" s="10" t="s">
        <v>26</v>
      </c>
      <c r="H279" s="10" t="s">
        <v>25</v>
      </c>
      <c r="I279" s="10" t="s">
        <v>27</v>
      </c>
      <c r="J279" s="10" t="s">
        <v>25</v>
      </c>
      <c r="K279" s="23" t="s">
        <v>671</v>
      </c>
      <c r="L279" s="5" t="s">
        <v>126</v>
      </c>
      <c r="M279" s="11" t="s">
        <v>672</v>
      </c>
      <c r="N279" s="11"/>
      <c r="O279" s="11"/>
      <c r="P279" s="11"/>
      <c r="Q279" s="11"/>
    </row>
    <row r="280" ht="15.75" hidden="1" customHeight="1">
      <c r="A280" s="8">
        <v>45902.0</v>
      </c>
      <c r="B280" s="9">
        <f t="shared" ref="B280:B298" si="16">B279+4</f>
        <v>8</v>
      </c>
      <c r="C280" s="9">
        <f>C279+2.82</f>
        <v>5.4</v>
      </c>
      <c r="D280" s="10" t="s">
        <v>25</v>
      </c>
      <c r="E280" s="10" t="s">
        <v>26</v>
      </c>
      <c r="F280" s="10" t="s">
        <v>26</v>
      </c>
      <c r="G280" s="10" t="s">
        <v>26</v>
      </c>
      <c r="H280" s="10" t="s">
        <v>25</v>
      </c>
      <c r="I280" s="10" t="s">
        <v>27</v>
      </c>
      <c r="J280" s="10" t="s">
        <v>25</v>
      </c>
      <c r="K280" s="23" t="s">
        <v>673</v>
      </c>
      <c r="L280" s="5" t="s">
        <v>126</v>
      </c>
      <c r="M280" s="11" t="s">
        <v>674</v>
      </c>
      <c r="N280" s="11"/>
      <c r="O280" s="11"/>
      <c r="P280" s="11"/>
      <c r="Q280" s="11"/>
    </row>
    <row r="281" ht="15.75" hidden="1" customHeight="1">
      <c r="A281" s="8">
        <v>45903.0</v>
      </c>
      <c r="B281" s="9">
        <f t="shared" si="16"/>
        <v>12</v>
      </c>
      <c r="C281" s="9">
        <f>C280+2.84</f>
        <v>8.24</v>
      </c>
      <c r="D281" s="10" t="s">
        <v>25</v>
      </c>
      <c r="E281" s="10" t="s">
        <v>26</v>
      </c>
      <c r="F281" s="10" t="s">
        <v>26</v>
      </c>
      <c r="G281" s="10" t="s">
        <v>26</v>
      </c>
      <c r="H281" s="10" t="s">
        <v>25</v>
      </c>
      <c r="I281" s="10" t="s">
        <v>27</v>
      </c>
      <c r="J281" s="10" t="s">
        <v>25</v>
      </c>
      <c r="K281" s="23" t="s">
        <v>675</v>
      </c>
      <c r="L281" s="5" t="s">
        <v>126</v>
      </c>
      <c r="M281" s="11" t="s">
        <v>676</v>
      </c>
      <c r="N281" s="11"/>
      <c r="O281" s="11"/>
      <c r="P281" s="11"/>
      <c r="Q281" s="11"/>
    </row>
    <row r="282" ht="15.75" hidden="1" customHeight="1">
      <c r="A282" s="8">
        <v>45904.0</v>
      </c>
      <c r="B282" s="9">
        <f t="shared" si="16"/>
        <v>16</v>
      </c>
      <c r="C282" s="9">
        <v>12.98</v>
      </c>
      <c r="D282" s="10" t="s">
        <v>26</v>
      </c>
      <c r="E282" s="10" t="s">
        <v>26</v>
      </c>
      <c r="F282" s="10" t="s">
        <v>26</v>
      </c>
      <c r="G282" s="10" t="s">
        <v>26</v>
      </c>
      <c r="H282" s="10" t="s">
        <v>25</v>
      </c>
      <c r="I282" s="10" t="s">
        <v>27</v>
      </c>
      <c r="J282" s="10" t="s">
        <v>25</v>
      </c>
      <c r="K282" s="23" t="s">
        <v>677</v>
      </c>
      <c r="L282" s="5" t="s">
        <v>126</v>
      </c>
      <c r="M282" s="11" t="s">
        <v>678</v>
      </c>
      <c r="N282" s="11"/>
      <c r="O282" s="11" t="s">
        <v>679</v>
      </c>
      <c r="P282" s="11"/>
      <c r="Q282" s="11"/>
    </row>
    <row r="283" ht="15.75" hidden="1" customHeight="1">
      <c r="A283" s="8">
        <v>45905.0</v>
      </c>
      <c r="B283" s="9">
        <f t="shared" si="16"/>
        <v>20</v>
      </c>
      <c r="C283" s="9">
        <f>C282+3.45</f>
        <v>16.43</v>
      </c>
      <c r="D283" s="10" t="s">
        <v>26</v>
      </c>
      <c r="E283" s="10" t="s">
        <v>26</v>
      </c>
      <c r="F283" s="10" t="s">
        <v>26</v>
      </c>
      <c r="G283" s="10" t="s">
        <v>26</v>
      </c>
      <c r="H283" s="10" t="s">
        <v>25</v>
      </c>
      <c r="I283" s="10" t="s">
        <v>27</v>
      </c>
      <c r="J283" s="10" t="s">
        <v>25</v>
      </c>
      <c r="K283" s="23" t="s">
        <v>680</v>
      </c>
      <c r="L283" s="5" t="s">
        <v>126</v>
      </c>
      <c r="M283" s="11" t="s">
        <v>681</v>
      </c>
      <c r="N283" s="11"/>
      <c r="O283" s="11"/>
      <c r="P283" s="11"/>
      <c r="Q283" s="11"/>
    </row>
    <row r="284" ht="15.75" hidden="1" customHeight="1">
      <c r="A284" s="8">
        <v>45908.0</v>
      </c>
      <c r="B284" s="9">
        <f t="shared" si="16"/>
        <v>24</v>
      </c>
      <c r="C284" s="9">
        <v>20.06</v>
      </c>
      <c r="D284" s="10" t="s">
        <v>26</v>
      </c>
      <c r="E284" s="10" t="s">
        <v>26</v>
      </c>
      <c r="F284" s="10" t="s">
        <v>26</v>
      </c>
      <c r="G284" s="10" t="s">
        <v>26</v>
      </c>
      <c r="H284" s="10" t="s">
        <v>25</v>
      </c>
      <c r="I284" s="10" t="s">
        <v>27</v>
      </c>
      <c r="J284" s="10" t="s">
        <v>25</v>
      </c>
      <c r="K284" s="23" t="s">
        <v>682</v>
      </c>
      <c r="L284" s="5" t="s">
        <v>126</v>
      </c>
      <c r="M284" s="11" t="s">
        <v>683</v>
      </c>
      <c r="N284" s="11"/>
      <c r="O284" s="11"/>
      <c r="P284" s="11"/>
      <c r="Q284" s="11"/>
    </row>
    <row r="285" ht="15.75" hidden="1" customHeight="1">
      <c r="A285" s="8">
        <v>45909.0</v>
      </c>
      <c r="B285" s="9">
        <f t="shared" si="16"/>
        <v>28</v>
      </c>
      <c r="C285" s="9">
        <f>C284+4.98</f>
        <v>25.04</v>
      </c>
      <c r="D285" s="10" t="s">
        <v>25</v>
      </c>
      <c r="E285" s="10" t="s">
        <v>26</v>
      </c>
      <c r="F285" s="10" t="s">
        <v>26</v>
      </c>
      <c r="G285" s="10" t="s">
        <v>26</v>
      </c>
      <c r="H285" s="10" t="s">
        <v>25</v>
      </c>
      <c r="I285" s="10" t="s">
        <v>27</v>
      </c>
      <c r="J285" s="10" t="s">
        <v>25</v>
      </c>
      <c r="K285" s="23" t="s">
        <v>684</v>
      </c>
      <c r="L285" s="5" t="s">
        <v>126</v>
      </c>
      <c r="M285" s="11" t="s">
        <v>685</v>
      </c>
      <c r="N285" s="11"/>
      <c r="O285" s="11"/>
      <c r="P285" s="11"/>
      <c r="Q285" s="11"/>
    </row>
    <row r="286" ht="15.75" hidden="1" customHeight="1">
      <c r="A286" s="8">
        <v>45910.0</v>
      </c>
      <c r="B286" s="9">
        <f t="shared" si="16"/>
        <v>32</v>
      </c>
      <c r="C286" s="9">
        <v>28.42</v>
      </c>
      <c r="D286" s="10" t="s">
        <v>25</v>
      </c>
      <c r="E286" s="10" t="s">
        <v>26</v>
      </c>
      <c r="F286" s="10" t="s">
        <v>26</v>
      </c>
      <c r="G286" s="10" t="s">
        <v>26</v>
      </c>
      <c r="H286" s="10" t="s">
        <v>25</v>
      </c>
      <c r="I286" s="10" t="s">
        <v>27</v>
      </c>
      <c r="J286" s="10" t="s">
        <v>25</v>
      </c>
      <c r="K286" s="23" t="s">
        <v>686</v>
      </c>
      <c r="L286" s="5" t="s">
        <v>126</v>
      </c>
      <c r="M286" s="11" t="s">
        <v>687</v>
      </c>
      <c r="N286" s="11"/>
      <c r="O286" s="11"/>
      <c r="P286" s="11"/>
      <c r="Q286" s="11"/>
    </row>
    <row r="287" ht="15.75" hidden="1" customHeight="1">
      <c r="A287" s="8">
        <v>45911.0</v>
      </c>
      <c r="B287" s="9">
        <f t="shared" si="16"/>
        <v>36</v>
      </c>
      <c r="C287" s="9">
        <v>36.1</v>
      </c>
      <c r="D287" s="10" t="s">
        <v>26</v>
      </c>
      <c r="E287" s="10" t="s">
        <v>26</v>
      </c>
      <c r="F287" s="10" t="s">
        <v>26</v>
      </c>
      <c r="G287" s="10" t="s">
        <v>26</v>
      </c>
      <c r="H287" s="10" t="s">
        <v>25</v>
      </c>
      <c r="I287" s="10" t="s">
        <v>27</v>
      </c>
      <c r="J287" s="10" t="s">
        <v>25</v>
      </c>
      <c r="K287" s="23" t="s">
        <v>688</v>
      </c>
      <c r="L287" s="5" t="s">
        <v>126</v>
      </c>
      <c r="M287" s="11" t="s">
        <v>689</v>
      </c>
      <c r="N287" s="11"/>
      <c r="O287" s="11"/>
      <c r="P287" s="11"/>
      <c r="Q287" s="11"/>
    </row>
    <row r="288" ht="15.75" hidden="1" customHeight="1">
      <c r="A288" s="8">
        <v>45912.0</v>
      </c>
      <c r="B288" s="9">
        <f t="shared" si="16"/>
        <v>40</v>
      </c>
      <c r="C288" s="9">
        <v>41.5</v>
      </c>
      <c r="D288" s="10" t="s">
        <v>26</v>
      </c>
      <c r="E288" s="10" t="s">
        <v>26</v>
      </c>
      <c r="F288" s="10" t="s">
        <v>26</v>
      </c>
      <c r="G288" s="10" t="s">
        <v>26</v>
      </c>
      <c r="H288" s="10" t="s">
        <v>25</v>
      </c>
      <c r="I288" s="10" t="s">
        <v>27</v>
      </c>
      <c r="J288" s="10" t="s">
        <v>25</v>
      </c>
      <c r="K288" s="23" t="s">
        <v>690</v>
      </c>
      <c r="L288" s="5" t="s">
        <v>126</v>
      </c>
      <c r="M288" s="11" t="s">
        <v>691</v>
      </c>
      <c r="N288" s="11"/>
      <c r="O288" s="11"/>
      <c r="P288" s="11"/>
      <c r="Q288" s="11"/>
    </row>
    <row r="289" ht="15.75" hidden="1" customHeight="1">
      <c r="A289" s="8">
        <v>45915.0</v>
      </c>
      <c r="B289" s="9">
        <f t="shared" si="16"/>
        <v>44</v>
      </c>
      <c r="C289" s="9">
        <v>46.58</v>
      </c>
      <c r="D289" s="10" t="s">
        <v>25</v>
      </c>
      <c r="E289" s="10" t="s">
        <v>26</v>
      </c>
      <c r="F289" s="10" t="s">
        <v>26</v>
      </c>
      <c r="G289" s="10" t="s">
        <v>26</v>
      </c>
      <c r="H289" s="10" t="s">
        <v>25</v>
      </c>
      <c r="I289" s="10" t="s">
        <v>27</v>
      </c>
      <c r="J289" s="10" t="s">
        <v>25</v>
      </c>
      <c r="K289" s="23" t="s">
        <v>692</v>
      </c>
      <c r="L289" s="5" t="s">
        <v>126</v>
      </c>
      <c r="M289" s="11" t="s">
        <v>693</v>
      </c>
      <c r="N289" s="11"/>
      <c r="O289" s="11"/>
      <c r="P289" s="11"/>
      <c r="Q289" s="11"/>
    </row>
    <row r="290" ht="15.75" hidden="1" customHeight="1">
      <c r="A290" s="8">
        <v>45916.0</v>
      </c>
      <c r="B290" s="9">
        <f t="shared" si="16"/>
        <v>48</v>
      </c>
      <c r="C290" s="9">
        <f>C289+3.58</f>
        <v>50.16</v>
      </c>
      <c r="D290" s="10" t="s">
        <v>26</v>
      </c>
      <c r="E290" s="10" t="s">
        <v>26</v>
      </c>
      <c r="F290" s="10" t="s">
        <v>26</v>
      </c>
      <c r="G290" s="10" t="s">
        <v>26</v>
      </c>
      <c r="H290" s="10" t="s">
        <v>25</v>
      </c>
      <c r="I290" s="10" t="s">
        <v>27</v>
      </c>
      <c r="J290" s="10" t="s">
        <v>25</v>
      </c>
      <c r="K290" s="23" t="s">
        <v>694</v>
      </c>
      <c r="L290" s="5" t="s">
        <v>126</v>
      </c>
      <c r="M290" s="11" t="s">
        <v>695</v>
      </c>
      <c r="N290" s="11"/>
      <c r="O290" s="11"/>
      <c r="P290" s="11"/>
      <c r="Q290" s="11"/>
    </row>
    <row r="291" ht="15.75" hidden="1" customHeight="1">
      <c r="A291" s="8">
        <v>45917.0</v>
      </c>
      <c r="B291" s="9">
        <f t="shared" si="16"/>
        <v>52</v>
      </c>
      <c r="C291" s="9">
        <f>C290+4.07</f>
        <v>54.23</v>
      </c>
      <c r="D291" s="10" t="s">
        <v>26</v>
      </c>
      <c r="E291" s="10" t="s">
        <v>26</v>
      </c>
      <c r="F291" s="10" t="s">
        <v>26</v>
      </c>
      <c r="G291" s="10" t="s">
        <v>26</v>
      </c>
      <c r="H291" s="10" t="s">
        <v>25</v>
      </c>
      <c r="I291" s="10" t="s">
        <v>27</v>
      </c>
      <c r="J291" s="10" t="s">
        <v>25</v>
      </c>
      <c r="K291" s="23" t="s">
        <v>696</v>
      </c>
      <c r="L291" s="5" t="s">
        <v>126</v>
      </c>
      <c r="M291" s="11" t="s">
        <v>697</v>
      </c>
      <c r="N291" s="11"/>
      <c r="O291" s="11" t="s">
        <v>698</v>
      </c>
      <c r="P291" s="11" t="s">
        <v>699</v>
      </c>
      <c r="Q291" s="11"/>
    </row>
    <row r="292" ht="15.75" hidden="1" customHeight="1">
      <c r="A292" s="8">
        <v>45918.0</v>
      </c>
      <c r="B292" s="9">
        <f t="shared" si="16"/>
        <v>56</v>
      </c>
      <c r="C292" s="9">
        <f>C291+4.26</f>
        <v>58.49</v>
      </c>
      <c r="D292" s="10" t="s">
        <v>25</v>
      </c>
      <c r="E292" s="10" t="s">
        <v>26</v>
      </c>
      <c r="F292" s="10" t="s">
        <v>26</v>
      </c>
      <c r="G292" s="10" t="s">
        <v>26</v>
      </c>
      <c r="H292" s="10" t="s">
        <v>25</v>
      </c>
      <c r="I292" s="10" t="s">
        <v>27</v>
      </c>
      <c r="J292" s="10" t="s">
        <v>25</v>
      </c>
      <c r="K292" s="23" t="s">
        <v>700</v>
      </c>
      <c r="L292" s="5" t="s">
        <v>126</v>
      </c>
      <c r="M292" s="11" t="s">
        <v>701</v>
      </c>
      <c r="N292" s="11"/>
      <c r="O292" s="11"/>
      <c r="P292" s="11"/>
      <c r="Q292" s="11"/>
    </row>
    <row r="293" ht="15.75" hidden="1" customHeight="1">
      <c r="A293" s="8">
        <v>45919.0</v>
      </c>
      <c r="B293" s="9">
        <f t="shared" si="16"/>
        <v>60</v>
      </c>
      <c r="C293" s="9">
        <v>63.02</v>
      </c>
      <c r="D293" s="10" t="s">
        <v>25</v>
      </c>
      <c r="E293" s="10" t="s">
        <v>26</v>
      </c>
      <c r="F293" s="10" t="s">
        <v>26</v>
      </c>
      <c r="G293" s="10" t="s">
        <v>26</v>
      </c>
      <c r="H293" s="10" t="s">
        <v>25</v>
      </c>
      <c r="I293" s="10" t="s">
        <v>27</v>
      </c>
      <c r="J293" s="10" t="s">
        <v>25</v>
      </c>
      <c r="K293" s="23" t="s">
        <v>702</v>
      </c>
      <c r="L293" s="5" t="s">
        <v>126</v>
      </c>
      <c r="M293" s="11" t="s">
        <v>703</v>
      </c>
      <c r="N293" s="11"/>
      <c r="O293" s="11"/>
      <c r="P293" s="11"/>
      <c r="Q293" s="11"/>
    </row>
    <row r="294" ht="15.75" hidden="1" customHeight="1">
      <c r="A294" s="8">
        <v>45922.0</v>
      </c>
      <c r="B294" s="9">
        <f t="shared" si="16"/>
        <v>64</v>
      </c>
      <c r="C294" s="9">
        <v>63.66</v>
      </c>
      <c r="D294" s="10" t="s">
        <v>25</v>
      </c>
      <c r="E294" s="10" t="s">
        <v>26</v>
      </c>
      <c r="F294" s="10" t="s">
        <v>26</v>
      </c>
      <c r="G294" s="10" t="s">
        <v>26</v>
      </c>
      <c r="H294" s="10" t="s">
        <v>25</v>
      </c>
      <c r="I294" s="10" t="s">
        <v>27</v>
      </c>
      <c r="J294" s="10" t="s">
        <v>25</v>
      </c>
      <c r="K294" s="23" t="s">
        <v>704</v>
      </c>
      <c r="L294" s="5" t="s">
        <v>126</v>
      </c>
      <c r="M294" s="11" t="s">
        <v>705</v>
      </c>
      <c r="N294" s="11"/>
      <c r="O294" s="11" t="s">
        <v>706</v>
      </c>
      <c r="P294" s="11"/>
      <c r="Q294" s="11"/>
    </row>
    <row r="295" ht="15.75" hidden="1" customHeight="1">
      <c r="A295" s="8">
        <v>45923.0</v>
      </c>
      <c r="B295" s="9">
        <f t="shared" si="16"/>
        <v>68</v>
      </c>
      <c r="C295" s="9">
        <f>C294+4.08</f>
        <v>67.74</v>
      </c>
      <c r="D295" s="10" t="s">
        <v>25</v>
      </c>
      <c r="E295" s="10" t="s">
        <v>26</v>
      </c>
      <c r="F295" s="10" t="s">
        <v>26</v>
      </c>
      <c r="G295" s="10" t="s">
        <v>26</v>
      </c>
      <c r="H295" s="10" t="s">
        <v>25</v>
      </c>
      <c r="I295" s="10" t="s">
        <v>27</v>
      </c>
      <c r="J295" s="10" t="s">
        <v>25</v>
      </c>
      <c r="K295" s="23" t="s">
        <v>707</v>
      </c>
      <c r="L295" s="5" t="s">
        <v>126</v>
      </c>
      <c r="M295" s="11" t="s">
        <v>708</v>
      </c>
      <c r="N295" s="11"/>
      <c r="O295" s="11"/>
      <c r="P295" s="11"/>
      <c r="Q295" s="11"/>
    </row>
    <row r="296" ht="15.75" hidden="1" customHeight="1">
      <c r="A296" s="8">
        <v>45924.0</v>
      </c>
      <c r="B296" s="9">
        <f t="shared" si="16"/>
        <v>72</v>
      </c>
      <c r="C296" s="9">
        <f>C295+1.37</f>
        <v>69.11</v>
      </c>
      <c r="D296" s="10" t="s">
        <v>25</v>
      </c>
      <c r="E296" s="10" t="s">
        <v>26</v>
      </c>
      <c r="F296" s="10" t="s">
        <v>26</v>
      </c>
      <c r="G296" s="10" t="s">
        <v>26</v>
      </c>
      <c r="H296" s="10" t="s">
        <v>25</v>
      </c>
      <c r="I296" s="10" t="s">
        <v>27</v>
      </c>
      <c r="J296" s="10" t="s">
        <v>25</v>
      </c>
      <c r="K296" s="23" t="s">
        <v>709</v>
      </c>
      <c r="L296" s="5" t="s">
        <v>126</v>
      </c>
      <c r="M296" s="11" t="s">
        <v>710</v>
      </c>
      <c r="N296" s="11"/>
      <c r="O296" s="11"/>
      <c r="P296" s="11"/>
      <c r="Q296" s="11"/>
    </row>
    <row r="297" ht="15.75" hidden="1" customHeight="1">
      <c r="A297" s="8">
        <v>45925.0</v>
      </c>
      <c r="B297" s="9">
        <f t="shared" si="16"/>
        <v>76</v>
      </c>
      <c r="C297" s="9">
        <v>71.54</v>
      </c>
      <c r="D297" s="10" t="s">
        <v>25</v>
      </c>
      <c r="E297" s="10" t="s">
        <v>26</v>
      </c>
      <c r="F297" s="10" t="s">
        <v>26</v>
      </c>
      <c r="G297" s="10" t="s">
        <v>26</v>
      </c>
      <c r="H297" s="10" t="s">
        <v>25</v>
      </c>
      <c r="I297" s="10" t="s">
        <v>27</v>
      </c>
      <c r="J297" s="10" t="s">
        <v>25</v>
      </c>
      <c r="K297" s="23" t="s">
        <v>711</v>
      </c>
      <c r="L297" s="5" t="s">
        <v>126</v>
      </c>
      <c r="M297" s="11" t="s">
        <v>712</v>
      </c>
      <c r="N297" s="11"/>
      <c r="O297" s="11"/>
      <c r="P297" s="11"/>
      <c r="Q297" s="11"/>
    </row>
    <row r="298" ht="15.75" hidden="1" customHeight="1">
      <c r="A298" s="8">
        <v>45926.0</v>
      </c>
      <c r="B298" s="9">
        <f t="shared" si="16"/>
        <v>80</v>
      </c>
      <c r="C298" s="9">
        <f>C297+1.03</f>
        <v>72.57</v>
      </c>
      <c r="D298" s="10" t="s">
        <v>25</v>
      </c>
      <c r="E298" s="10" t="s">
        <v>26</v>
      </c>
      <c r="F298" s="10" t="s">
        <v>26</v>
      </c>
      <c r="G298" s="10" t="s">
        <v>26</v>
      </c>
      <c r="H298" s="10" t="s">
        <v>25</v>
      </c>
      <c r="I298" s="10" t="s">
        <v>27</v>
      </c>
      <c r="J298" s="10" t="s">
        <v>25</v>
      </c>
      <c r="K298" s="23" t="s">
        <v>713</v>
      </c>
      <c r="L298" s="5" t="s">
        <v>126</v>
      </c>
      <c r="M298" s="11" t="s">
        <v>714</v>
      </c>
      <c r="N298" s="11"/>
      <c r="O298" s="11"/>
      <c r="P298" s="11"/>
      <c r="Q298" s="11"/>
    </row>
    <row r="299" ht="15.75" hidden="1" customHeight="1">
      <c r="A299" s="8">
        <v>45929.0</v>
      </c>
      <c r="B299" s="9">
        <v>80.0</v>
      </c>
      <c r="C299" s="9">
        <f>C298+4.16</f>
        <v>76.73</v>
      </c>
      <c r="D299" s="10" t="s">
        <v>25</v>
      </c>
      <c r="E299" s="10" t="s">
        <v>26</v>
      </c>
      <c r="F299" s="10" t="s">
        <v>26</v>
      </c>
      <c r="G299" s="10" t="s">
        <v>26</v>
      </c>
      <c r="H299" s="10" t="s">
        <v>25</v>
      </c>
      <c r="I299" s="10" t="s">
        <v>27</v>
      </c>
      <c r="J299" s="10" t="s">
        <v>25</v>
      </c>
      <c r="K299" s="23" t="s">
        <v>715</v>
      </c>
      <c r="L299" s="5" t="s">
        <v>126</v>
      </c>
      <c r="M299" s="11" t="s">
        <v>716</v>
      </c>
      <c r="N299" s="11"/>
      <c r="O299" s="11"/>
      <c r="P299" s="11"/>
      <c r="Q299" s="11"/>
    </row>
    <row r="300" ht="15.75" hidden="1" customHeight="1">
      <c r="A300" s="8">
        <v>45930.0</v>
      </c>
      <c r="B300" s="9">
        <v>80.0</v>
      </c>
      <c r="C300" s="9">
        <v>80.0</v>
      </c>
      <c r="D300" s="10" t="s">
        <v>25</v>
      </c>
      <c r="E300" s="10" t="s">
        <v>26</v>
      </c>
      <c r="F300" s="10" t="s">
        <v>26</v>
      </c>
      <c r="G300" s="10" t="s">
        <v>26</v>
      </c>
      <c r="H300" s="10" t="s">
        <v>25</v>
      </c>
      <c r="I300" s="10" t="s">
        <v>27</v>
      </c>
      <c r="J300" s="10" t="s">
        <v>25</v>
      </c>
      <c r="K300" s="23" t="s">
        <v>717</v>
      </c>
      <c r="L300" s="5" t="s">
        <v>126</v>
      </c>
      <c r="M300" s="11" t="s">
        <v>718</v>
      </c>
      <c r="N300" s="11"/>
      <c r="O300" s="11"/>
      <c r="P300" s="11"/>
      <c r="Q300" s="11"/>
    </row>
    <row r="301" ht="15.75" hidden="1" customHeight="1">
      <c r="A301" s="8"/>
      <c r="B301" s="9"/>
      <c r="C301" s="9"/>
      <c r="D301" s="10"/>
      <c r="E301" s="10"/>
      <c r="F301" s="10"/>
      <c r="G301" s="10"/>
      <c r="H301" s="10"/>
      <c r="I301" s="10"/>
      <c r="J301" s="10"/>
      <c r="K301" s="23"/>
      <c r="L301" s="5"/>
      <c r="M301" s="11"/>
      <c r="N301" s="11"/>
      <c r="O301" s="11"/>
      <c r="P301" s="11"/>
      <c r="Q301" s="11"/>
    </row>
    <row r="302" ht="15.75" hidden="1" customHeight="1">
      <c r="A302" s="8">
        <v>45933.0</v>
      </c>
      <c r="B302" s="9">
        <v>4.0</v>
      </c>
      <c r="C302" s="9">
        <v>2.82</v>
      </c>
      <c r="D302" s="10" t="s">
        <v>25</v>
      </c>
      <c r="E302" s="10" t="s">
        <v>26</v>
      </c>
      <c r="F302" s="10" t="s">
        <v>26</v>
      </c>
      <c r="G302" s="10" t="s">
        <v>26</v>
      </c>
      <c r="H302" s="10" t="s">
        <v>25</v>
      </c>
      <c r="I302" s="10" t="s">
        <v>27</v>
      </c>
      <c r="J302" s="10" t="s">
        <v>25</v>
      </c>
      <c r="K302" s="23" t="s">
        <v>719</v>
      </c>
      <c r="L302" s="5" t="s">
        <v>126</v>
      </c>
      <c r="M302" s="11" t="s">
        <v>720</v>
      </c>
      <c r="N302" s="11"/>
      <c r="O302" s="11"/>
      <c r="P302" s="11"/>
      <c r="Q302" s="11"/>
    </row>
    <row r="303" ht="15.75" hidden="1" customHeight="1">
      <c r="A303" s="8">
        <v>45936.0</v>
      </c>
      <c r="B303" s="9">
        <f t="shared" ref="B303:B312" si="17">B302+4</f>
        <v>8</v>
      </c>
      <c r="C303" s="9">
        <v>3.43</v>
      </c>
      <c r="D303" s="10" t="s">
        <v>25</v>
      </c>
      <c r="E303" s="10" t="s">
        <v>26</v>
      </c>
      <c r="F303" s="10" t="s">
        <v>26</v>
      </c>
      <c r="G303" s="10" t="s">
        <v>26</v>
      </c>
      <c r="H303" s="10" t="s">
        <v>25</v>
      </c>
      <c r="I303" s="10" t="s">
        <v>27</v>
      </c>
      <c r="J303" s="10" t="s">
        <v>25</v>
      </c>
      <c r="K303" s="23" t="s">
        <v>721</v>
      </c>
      <c r="L303" s="5" t="s">
        <v>126</v>
      </c>
      <c r="M303" s="11" t="s">
        <v>722</v>
      </c>
      <c r="N303" s="11"/>
      <c r="O303" s="11"/>
      <c r="P303" s="11"/>
      <c r="Q303" s="11"/>
    </row>
    <row r="304" ht="15.75" hidden="1" customHeight="1">
      <c r="A304" s="8">
        <v>45937.0</v>
      </c>
      <c r="B304" s="9">
        <f t="shared" si="17"/>
        <v>12</v>
      </c>
      <c r="C304" s="9">
        <v>6.74</v>
      </c>
      <c r="D304" s="10" t="s">
        <v>25</v>
      </c>
      <c r="E304" s="10" t="s">
        <v>26</v>
      </c>
      <c r="F304" s="10" t="s">
        <v>26</v>
      </c>
      <c r="G304" s="10" t="s">
        <v>26</v>
      </c>
      <c r="H304" s="10" t="s">
        <v>25</v>
      </c>
      <c r="I304" s="10" t="s">
        <v>27</v>
      </c>
      <c r="J304" s="10" t="s">
        <v>25</v>
      </c>
      <c r="K304" s="23" t="s">
        <v>723</v>
      </c>
      <c r="L304" s="5" t="s">
        <v>126</v>
      </c>
      <c r="M304" s="11" t="s">
        <v>724</v>
      </c>
      <c r="N304" s="11"/>
      <c r="O304" s="11"/>
      <c r="P304" s="11"/>
      <c r="Q304" s="11"/>
    </row>
    <row r="305" ht="15.75" hidden="1" customHeight="1">
      <c r="A305" s="8">
        <v>45938.0</v>
      </c>
      <c r="B305" s="9">
        <f t="shared" si="17"/>
        <v>16</v>
      </c>
      <c r="C305" s="9">
        <v>8.3</v>
      </c>
      <c r="D305" s="10" t="s">
        <v>25</v>
      </c>
      <c r="E305" s="10" t="s">
        <v>26</v>
      </c>
      <c r="F305" s="10" t="s">
        <v>26</v>
      </c>
      <c r="G305" s="10" t="s">
        <v>26</v>
      </c>
      <c r="H305" s="10" t="s">
        <v>25</v>
      </c>
      <c r="I305" s="10" t="s">
        <v>27</v>
      </c>
      <c r="J305" s="10" t="s">
        <v>25</v>
      </c>
      <c r="K305" s="23" t="s">
        <v>725</v>
      </c>
      <c r="L305" s="5" t="s">
        <v>126</v>
      </c>
      <c r="M305" s="11" t="s">
        <v>726</v>
      </c>
      <c r="N305" s="11"/>
      <c r="O305" s="11"/>
      <c r="P305" s="11"/>
      <c r="Q305" s="11"/>
    </row>
    <row r="306" ht="15.75" hidden="1" customHeight="1">
      <c r="A306" s="8">
        <v>45939.0</v>
      </c>
      <c r="B306" s="9">
        <f t="shared" si="17"/>
        <v>20</v>
      </c>
      <c r="C306" s="9">
        <v>10.51</v>
      </c>
      <c r="D306" s="10" t="s">
        <v>25</v>
      </c>
      <c r="E306" s="10" t="s">
        <v>26</v>
      </c>
      <c r="F306" s="10" t="s">
        <v>26</v>
      </c>
      <c r="G306" s="10" t="s">
        <v>26</v>
      </c>
      <c r="H306" s="10" t="s">
        <v>25</v>
      </c>
      <c r="I306" s="10" t="s">
        <v>27</v>
      </c>
      <c r="J306" s="10" t="s">
        <v>25</v>
      </c>
      <c r="K306" s="23" t="s">
        <v>727</v>
      </c>
      <c r="L306" s="5" t="s">
        <v>126</v>
      </c>
      <c r="M306" s="11" t="s">
        <v>728</v>
      </c>
      <c r="N306" s="11"/>
      <c r="O306" s="11"/>
      <c r="P306" s="11"/>
      <c r="Q306" s="11"/>
    </row>
    <row r="307" ht="15.75" hidden="1" customHeight="1">
      <c r="A307" s="8">
        <v>45940.0</v>
      </c>
      <c r="B307" s="9">
        <f t="shared" si="17"/>
        <v>24</v>
      </c>
      <c r="C307" s="9">
        <v>12.06</v>
      </c>
      <c r="D307" s="10" t="s">
        <v>25</v>
      </c>
      <c r="E307" s="10" t="s">
        <v>26</v>
      </c>
      <c r="F307" s="10" t="s">
        <v>26</v>
      </c>
      <c r="G307" s="10" t="s">
        <v>26</v>
      </c>
      <c r="H307" s="10" t="s">
        <v>25</v>
      </c>
      <c r="I307" s="10" t="s">
        <v>27</v>
      </c>
      <c r="J307" s="10" t="s">
        <v>25</v>
      </c>
      <c r="K307" s="23" t="s">
        <v>729</v>
      </c>
      <c r="L307" s="5" t="s">
        <v>126</v>
      </c>
      <c r="M307" s="11" t="s">
        <v>730</v>
      </c>
      <c r="N307" s="11"/>
      <c r="O307" s="11"/>
      <c r="P307" s="11"/>
      <c r="Q307" s="11"/>
    </row>
    <row r="308" ht="15.75" hidden="1" customHeight="1">
      <c r="A308" s="8">
        <v>45943.0</v>
      </c>
      <c r="B308" s="9">
        <f t="shared" si="17"/>
        <v>28</v>
      </c>
      <c r="C308" s="9">
        <f>C307+2.41</f>
        <v>14.47</v>
      </c>
      <c r="D308" s="10" t="s">
        <v>25</v>
      </c>
      <c r="E308" s="10" t="s">
        <v>26</v>
      </c>
      <c r="F308" s="10" t="s">
        <v>26</v>
      </c>
      <c r="G308" s="10" t="s">
        <v>26</v>
      </c>
      <c r="H308" s="10" t="s">
        <v>25</v>
      </c>
      <c r="I308" s="10" t="s">
        <v>27</v>
      </c>
      <c r="J308" s="10" t="s">
        <v>25</v>
      </c>
      <c r="K308" s="23" t="s">
        <v>731</v>
      </c>
      <c r="L308" s="5" t="s">
        <v>126</v>
      </c>
      <c r="M308" s="11" t="s">
        <v>732</v>
      </c>
      <c r="N308" s="11"/>
      <c r="O308" s="11"/>
      <c r="P308" s="11"/>
      <c r="Q308" s="11"/>
    </row>
    <row r="309" ht="15.75" hidden="1" customHeight="1">
      <c r="A309" s="8">
        <v>45944.0</v>
      </c>
      <c r="B309" s="9">
        <f t="shared" si="17"/>
        <v>32</v>
      </c>
      <c r="C309" s="9">
        <v>16.82</v>
      </c>
      <c r="D309" s="10" t="s">
        <v>25</v>
      </c>
      <c r="E309" s="10" t="s">
        <v>26</v>
      </c>
      <c r="F309" s="10" t="s">
        <v>26</v>
      </c>
      <c r="G309" s="10" t="s">
        <v>26</v>
      </c>
      <c r="H309" s="10" t="s">
        <v>25</v>
      </c>
      <c r="I309" s="10" t="s">
        <v>27</v>
      </c>
      <c r="J309" s="10" t="s">
        <v>25</v>
      </c>
      <c r="K309" s="23" t="s">
        <v>733</v>
      </c>
      <c r="L309" s="5" t="s">
        <v>126</v>
      </c>
      <c r="M309" s="11" t="s">
        <v>734</v>
      </c>
      <c r="N309" s="11"/>
      <c r="O309" s="11"/>
      <c r="P309" s="11"/>
      <c r="Q309" s="11"/>
    </row>
    <row r="310" ht="15.75" hidden="1" customHeight="1">
      <c r="A310" s="8">
        <v>45945.0</v>
      </c>
      <c r="B310" s="9">
        <f t="shared" si="17"/>
        <v>36</v>
      </c>
      <c r="C310" s="9">
        <f>C309+0.61</f>
        <v>17.43</v>
      </c>
      <c r="D310" s="10" t="s">
        <v>25</v>
      </c>
      <c r="E310" s="10" t="s">
        <v>26</v>
      </c>
      <c r="F310" s="10" t="s">
        <v>26</v>
      </c>
      <c r="G310" s="10" t="s">
        <v>26</v>
      </c>
      <c r="H310" s="10" t="s">
        <v>25</v>
      </c>
      <c r="I310" s="10" t="s">
        <v>27</v>
      </c>
      <c r="J310" s="10" t="s">
        <v>25</v>
      </c>
      <c r="K310" s="23" t="s">
        <v>735</v>
      </c>
      <c r="L310" s="5" t="s">
        <v>126</v>
      </c>
      <c r="M310" s="11" t="s">
        <v>736</v>
      </c>
      <c r="N310" s="11"/>
      <c r="O310" s="11"/>
      <c r="P310" s="11"/>
      <c r="Q310" s="11"/>
    </row>
    <row r="311" ht="15.75" hidden="1" customHeight="1">
      <c r="A311" s="8">
        <v>45946.0</v>
      </c>
      <c r="B311" s="9">
        <f t="shared" si="17"/>
        <v>40</v>
      </c>
      <c r="C311" s="9">
        <v>18.32</v>
      </c>
      <c r="D311" s="10" t="s">
        <v>25</v>
      </c>
      <c r="E311" s="10" t="s">
        <v>26</v>
      </c>
      <c r="F311" s="10" t="s">
        <v>26</v>
      </c>
      <c r="G311" s="10" t="s">
        <v>26</v>
      </c>
      <c r="H311" s="10" t="s">
        <v>25</v>
      </c>
      <c r="I311" s="10" t="s">
        <v>27</v>
      </c>
      <c r="J311" s="10" t="s">
        <v>25</v>
      </c>
      <c r="K311" s="23" t="s">
        <v>737</v>
      </c>
      <c r="L311" s="5" t="s">
        <v>126</v>
      </c>
      <c r="M311" s="11" t="s">
        <v>738</v>
      </c>
      <c r="N311" s="11"/>
      <c r="O311" s="11"/>
      <c r="P311" s="11"/>
      <c r="Q311" s="11"/>
    </row>
    <row r="312" ht="15.75" hidden="1" customHeight="1">
      <c r="A312" s="8">
        <v>45947.0</v>
      </c>
      <c r="B312" s="9">
        <f t="shared" si="17"/>
        <v>44</v>
      </c>
      <c r="C312" s="9">
        <f>C311+3</f>
        <v>21.32</v>
      </c>
      <c r="D312" s="10" t="s">
        <v>25</v>
      </c>
      <c r="E312" s="10" t="s">
        <v>26</v>
      </c>
      <c r="F312" s="10" t="s">
        <v>26</v>
      </c>
      <c r="G312" s="10" t="s">
        <v>26</v>
      </c>
      <c r="H312" s="10" t="s">
        <v>25</v>
      </c>
      <c r="I312" s="10" t="s">
        <v>27</v>
      </c>
      <c r="J312" s="10" t="s">
        <v>25</v>
      </c>
      <c r="K312" s="23" t="s">
        <v>739</v>
      </c>
      <c r="L312" s="5" t="s">
        <v>126</v>
      </c>
      <c r="M312" s="11" t="s">
        <v>740</v>
      </c>
      <c r="N312" s="11"/>
      <c r="O312" s="11"/>
      <c r="P312" s="11"/>
      <c r="Q312" s="11"/>
    </row>
    <row r="313" ht="15.75" hidden="1" customHeight="1">
      <c r="A313" s="8">
        <v>45948.0</v>
      </c>
      <c r="B313" s="9">
        <v>44.0</v>
      </c>
      <c r="C313" s="9">
        <v>22.25</v>
      </c>
      <c r="D313" s="10" t="s">
        <v>25</v>
      </c>
      <c r="E313" s="10" t="s">
        <v>26</v>
      </c>
      <c r="F313" s="10" t="s">
        <v>26</v>
      </c>
      <c r="G313" s="10" t="s">
        <v>26</v>
      </c>
      <c r="H313" s="10" t="s">
        <v>25</v>
      </c>
      <c r="I313" s="10" t="s">
        <v>27</v>
      </c>
      <c r="J313" s="10" t="s">
        <v>25</v>
      </c>
      <c r="K313" s="23" t="s">
        <v>741</v>
      </c>
      <c r="L313" s="5" t="s">
        <v>126</v>
      </c>
      <c r="M313" s="11" t="s">
        <v>742</v>
      </c>
      <c r="N313" s="11"/>
      <c r="O313" s="11"/>
      <c r="P313" s="11"/>
      <c r="Q313" s="11"/>
    </row>
    <row r="314" ht="15.75" hidden="1" customHeight="1">
      <c r="A314" s="8">
        <v>45951.0</v>
      </c>
      <c r="B314" s="9">
        <f>B312+4</f>
        <v>48</v>
      </c>
      <c r="C314" s="9">
        <v>24.82</v>
      </c>
      <c r="D314" s="10" t="s">
        <v>25</v>
      </c>
      <c r="E314" s="10" t="s">
        <v>26</v>
      </c>
      <c r="F314" s="10" t="s">
        <v>26</v>
      </c>
      <c r="G314" s="10" t="s">
        <v>26</v>
      </c>
      <c r="H314" s="10" t="s">
        <v>25</v>
      </c>
      <c r="I314" s="10" t="s">
        <v>27</v>
      </c>
      <c r="J314" s="10" t="s">
        <v>25</v>
      </c>
      <c r="K314" s="23" t="s">
        <v>743</v>
      </c>
      <c r="L314" s="5" t="s">
        <v>126</v>
      </c>
      <c r="M314" s="11" t="s">
        <v>744</v>
      </c>
      <c r="N314" s="11"/>
      <c r="O314" s="11"/>
      <c r="P314" s="11"/>
      <c r="Q314" s="11"/>
    </row>
    <row r="315" ht="15.75" hidden="1" customHeight="1">
      <c r="A315" s="8">
        <v>45952.0</v>
      </c>
      <c r="B315" s="9">
        <f t="shared" ref="B315:B322" si="18">B314+4</f>
        <v>52</v>
      </c>
      <c r="C315" s="9">
        <v>27.4</v>
      </c>
      <c r="D315" s="10" t="s">
        <v>25</v>
      </c>
      <c r="E315" s="10" t="s">
        <v>26</v>
      </c>
      <c r="F315" s="10" t="s">
        <v>26</v>
      </c>
      <c r="G315" s="10" t="s">
        <v>26</v>
      </c>
      <c r="H315" s="10" t="s">
        <v>25</v>
      </c>
      <c r="I315" s="10" t="s">
        <v>27</v>
      </c>
      <c r="J315" s="10" t="s">
        <v>25</v>
      </c>
      <c r="K315" s="23" t="s">
        <v>745</v>
      </c>
      <c r="L315" s="5" t="s">
        <v>126</v>
      </c>
      <c r="M315" s="11" t="s">
        <v>746</v>
      </c>
      <c r="N315" s="11"/>
      <c r="O315" s="11"/>
      <c r="P315" s="11"/>
      <c r="Q315" s="11"/>
    </row>
    <row r="316" ht="15.75" hidden="1" customHeight="1">
      <c r="A316" s="8">
        <v>45953.0</v>
      </c>
      <c r="B316" s="9">
        <f t="shared" si="18"/>
        <v>56</v>
      </c>
      <c r="C316" s="9">
        <v>29.93</v>
      </c>
      <c r="D316" s="10" t="s">
        <v>25</v>
      </c>
      <c r="E316" s="10" t="s">
        <v>26</v>
      </c>
      <c r="F316" s="10" t="s">
        <v>26</v>
      </c>
      <c r="G316" s="10" t="s">
        <v>26</v>
      </c>
      <c r="H316" s="10" t="s">
        <v>25</v>
      </c>
      <c r="I316" s="10" t="s">
        <v>27</v>
      </c>
      <c r="J316" s="10" t="s">
        <v>25</v>
      </c>
      <c r="K316" s="23" t="s">
        <v>747</v>
      </c>
      <c r="L316" s="5" t="s">
        <v>126</v>
      </c>
      <c r="M316" s="11" t="s">
        <v>748</v>
      </c>
      <c r="N316" s="11"/>
      <c r="O316" s="11"/>
      <c r="P316" s="11"/>
      <c r="Q316" s="11"/>
    </row>
    <row r="317" ht="15.75" hidden="1" customHeight="1">
      <c r="A317" s="8">
        <v>45954.0</v>
      </c>
      <c r="B317" s="9">
        <f t="shared" si="18"/>
        <v>60</v>
      </c>
      <c r="C317" s="9">
        <v>40.7</v>
      </c>
      <c r="D317" s="10" t="s">
        <v>26</v>
      </c>
      <c r="E317" s="10" t="s">
        <v>26</v>
      </c>
      <c r="F317" s="10" t="s">
        <v>26</v>
      </c>
      <c r="G317" s="10" t="s">
        <v>26</v>
      </c>
      <c r="H317" s="10" t="s">
        <v>25</v>
      </c>
      <c r="I317" s="10" t="s">
        <v>27</v>
      </c>
      <c r="J317" s="10" t="s">
        <v>25</v>
      </c>
      <c r="K317" s="23" t="s">
        <v>749</v>
      </c>
      <c r="L317" s="5" t="s">
        <v>126</v>
      </c>
      <c r="M317" s="11" t="s">
        <v>750</v>
      </c>
      <c r="N317" s="11"/>
      <c r="O317" s="11"/>
      <c r="P317" s="11"/>
      <c r="Q317" s="11"/>
    </row>
    <row r="318" ht="15.75" hidden="1" customHeight="1">
      <c r="A318" s="8">
        <v>45957.0</v>
      </c>
      <c r="B318" s="9">
        <f t="shared" si="18"/>
        <v>64</v>
      </c>
      <c r="C318" s="9">
        <v>45.03</v>
      </c>
      <c r="D318" s="10" t="s">
        <v>25</v>
      </c>
      <c r="E318" s="10" t="s">
        <v>26</v>
      </c>
      <c r="F318" s="10" t="s">
        <v>26</v>
      </c>
      <c r="G318" s="10" t="s">
        <v>26</v>
      </c>
      <c r="H318" s="10" t="s">
        <v>25</v>
      </c>
      <c r="I318" s="10" t="s">
        <v>27</v>
      </c>
      <c r="J318" s="10" t="s">
        <v>25</v>
      </c>
      <c r="K318" s="23" t="s">
        <v>751</v>
      </c>
      <c r="L318" s="5" t="s">
        <v>126</v>
      </c>
      <c r="M318" s="11" t="s">
        <v>752</v>
      </c>
      <c r="N318" s="11"/>
      <c r="O318" s="11"/>
      <c r="P318" s="11"/>
      <c r="Q318" s="11"/>
    </row>
    <row r="319" ht="15.75" hidden="1" customHeight="1">
      <c r="A319" s="8">
        <v>45958.0</v>
      </c>
      <c r="B319" s="9">
        <f t="shared" si="18"/>
        <v>68</v>
      </c>
      <c r="C319" s="9">
        <v>54.19</v>
      </c>
      <c r="D319" s="10" t="s">
        <v>25</v>
      </c>
      <c r="E319" s="10" t="s">
        <v>26</v>
      </c>
      <c r="F319" s="10" t="s">
        <v>26</v>
      </c>
      <c r="G319" s="10" t="s">
        <v>26</v>
      </c>
      <c r="H319" s="10" t="s">
        <v>25</v>
      </c>
      <c r="I319" s="10" t="s">
        <v>27</v>
      </c>
      <c r="J319" s="10" t="s">
        <v>25</v>
      </c>
      <c r="K319" s="23" t="s">
        <v>753</v>
      </c>
      <c r="L319" s="5" t="s">
        <v>126</v>
      </c>
      <c r="M319" s="11" t="s">
        <v>754</v>
      </c>
      <c r="N319" s="11"/>
      <c r="O319" s="11"/>
      <c r="P319" s="11"/>
      <c r="Q319" s="11"/>
    </row>
    <row r="320" ht="15.75" hidden="1" customHeight="1">
      <c r="A320" s="8">
        <v>45959.0</v>
      </c>
      <c r="B320" s="9">
        <f t="shared" si="18"/>
        <v>72</v>
      </c>
      <c r="C320" s="9">
        <f>C319+7.15</f>
        <v>61.34</v>
      </c>
      <c r="D320" s="10" t="s">
        <v>25</v>
      </c>
      <c r="E320" s="10" t="s">
        <v>26</v>
      </c>
      <c r="F320" s="10" t="s">
        <v>26</v>
      </c>
      <c r="G320" s="10" t="s">
        <v>26</v>
      </c>
      <c r="H320" s="10" t="s">
        <v>25</v>
      </c>
      <c r="I320" s="10" t="s">
        <v>27</v>
      </c>
      <c r="J320" s="10" t="s">
        <v>25</v>
      </c>
      <c r="K320" s="23" t="s">
        <v>755</v>
      </c>
      <c r="L320" s="5" t="s">
        <v>126</v>
      </c>
      <c r="M320" s="11" t="s">
        <v>756</v>
      </c>
      <c r="N320" s="11"/>
      <c r="O320" s="11"/>
      <c r="P320" s="11"/>
      <c r="Q320" s="11"/>
    </row>
    <row r="321" ht="15.75" hidden="1" customHeight="1">
      <c r="A321" s="8">
        <v>45960.0</v>
      </c>
      <c r="B321" s="9">
        <f t="shared" si="18"/>
        <v>76</v>
      </c>
      <c r="C321" s="9">
        <f>C320+3.57</f>
        <v>64.91</v>
      </c>
      <c r="D321" s="10" t="s">
        <v>25</v>
      </c>
      <c r="E321" s="10" t="s">
        <v>26</v>
      </c>
      <c r="F321" s="10" t="s">
        <v>26</v>
      </c>
      <c r="G321" s="10" t="s">
        <v>26</v>
      </c>
      <c r="H321" s="10" t="s">
        <v>25</v>
      </c>
      <c r="I321" s="10" t="s">
        <v>27</v>
      </c>
      <c r="J321" s="10" t="s">
        <v>25</v>
      </c>
      <c r="K321" s="23" t="s">
        <v>757</v>
      </c>
      <c r="L321" s="5" t="s">
        <v>126</v>
      </c>
      <c r="M321" s="11" t="s">
        <v>758</v>
      </c>
      <c r="N321" s="11"/>
      <c r="O321" s="11"/>
      <c r="P321" s="11"/>
      <c r="Q321" s="11"/>
    </row>
    <row r="322" ht="15.75" hidden="1" customHeight="1">
      <c r="A322" s="8">
        <v>45961.0</v>
      </c>
      <c r="B322" s="9">
        <f t="shared" si="18"/>
        <v>80</v>
      </c>
      <c r="C322" s="9">
        <v>67.8</v>
      </c>
      <c r="D322" s="10" t="s">
        <v>25</v>
      </c>
      <c r="E322" s="10" t="s">
        <v>26</v>
      </c>
      <c r="F322" s="10" t="s">
        <v>26</v>
      </c>
      <c r="G322" s="10" t="s">
        <v>26</v>
      </c>
      <c r="H322" s="10" t="s">
        <v>25</v>
      </c>
      <c r="I322" s="10" t="s">
        <v>27</v>
      </c>
      <c r="J322" s="10" t="s">
        <v>25</v>
      </c>
      <c r="K322" s="23" t="s">
        <v>759</v>
      </c>
      <c r="L322" s="5" t="s">
        <v>126</v>
      </c>
      <c r="M322" s="11" t="s">
        <v>760</v>
      </c>
      <c r="N322" s="11"/>
      <c r="O322" s="11"/>
      <c r="P322" s="11"/>
      <c r="Q322" s="11"/>
    </row>
    <row r="323" ht="15.75" hidden="1" customHeight="1">
      <c r="A323" s="8"/>
      <c r="B323" s="9"/>
      <c r="C323" s="9"/>
      <c r="D323" s="10"/>
      <c r="E323" s="10"/>
      <c r="F323" s="10"/>
      <c r="G323" s="10"/>
      <c r="H323" s="10"/>
      <c r="I323" s="10"/>
      <c r="J323" s="10"/>
      <c r="K323" s="11"/>
      <c r="L323" s="5"/>
      <c r="M323" s="11"/>
      <c r="N323" s="11"/>
      <c r="O323" s="11"/>
      <c r="P323" s="11"/>
      <c r="Q323" s="11"/>
    </row>
    <row r="324" ht="15.75" hidden="1" customHeight="1">
      <c r="A324" s="8">
        <v>45964.0</v>
      </c>
      <c r="B324" s="9">
        <v>4.0</v>
      </c>
      <c r="C324" s="9">
        <v>2.06</v>
      </c>
      <c r="D324" s="10" t="s">
        <v>25</v>
      </c>
      <c r="E324" s="10" t="s">
        <v>26</v>
      </c>
      <c r="F324" s="10" t="s">
        <v>26</v>
      </c>
      <c r="G324" s="10" t="s">
        <v>26</v>
      </c>
      <c r="H324" s="10" t="s">
        <v>25</v>
      </c>
      <c r="I324" s="10" t="s">
        <v>27</v>
      </c>
      <c r="J324" s="10" t="s">
        <v>25</v>
      </c>
      <c r="K324" s="23" t="s">
        <v>761</v>
      </c>
      <c r="L324" s="5" t="s">
        <v>126</v>
      </c>
      <c r="M324" s="11" t="s">
        <v>762</v>
      </c>
      <c r="N324" s="11"/>
      <c r="O324" s="11"/>
      <c r="P324" s="11"/>
      <c r="Q324" s="11"/>
    </row>
    <row r="325" ht="15.75" hidden="1" customHeight="1">
      <c r="A325" s="8">
        <v>45965.0</v>
      </c>
      <c r="B325" s="9">
        <f t="shared" ref="B325:B327" si="19">B324+4</f>
        <v>8</v>
      </c>
      <c r="C325" s="9">
        <v>5.32</v>
      </c>
      <c r="D325" s="10" t="s">
        <v>25</v>
      </c>
      <c r="E325" s="10" t="s">
        <v>26</v>
      </c>
      <c r="F325" s="10" t="s">
        <v>26</v>
      </c>
      <c r="G325" s="10" t="s">
        <v>26</v>
      </c>
      <c r="H325" s="10" t="s">
        <v>25</v>
      </c>
      <c r="I325" s="10" t="s">
        <v>27</v>
      </c>
      <c r="J325" s="10" t="s">
        <v>25</v>
      </c>
      <c r="K325" s="23" t="s">
        <v>763</v>
      </c>
      <c r="L325" s="5" t="s">
        <v>126</v>
      </c>
      <c r="M325" s="11" t="s">
        <v>764</v>
      </c>
      <c r="N325" s="11"/>
      <c r="O325" s="11"/>
      <c r="P325" s="11"/>
      <c r="Q325" s="11"/>
    </row>
    <row r="326" ht="15.75" hidden="1" customHeight="1">
      <c r="A326" s="8">
        <v>45966.0</v>
      </c>
      <c r="B326" s="9">
        <f t="shared" si="19"/>
        <v>12</v>
      </c>
      <c r="C326" s="9">
        <f>C325+5.51</f>
        <v>10.83</v>
      </c>
      <c r="D326" s="10" t="s">
        <v>25</v>
      </c>
      <c r="E326" s="10" t="s">
        <v>26</v>
      </c>
      <c r="F326" s="10" t="s">
        <v>26</v>
      </c>
      <c r="G326" s="10" t="s">
        <v>26</v>
      </c>
      <c r="H326" s="10" t="s">
        <v>25</v>
      </c>
      <c r="I326" s="10" t="s">
        <v>27</v>
      </c>
      <c r="J326" s="10" t="s">
        <v>25</v>
      </c>
      <c r="K326" s="23" t="s">
        <v>765</v>
      </c>
      <c r="L326" s="5" t="s">
        <v>126</v>
      </c>
      <c r="M326" s="11" t="s">
        <v>766</v>
      </c>
      <c r="N326" s="11"/>
      <c r="O326" s="11"/>
      <c r="P326" s="11"/>
      <c r="Q326" s="11"/>
    </row>
    <row r="327" ht="15.75" hidden="1" customHeight="1">
      <c r="A327" s="8">
        <v>45967.0</v>
      </c>
      <c r="B327" s="9">
        <f t="shared" si="19"/>
        <v>16</v>
      </c>
      <c r="C327" s="9">
        <v>11.89</v>
      </c>
      <c r="D327" s="10" t="s">
        <v>25</v>
      </c>
      <c r="E327" s="10" t="s">
        <v>26</v>
      </c>
      <c r="F327" s="10" t="s">
        <v>26</v>
      </c>
      <c r="G327" s="10" t="s">
        <v>26</v>
      </c>
      <c r="H327" s="10" t="s">
        <v>25</v>
      </c>
      <c r="I327" s="10" t="s">
        <v>27</v>
      </c>
      <c r="J327" s="10" t="s">
        <v>25</v>
      </c>
      <c r="K327" s="23" t="s">
        <v>767</v>
      </c>
      <c r="L327" s="5" t="s">
        <v>126</v>
      </c>
      <c r="M327" s="11" t="s">
        <v>768</v>
      </c>
      <c r="N327" s="11"/>
      <c r="O327" s="11"/>
      <c r="P327" s="11"/>
      <c r="Q327" s="11"/>
    </row>
    <row r="328" ht="15.75" hidden="1" customHeight="1">
      <c r="A328" s="8">
        <v>45968.0</v>
      </c>
      <c r="B328" s="9">
        <f>16+4</f>
        <v>20</v>
      </c>
      <c r="C328" s="9">
        <f>C327+0.29</f>
        <v>12.18</v>
      </c>
      <c r="D328" s="10" t="s">
        <v>25</v>
      </c>
      <c r="E328" s="10" t="s">
        <v>26</v>
      </c>
      <c r="F328" s="10" t="s">
        <v>26</v>
      </c>
      <c r="G328" s="10" t="s">
        <v>26</v>
      </c>
      <c r="H328" s="10" t="s">
        <v>25</v>
      </c>
      <c r="I328" s="10" t="s">
        <v>27</v>
      </c>
      <c r="J328" s="10" t="s">
        <v>25</v>
      </c>
      <c r="K328" s="23" t="s">
        <v>769</v>
      </c>
      <c r="L328" s="5" t="s">
        <v>40</v>
      </c>
      <c r="M328" s="11" t="s">
        <v>770</v>
      </c>
      <c r="N328" s="11"/>
      <c r="O328" s="11"/>
      <c r="P328" s="11"/>
      <c r="Q328" s="11"/>
    </row>
    <row r="329" ht="15.75" hidden="1" customHeight="1">
      <c r="A329" s="8">
        <v>45971.0</v>
      </c>
      <c r="B329" s="9">
        <f>20+4</f>
        <v>24</v>
      </c>
      <c r="C329" s="9">
        <f>20.69</f>
        <v>20.69</v>
      </c>
      <c r="D329" s="10" t="s">
        <v>25</v>
      </c>
      <c r="E329" s="10" t="s">
        <v>26</v>
      </c>
      <c r="F329" s="10" t="s">
        <v>26</v>
      </c>
      <c r="G329" s="10" t="s">
        <v>26</v>
      </c>
      <c r="H329" s="10" t="s">
        <v>25</v>
      </c>
      <c r="I329" s="10" t="s">
        <v>27</v>
      </c>
      <c r="J329" s="10" t="s">
        <v>25</v>
      </c>
      <c r="K329" s="23" t="s">
        <v>771</v>
      </c>
      <c r="L329" s="5" t="s">
        <v>40</v>
      </c>
      <c r="M329" s="11" t="s">
        <v>772</v>
      </c>
      <c r="N329" s="11"/>
      <c r="O329" s="11"/>
      <c r="P329" s="11"/>
      <c r="Q329" s="11"/>
    </row>
    <row r="330" ht="15.75" hidden="1" customHeight="1">
      <c r="A330" s="8">
        <v>45972.0</v>
      </c>
      <c r="B330" s="9">
        <f>24+4</f>
        <v>28</v>
      </c>
      <c r="C330" s="9">
        <v>26.26</v>
      </c>
      <c r="D330" s="10" t="s">
        <v>25</v>
      </c>
      <c r="E330" s="10" t="s">
        <v>26</v>
      </c>
      <c r="F330" s="10" t="s">
        <v>26</v>
      </c>
      <c r="G330" s="10" t="s">
        <v>26</v>
      </c>
      <c r="H330" s="10" t="s">
        <v>25</v>
      </c>
      <c r="I330" s="10" t="s">
        <v>27</v>
      </c>
      <c r="J330" s="10" t="s">
        <v>25</v>
      </c>
      <c r="K330" s="23" t="s">
        <v>773</v>
      </c>
      <c r="L330" s="5" t="s">
        <v>40</v>
      </c>
      <c r="M330" s="11" t="s">
        <v>774</v>
      </c>
      <c r="N330" s="11"/>
      <c r="O330" s="11"/>
      <c r="P330" s="11"/>
      <c r="Q330" s="11"/>
    </row>
    <row r="331" ht="15.75" hidden="1" customHeight="1">
      <c r="A331" s="8">
        <v>45973.0</v>
      </c>
      <c r="B331" s="9">
        <f>28+4</f>
        <v>32</v>
      </c>
      <c r="C331" s="9">
        <f>26.26+4.2</f>
        <v>30.46</v>
      </c>
      <c r="D331" s="10" t="s">
        <v>25</v>
      </c>
      <c r="E331" s="10" t="s">
        <v>26</v>
      </c>
      <c r="F331" s="10" t="s">
        <v>26</v>
      </c>
      <c r="G331" s="10" t="s">
        <v>26</v>
      </c>
      <c r="H331" s="10" t="s">
        <v>25</v>
      </c>
      <c r="I331" s="10" t="s">
        <v>27</v>
      </c>
      <c r="J331" s="10" t="s">
        <v>25</v>
      </c>
      <c r="K331" s="23" t="s">
        <v>775</v>
      </c>
      <c r="L331" s="5" t="s">
        <v>40</v>
      </c>
      <c r="M331" s="11" t="s">
        <v>776</v>
      </c>
      <c r="N331" s="11"/>
      <c r="O331" s="11"/>
      <c r="P331" s="11"/>
      <c r="Q331" s="11"/>
    </row>
    <row r="332" ht="15.75" hidden="1" customHeight="1">
      <c r="A332" s="8">
        <v>45974.0</v>
      </c>
      <c r="B332" s="9">
        <f>32+4</f>
        <v>36</v>
      </c>
      <c r="C332" s="9">
        <v>35.08</v>
      </c>
      <c r="D332" s="10" t="s">
        <v>25</v>
      </c>
      <c r="E332" s="10" t="s">
        <v>26</v>
      </c>
      <c r="F332" s="10" t="s">
        <v>26</v>
      </c>
      <c r="G332" s="10" t="s">
        <v>26</v>
      </c>
      <c r="H332" s="10" t="s">
        <v>25</v>
      </c>
      <c r="I332" s="10" t="s">
        <v>27</v>
      </c>
      <c r="J332" s="10" t="s">
        <v>25</v>
      </c>
      <c r="K332" s="23" t="s">
        <v>777</v>
      </c>
      <c r="L332" s="5" t="s">
        <v>40</v>
      </c>
      <c r="M332" s="11" t="s">
        <v>778</v>
      </c>
      <c r="N332" s="11"/>
      <c r="O332" s="11"/>
      <c r="P332" s="11"/>
      <c r="Q332" s="11"/>
    </row>
    <row r="333" ht="15.75" hidden="1" customHeight="1">
      <c r="A333" s="8">
        <v>45975.0</v>
      </c>
      <c r="B333" s="9">
        <f>36+4</f>
        <v>40</v>
      </c>
      <c r="C333" s="9">
        <v>38.74</v>
      </c>
      <c r="D333" s="10" t="s">
        <v>25</v>
      </c>
      <c r="E333" s="10" t="s">
        <v>26</v>
      </c>
      <c r="F333" s="10" t="s">
        <v>26</v>
      </c>
      <c r="G333" s="10" t="s">
        <v>26</v>
      </c>
      <c r="H333" s="10" t="s">
        <v>25</v>
      </c>
      <c r="I333" s="10" t="s">
        <v>27</v>
      </c>
      <c r="J333" s="10" t="s">
        <v>25</v>
      </c>
      <c r="K333" s="23" t="s">
        <v>779</v>
      </c>
      <c r="L333" s="5" t="s">
        <v>40</v>
      </c>
      <c r="M333" s="11" t="s">
        <v>780</v>
      </c>
      <c r="N333" s="11"/>
      <c r="O333" s="11"/>
      <c r="P333" s="11"/>
      <c r="Q333" s="11"/>
    </row>
    <row r="334" ht="15.75" hidden="1" customHeight="1">
      <c r="A334" s="8">
        <v>45978.0</v>
      </c>
      <c r="B334" s="9">
        <f>44</f>
        <v>44</v>
      </c>
      <c r="C334" s="9">
        <f>38.74+3.55</f>
        <v>42.29</v>
      </c>
      <c r="D334" s="10" t="s">
        <v>25</v>
      </c>
      <c r="E334" s="10" t="s">
        <v>26</v>
      </c>
      <c r="F334" s="10" t="s">
        <v>26</v>
      </c>
      <c r="G334" s="10" t="s">
        <v>26</v>
      </c>
      <c r="H334" s="10" t="s">
        <v>25</v>
      </c>
      <c r="I334" s="10" t="s">
        <v>27</v>
      </c>
      <c r="J334" s="10" t="s">
        <v>25</v>
      </c>
      <c r="K334" s="23" t="s">
        <v>781</v>
      </c>
      <c r="L334" s="5" t="s">
        <v>40</v>
      </c>
      <c r="M334" s="11" t="s">
        <v>782</v>
      </c>
      <c r="N334" s="11"/>
      <c r="O334" s="11"/>
      <c r="P334" s="11"/>
      <c r="Q334" s="11"/>
    </row>
    <row r="335" ht="15.75" hidden="1" customHeight="1">
      <c r="A335" s="8">
        <v>45979.0</v>
      </c>
      <c r="B335" s="9">
        <f>44+4</f>
        <v>48</v>
      </c>
      <c r="C335" s="9">
        <f>42.29+5.35</f>
        <v>47.64</v>
      </c>
      <c r="D335" s="10" t="s">
        <v>25</v>
      </c>
      <c r="E335" s="10" t="s">
        <v>26</v>
      </c>
      <c r="F335" s="10" t="s">
        <v>26</v>
      </c>
      <c r="G335" s="10" t="s">
        <v>26</v>
      </c>
      <c r="H335" s="10" t="s">
        <v>25</v>
      </c>
      <c r="I335" s="10" t="s">
        <v>27</v>
      </c>
      <c r="J335" s="10" t="s">
        <v>25</v>
      </c>
      <c r="K335" s="23" t="s">
        <v>783</v>
      </c>
      <c r="L335" s="5" t="s">
        <v>40</v>
      </c>
      <c r="M335" s="11" t="s">
        <v>784</v>
      </c>
      <c r="N335" s="11"/>
      <c r="O335" s="11"/>
      <c r="P335" s="11"/>
      <c r="Q335" s="11"/>
    </row>
    <row r="336" ht="15.75" hidden="1" customHeight="1">
      <c r="A336" s="8">
        <v>45980.0</v>
      </c>
      <c r="B336" s="9">
        <f>48+4</f>
        <v>52</v>
      </c>
      <c r="C336" s="9">
        <f>53.32</f>
        <v>53.32</v>
      </c>
      <c r="D336" s="10" t="s">
        <v>25</v>
      </c>
      <c r="E336" s="10" t="s">
        <v>26</v>
      </c>
      <c r="F336" s="10" t="s">
        <v>26</v>
      </c>
      <c r="G336" s="10" t="s">
        <v>26</v>
      </c>
      <c r="H336" s="10" t="s">
        <v>25</v>
      </c>
      <c r="I336" s="10" t="s">
        <v>27</v>
      </c>
      <c r="J336" s="10" t="s">
        <v>25</v>
      </c>
      <c r="K336" s="23" t="s">
        <v>785</v>
      </c>
      <c r="L336" s="5" t="s">
        <v>40</v>
      </c>
      <c r="M336" s="11" t="s">
        <v>786</v>
      </c>
      <c r="N336" s="11"/>
      <c r="O336" s="11"/>
      <c r="P336" s="11"/>
      <c r="Q336" s="11"/>
    </row>
    <row r="337" ht="15.75" hidden="1" customHeight="1">
      <c r="A337" s="8">
        <v>45981.0</v>
      </c>
      <c r="B337" s="9">
        <f>52+4</f>
        <v>56</v>
      </c>
      <c r="C337" s="9">
        <f>53.32+1.41</f>
        <v>54.73</v>
      </c>
      <c r="D337" s="10" t="s">
        <v>25</v>
      </c>
      <c r="E337" s="10" t="s">
        <v>26</v>
      </c>
      <c r="F337" s="10" t="s">
        <v>26</v>
      </c>
      <c r="G337" s="10" t="s">
        <v>26</v>
      </c>
      <c r="H337" s="10" t="s">
        <v>25</v>
      </c>
      <c r="I337" s="10" t="s">
        <v>27</v>
      </c>
      <c r="J337" s="10" t="s">
        <v>25</v>
      </c>
      <c r="K337" s="23" t="s">
        <v>787</v>
      </c>
      <c r="L337" s="5" t="s">
        <v>40</v>
      </c>
      <c r="M337" s="11" t="s">
        <v>788</v>
      </c>
      <c r="N337" s="11"/>
      <c r="O337" s="11"/>
      <c r="P337" s="11"/>
      <c r="Q337" s="11"/>
    </row>
    <row r="338" ht="15.75" hidden="1" customHeight="1">
      <c r="A338" s="8">
        <v>45982.0</v>
      </c>
      <c r="B338" s="9">
        <f>56+4</f>
        <v>60</v>
      </c>
      <c r="C338" s="9">
        <f>54.72+2.25</f>
        <v>56.97</v>
      </c>
      <c r="D338" s="10" t="s">
        <v>25</v>
      </c>
      <c r="E338" s="10" t="s">
        <v>26</v>
      </c>
      <c r="F338" s="10" t="s">
        <v>26</v>
      </c>
      <c r="G338" s="10" t="s">
        <v>26</v>
      </c>
      <c r="H338" s="10" t="s">
        <v>25</v>
      </c>
      <c r="I338" s="10" t="s">
        <v>27</v>
      </c>
      <c r="J338" s="10" t="s">
        <v>25</v>
      </c>
      <c r="K338" s="23" t="s">
        <v>789</v>
      </c>
      <c r="L338" s="5" t="s">
        <v>40</v>
      </c>
      <c r="M338" s="11" t="s">
        <v>790</v>
      </c>
      <c r="N338" s="11"/>
      <c r="O338" s="11"/>
      <c r="P338" s="11"/>
      <c r="Q338" s="11"/>
    </row>
    <row r="339" ht="15.75" hidden="1" customHeight="1">
      <c r="A339" s="8">
        <v>45985.0</v>
      </c>
      <c r="B339" s="9">
        <f>60+4</f>
        <v>64</v>
      </c>
      <c r="C339" s="9">
        <f>56.97+2.1</f>
        <v>59.07</v>
      </c>
      <c r="D339" s="10" t="s">
        <v>25</v>
      </c>
      <c r="E339" s="10" t="s">
        <v>26</v>
      </c>
      <c r="F339" s="10" t="s">
        <v>26</v>
      </c>
      <c r="G339" s="10" t="s">
        <v>26</v>
      </c>
      <c r="H339" s="10" t="s">
        <v>25</v>
      </c>
      <c r="I339" s="10" t="s">
        <v>27</v>
      </c>
      <c r="J339" s="10" t="s">
        <v>25</v>
      </c>
      <c r="K339" s="23" t="s">
        <v>791</v>
      </c>
      <c r="L339" s="5" t="s">
        <v>40</v>
      </c>
      <c r="M339" s="11" t="s">
        <v>792</v>
      </c>
      <c r="N339" s="11"/>
      <c r="O339" s="11"/>
      <c r="P339" s="11"/>
      <c r="Q339" s="11"/>
    </row>
    <row r="340" ht="15.75" hidden="1" customHeight="1">
      <c r="A340" s="8">
        <v>45986.0</v>
      </c>
      <c r="B340" s="9">
        <f>64+4</f>
        <v>68</v>
      </c>
      <c r="C340" s="9">
        <v>63.42</v>
      </c>
      <c r="D340" s="10" t="s">
        <v>25</v>
      </c>
      <c r="E340" s="10" t="s">
        <v>26</v>
      </c>
      <c r="F340" s="10" t="s">
        <v>26</v>
      </c>
      <c r="G340" s="10" t="s">
        <v>26</v>
      </c>
      <c r="H340" s="10" t="s">
        <v>25</v>
      </c>
      <c r="I340" s="10" t="s">
        <v>27</v>
      </c>
      <c r="J340" s="10" t="s">
        <v>25</v>
      </c>
      <c r="K340" s="23" t="s">
        <v>793</v>
      </c>
      <c r="L340" s="5" t="s">
        <v>40</v>
      </c>
      <c r="M340" s="11" t="s">
        <v>794</v>
      </c>
      <c r="N340" s="11"/>
      <c r="O340" s="11"/>
      <c r="P340" s="11"/>
      <c r="Q340" s="11"/>
    </row>
    <row r="341" ht="15.75" hidden="1" customHeight="1">
      <c r="A341" s="8">
        <v>45987.0</v>
      </c>
      <c r="B341" s="9">
        <f>68+4</f>
        <v>72</v>
      </c>
      <c r="C341" s="9">
        <f>63.42+4.55</f>
        <v>67.97</v>
      </c>
      <c r="D341" s="10" t="s">
        <v>25</v>
      </c>
      <c r="E341" s="10" t="s">
        <v>26</v>
      </c>
      <c r="F341" s="10" t="s">
        <v>26</v>
      </c>
      <c r="G341" s="10" t="s">
        <v>26</v>
      </c>
      <c r="H341" s="10" t="s">
        <v>25</v>
      </c>
      <c r="I341" s="10" t="s">
        <v>27</v>
      </c>
      <c r="J341" s="10" t="s">
        <v>25</v>
      </c>
      <c r="K341" s="23" t="s">
        <v>795</v>
      </c>
      <c r="L341" s="5" t="s">
        <v>40</v>
      </c>
      <c r="M341" s="11" t="s">
        <v>796</v>
      </c>
      <c r="N341" s="11"/>
      <c r="O341" s="11"/>
      <c r="P341" s="11"/>
      <c r="Q341" s="11"/>
    </row>
    <row r="342" ht="15.75" hidden="1" customHeight="1">
      <c r="A342" s="8">
        <v>45988.0</v>
      </c>
      <c r="B342" s="9">
        <f>72+4</f>
        <v>76</v>
      </c>
      <c r="C342" s="9">
        <v>73.49</v>
      </c>
      <c r="D342" s="10" t="s">
        <v>25</v>
      </c>
      <c r="E342" s="10" t="s">
        <v>26</v>
      </c>
      <c r="F342" s="10" t="s">
        <v>26</v>
      </c>
      <c r="G342" s="10" t="s">
        <v>26</v>
      </c>
      <c r="H342" s="10" t="s">
        <v>25</v>
      </c>
      <c r="I342" s="10" t="s">
        <v>27</v>
      </c>
      <c r="J342" s="10" t="s">
        <v>25</v>
      </c>
      <c r="K342" s="23" t="s">
        <v>797</v>
      </c>
      <c r="L342" s="5"/>
      <c r="M342" s="11" t="s">
        <v>786</v>
      </c>
      <c r="N342" s="11"/>
      <c r="O342" s="11"/>
      <c r="P342" s="11"/>
      <c r="Q342" s="11"/>
    </row>
    <row r="343" ht="15.75" hidden="1" customHeight="1">
      <c r="A343" s="8">
        <v>45989.0</v>
      </c>
      <c r="B343" s="9">
        <f>76+4</f>
        <v>80</v>
      </c>
      <c r="C343" s="9">
        <v>73.65</v>
      </c>
      <c r="D343" s="10" t="s">
        <v>25</v>
      </c>
      <c r="E343" s="10" t="s">
        <v>26</v>
      </c>
      <c r="F343" s="10" t="s">
        <v>26</v>
      </c>
      <c r="G343" s="10" t="s">
        <v>26</v>
      </c>
      <c r="H343" s="10" t="s">
        <v>25</v>
      </c>
      <c r="I343" s="10" t="s">
        <v>27</v>
      </c>
      <c r="J343" s="10" t="s">
        <v>25</v>
      </c>
      <c r="K343" s="23" t="s">
        <v>798</v>
      </c>
      <c r="L343" s="5"/>
      <c r="M343" s="11" t="s">
        <v>799</v>
      </c>
      <c r="N343" s="11"/>
      <c r="O343" s="11"/>
      <c r="P343" s="11"/>
      <c r="Q343" s="11"/>
    </row>
    <row r="344" ht="15.75" hidden="1" customHeight="1">
      <c r="A344" s="8">
        <v>45992.0</v>
      </c>
      <c r="B344" s="9">
        <v>4.0</v>
      </c>
      <c r="C344" s="9"/>
      <c r="D344" s="10"/>
      <c r="E344" s="10"/>
      <c r="F344" s="10" t="s">
        <v>26</v>
      </c>
      <c r="G344" s="10" t="s">
        <v>26</v>
      </c>
      <c r="H344" s="10" t="s">
        <v>25</v>
      </c>
      <c r="I344" s="10" t="s">
        <v>27</v>
      </c>
      <c r="J344" s="10" t="s">
        <v>25</v>
      </c>
      <c r="K344" s="23" t="s">
        <v>800</v>
      </c>
      <c r="L344" s="5"/>
      <c r="M344" s="11" t="s">
        <v>801</v>
      </c>
      <c r="N344" s="11"/>
      <c r="O344" s="11"/>
      <c r="P344" s="11"/>
      <c r="Q344" s="11"/>
    </row>
    <row r="345" ht="15.75" hidden="1" customHeight="1">
      <c r="A345" s="8">
        <v>45993.0</v>
      </c>
      <c r="B345" s="9">
        <f>4+4</f>
        <v>8</v>
      </c>
      <c r="C345" s="9">
        <f>0.45</f>
        <v>0.45</v>
      </c>
      <c r="D345" s="10"/>
      <c r="E345" s="10" t="s">
        <v>26</v>
      </c>
      <c r="F345" s="10" t="s">
        <v>26</v>
      </c>
      <c r="G345" s="10" t="s">
        <v>26</v>
      </c>
      <c r="H345" s="10" t="s">
        <v>25</v>
      </c>
      <c r="I345" s="10"/>
      <c r="J345" s="10" t="s">
        <v>25</v>
      </c>
      <c r="K345" s="23" t="s">
        <v>802</v>
      </c>
      <c r="L345" s="5"/>
      <c r="M345" s="11" t="s">
        <v>803</v>
      </c>
      <c r="N345" s="11"/>
      <c r="O345" s="11" t="s">
        <v>804</v>
      </c>
      <c r="P345" s="11"/>
      <c r="Q345" s="11"/>
    </row>
    <row r="346" ht="15.75" hidden="1" customHeight="1">
      <c r="A346" s="8">
        <v>45994.0</v>
      </c>
      <c r="B346" s="9">
        <f>8+4</f>
        <v>12</v>
      </c>
      <c r="C346" s="9">
        <f>0.45+4.2</f>
        <v>4.65</v>
      </c>
      <c r="D346" s="10"/>
      <c r="E346" s="10" t="s">
        <v>26</v>
      </c>
      <c r="F346" s="10"/>
      <c r="G346" s="10" t="s">
        <v>26</v>
      </c>
      <c r="H346" s="10" t="s">
        <v>25</v>
      </c>
      <c r="I346" s="10"/>
      <c r="J346" s="10" t="s">
        <v>25</v>
      </c>
      <c r="K346" s="23" t="s">
        <v>805</v>
      </c>
      <c r="L346" s="5"/>
      <c r="M346" s="11" t="s">
        <v>806</v>
      </c>
      <c r="N346" s="11"/>
      <c r="O346" s="11" t="s">
        <v>807</v>
      </c>
      <c r="P346" s="11"/>
      <c r="Q346" s="11"/>
    </row>
    <row r="347" ht="15.75" hidden="1" customHeight="1">
      <c r="A347" s="8">
        <v>45995.0</v>
      </c>
      <c r="B347" s="9">
        <f>12+4</f>
        <v>16</v>
      </c>
      <c r="C347" s="9">
        <f>4.65+3.05</f>
        <v>7.7</v>
      </c>
      <c r="D347" s="10"/>
      <c r="E347" s="10" t="s">
        <v>26</v>
      </c>
      <c r="F347" s="10" t="s">
        <v>26</v>
      </c>
      <c r="G347" s="10" t="s">
        <v>26</v>
      </c>
      <c r="H347" s="10" t="s">
        <v>25</v>
      </c>
      <c r="I347" s="10"/>
      <c r="J347" s="10" t="s">
        <v>25</v>
      </c>
      <c r="K347" s="23" t="s">
        <v>808</v>
      </c>
      <c r="L347" s="5"/>
      <c r="M347" s="11" t="s">
        <v>809</v>
      </c>
      <c r="N347" s="11"/>
      <c r="O347" s="11"/>
      <c r="P347" s="11"/>
      <c r="Q347" s="11"/>
    </row>
    <row r="348" ht="15.75" hidden="1" customHeight="1">
      <c r="A348" s="8">
        <v>45996.0</v>
      </c>
      <c r="B348" s="9">
        <f>16+4</f>
        <v>20</v>
      </c>
      <c r="C348" s="9">
        <f>7.7+1</f>
        <v>8.7</v>
      </c>
      <c r="D348" s="10"/>
      <c r="E348" s="10" t="s">
        <v>26</v>
      </c>
      <c r="F348" s="10" t="s">
        <v>26</v>
      </c>
      <c r="G348" s="10" t="s">
        <v>26</v>
      </c>
      <c r="H348" s="10" t="s">
        <v>25</v>
      </c>
      <c r="I348" s="10"/>
      <c r="J348" s="10" t="s">
        <v>25</v>
      </c>
      <c r="K348" s="23" t="s">
        <v>810</v>
      </c>
      <c r="L348" s="5"/>
      <c r="M348" s="11" t="s">
        <v>811</v>
      </c>
      <c r="N348" s="11"/>
      <c r="O348" s="11"/>
      <c r="P348" s="11"/>
      <c r="Q348" s="11"/>
    </row>
    <row r="349" ht="15.75" hidden="1" customHeight="1">
      <c r="A349" s="8">
        <v>45997.0</v>
      </c>
      <c r="B349" s="9">
        <v>20.0</v>
      </c>
      <c r="C349" s="9">
        <f>8.7+2.44</f>
        <v>11.14</v>
      </c>
      <c r="D349" s="10"/>
      <c r="E349" s="10" t="s">
        <v>26</v>
      </c>
      <c r="F349" s="10" t="s">
        <v>26</v>
      </c>
      <c r="G349" s="10" t="s">
        <v>26</v>
      </c>
      <c r="H349" s="10" t="s">
        <v>25</v>
      </c>
      <c r="I349" s="10"/>
      <c r="J349" s="10" t="s">
        <v>25</v>
      </c>
      <c r="K349" s="23" t="s">
        <v>812</v>
      </c>
      <c r="L349" s="5"/>
      <c r="M349" s="11" t="s">
        <v>813</v>
      </c>
      <c r="N349" s="11"/>
      <c r="O349" s="11"/>
      <c r="P349" s="11"/>
      <c r="Q349" s="11"/>
    </row>
    <row r="350" ht="15.75" hidden="1" customHeight="1">
      <c r="A350" s="8">
        <v>45999.0</v>
      </c>
      <c r="B350" s="9">
        <f>20+4</f>
        <v>24</v>
      </c>
      <c r="C350" s="9">
        <f>12.14+5.73</f>
        <v>17.87</v>
      </c>
      <c r="D350" s="10"/>
      <c r="E350" s="10" t="s">
        <v>26</v>
      </c>
      <c r="F350" s="10" t="s">
        <v>26</v>
      </c>
      <c r="G350" s="10" t="s">
        <v>26</v>
      </c>
      <c r="H350" s="10" t="s">
        <v>25</v>
      </c>
      <c r="I350" s="10"/>
      <c r="J350" s="10" t="s">
        <v>25</v>
      </c>
      <c r="K350" s="23" t="s">
        <v>814</v>
      </c>
      <c r="L350" s="5"/>
      <c r="M350" s="11" t="s">
        <v>815</v>
      </c>
      <c r="N350" s="11"/>
      <c r="O350" s="11"/>
      <c r="P350" s="11"/>
      <c r="Q350" s="11"/>
    </row>
    <row r="351" ht="15.75" hidden="1" customHeight="1">
      <c r="A351" s="8">
        <v>46000.0</v>
      </c>
      <c r="B351" s="9">
        <f>24+4</f>
        <v>28</v>
      </c>
      <c r="C351" s="9">
        <v>23.81</v>
      </c>
      <c r="D351" s="10"/>
      <c r="E351" s="10" t="s">
        <v>26</v>
      </c>
      <c r="F351" s="10" t="s">
        <v>26</v>
      </c>
      <c r="G351" s="10" t="s">
        <v>26</v>
      </c>
      <c r="H351" s="10" t="s">
        <v>25</v>
      </c>
      <c r="I351" s="10"/>
      <c r="J351" s="10" t="s">
        <v>25</v>
      </c>
      <c r="K351" s="23" t="s">
        <v>816</v>
      </c>
      <c r="L351" s="5"/>
      <c r="M351" s="11" t="s">
        <v>817</v>
      </c>
      <c r="N351" s="11"/>
      <c r="O351" s="11"/>
      <c r="P351" s="11"/>
      <c r="Q351" s="11"/>
    </row>
    <row r="352" ht="15.75" hidden="1" customHeight="1">
      <c r="A352" s="8">
        <v>46001.0</v>
      </c>
      <c r="B352" s="9">
        <f>B351+4</f>
        <v>32</v>
      </c>
      <c r="C352" s="9">
        <v>31.13</v>
      </c>
      <c r="D352" s="10" t="s">
        <v>26</v>
      </c>
      <c r="E352" s="10" t="s">
        <v>26</v>
      </c>
      <c r="F352" s="10" t="s">
        <v>26</v>
      </c>
      <c r="G352" s="10" t="s">
        <v>26</v>
      </c>
      <c r="H352" s="10" t="s">
        <v>155</v>
      </c>
      <c r="I352" s="10"/>
      <c r="J352" s="10" t="s">
        <v>25</v>
      </c>
      <c r="K352" s="23" t="s">
        <v>818</v>
      </c>
      <c r="L352" s="5"/>
      <c r="M352" s="11" t="s">
        <v>819</v>
      </c>
      <c r="N352" s="11"/>
      <c r="O352" s="11"/>
      <c r="P352" s="11"/>
      <c r="Q352" s="11"/>
    </row>
    <row r="353" ht="15.75" hidden="1" customHeight="1">
      <c r="A353" s="8">
        <v>46002.0</v>
      </c>
      <c r="B353" s="9">
        <f>32+4</f>
        <v>36</v>
      </c>
      <c r="C353" s="9">
        <f>31.13+3.64</f>
        <v>34.77</v>
      </c>
      <c r="D353" s="10" t="s">
        <v>26</v>
      </c>
      <c r="E353" s="10" t="s">
        <v>26</v>
      </c>
      <c r="F353" s="10" t="s">
        <v>26</v>
      </c>
      <c r="G353" s="10" t="s">
        <v>26</v>
      </c>
      <c r="H353" s="10" t="s">
        <v>25</v>
      </c>
      <c r="I353" s="10"/>
      <c r="J353" s="10" t="s">
        <v>25</v>
      </c>
      <c r="K353" s="23" t="s">
        <v>820</v>
      </c>
      <c r="L353" s="5"/>
      <c r="M353" s="11" t="s">
        <v>821</v>
      </c>
      <c r="N353" s="11"/>
      <c r="O353" s="11"/>
      <c r="P353" s="11"/>
      <c r="Q353" s="11"/>
    </row>
    <row r="354" ht="15.75" hidden="1" customHeight="1">
      <c r="A354" s="8">
        <v>46003.0</v>
      </c>
      <c r="B354" s="9">
        <f>36+4</f>
        <v>40</v>
      </c>
      <c r="C354" s="9">
        <f>41.76</f>
        <v>41.76</v>
      </c>
      <c r="D354" s="10" t="s">
        <v>26</v>
      </c>
      <c r="E354" s="10" t="s">
        <v>26</v>
      </c>
      <c r="F354" s="10" t="s">
        <v>26</v>
      </c>
      <c r="G354" s="10" t="s">
        <v>26</v>
      </c>
      <c r="H354" s="10" t="s">
        <v>25</v>
      </c>
      <c r="I354" s="10"/>
      <c r="J354" s="10" t="s">
        <v>25</v>
      </c>
      <c r="K354" s="23" t="s">
        <v>822</v>
      </c>
      <c r="L354" s="5"/>
      <c r="M354" s="11" t="s">
        <v>823</v>
      </c>
      <c r="N354" s="11"/>
      <c r="O354" s="11"/>
      <c r="P354" s="11"/>
      <c r="Q354" s="11"/>
    </row>
    <row r="355" ht="15.75" hidden="1" customHeight="1">
      <c r="A355" s="8">
        <v>46006.0</v>
      </c>
      <c r="B355" s="9">
        <f>40+4</f>
        <v>44</v>
      </c>
      <c r="C355" s="9">
        <f>41.76+3</f>
        <v>44.76</v>
      </c>
      <c r="D355" s="10" t="s">
        <v>26</v>
      </c>
      <c r="E355" s="10" t="s">
        <v>26</v>
      </c>
      <c r="F355" s="10" t="s">
        <v>26</v>
      </c>
      <c r="G355" s="10" t="s">
        <v>26</v>
      </c>
      <c r="H355" s="10" t="s">
        <v>25</v>
      </c>
      <c r="I355" s="10"/>
      <c r="J355" s="10" t="s">
        <v>25</v>
      </c>
      <c r="K355" s="23" t="s">
        <v>824</v>
      </c>
      <c r="L355" s="5"/>
      <c r="M355" s="11" t="s">
        <v>825</v>
      </c>
      <c r="N355" s="11"/>
      <c r="O355" s="11"/>
      <c r="P355" s="11"/>
      <c r="Q355" s="11"/>
    </row>
    <row r="356" ht="15.75" hidden="1" customHeight="1">
      <c r="A356" s="8">
        <v>46007.0</v>
      </c>
      <c r="B356" s="9">
        <f>44+4</f>
        <v>48</v>
      </c>
      <c r="C356" s="9">
        <v>50.07</v>
      </c>
      <c r="D356" s="10" t="s">
        <v>26</v>
      </c>
      <c r="E356" s="10" t="s">
        <v>26</v>
      </c>
      <c r="F356" s="10" t="s">
        <v>26</v>
      </c>
      <c r="G356" s="10" t="s">
        <v>26</v>
      </c>
      <c r="H356" s="10" t="s">
        <v>25</v>
      </c>
      <c r="I356" s="10"/>
      <c r="J356" s="10" t="s">
        <v>25</v>
      </c>
      <c r="K356" s="23" t="s">
        <v>826</v>
      </c>
      <c r="L356" s="5"/>
      <c r="M356" s="11" t="s">
        <v>827</v>
      </c>
      <c r="N356" s="11"/>
      <c r="O356" s="11"/>
      <c r="P356" s="11"/>
      <c r="Q356" s="11"/>
    </row>
    <row r="357" ht="15.75" hidden="1" customHeight="1">
      <c r="A357" s="8">
        <v>46008.0</v>
      </c>
      <c r="B357" s="9">
        <f>48+4</f>
        <v>52</v>
      </c>
      <c r="C357" s="9">
        <f>50.07+5.25</f>
        <v>55.32</v>
      </c>
      <c r="D357" s="10" t="s">
        <v>26</v>
      </c>
      <c r="E357" s="10" t="s">
        <v>26</v>
      </c>
      <c r="F357" s="10" t="s">
        <v>26</v>
      </c>
      <c r="G357" s="10" t="s">
        <v>26</v>
      </c>
      <c r="H357" s="10" t="s">
        <v>25</v>
      </c>
      <c r="I357" s="10"/>
      <c r="J357" s="10" t="s">
        <v>25</v>
      </c>
      <c r="K357" s="23" t="s">
        <v>828</v>
      </c>
      <c r="L357" s="5"/>
      <c r="M357" s="11" t="s">
        <v>829</v>
      </c>
      <c r="N357" s="11"/>
      <c r="O357" s="11"/>
      <c r="P357" s="11"/>
      <c r="Q357" s="11"/>
    </row>
    <row r="358" ht="15.75" hidden="1" customHeight="1">
      <c r="A358" s="8">
        <v>46009.0</v>
      </c>
      <c r="B358" s="9">
        <f>52+4</f>
        <v>56</v>
      </c>
      <c r="C358" s="9">
        <v>63.14</v>
      </c>
      <c r="D358" s="10" t="s">
        <v>26</v>
      </c>
      <c r="E358" s="10" t="s">
        <v>26</v>
      </c>
      <c r="F358" s="10" t="s">
        <v>26</v>
      </c>
      <c r="G358" s="10" t="s">
        <v>26</v>
      </c>
      <c r="H358" s="10" t="s">
        <v>25</v>
      </c>
      <c r="I358" s="10"/>
      <c r="J358" s="10" t="s">
        <v>25</v>
      </c>
      <c r="K358" s="23" t="s">
        <v>830</v>
      </c>
      <c r="L358" s="5"/>
      <c r="M358" s="11" t="s">
        <v>831</v>
      </c>
      <c r="N358" s="11"/>
      <c r="O358" s="11"/>
      <c r="P358" s="11"/>
      <c r="Q358" s="11"/>
    </row>
    <row r="359" ht="15.75" hidden="1" customHeight="1">
      <c r="A359" s="8">
        <v>46010.0</v>
      </c>
      <c r="B359" s="9">
        <f>B358+4</f>
        <v>60</v>
      </c>
      <c r="C359" s="9">
        <v>63.14</v>
      </c>
      <c r="D359" s="10" t="s">
        <v>25</v>
      </c>
      <c r="E359" s="10" t="s">
        <v>26</v>
      </c>
      <c r="F359" s="10" t="s">
        <v>26</v>
      </c>
      <c r="G359" s="10" t="s">
        <v>26</v>
      </c>
      <c r="H359" s="10" t="s">
        <v>25</v>
      </c>
      <c r="I359" s="10"/>
      <c r="J359" s="10" t="s">
        <v>25</v>
      </c>
      <c r="K359" s="23" t="s">
        <v>832</v>
      </c>
      <c r="L359" s="5"/>
      <c r="M359" s="11" t="s">
        <v>833</v>
      </c>
      <c r="N359" s="11"/>
      <c r="O359" s="11"/>
      <c r="P359" s="11"/>
      <c r="Q359" s="11"/>
    </row>
    <row r="360" ht="15.75" hidden="1" customHeight="1">
      <c r="A360" s="8">
        <v>46013.0</v>
      </c>
      <c r="B360" s="9">
        <f>60+4</f>
        <v>64</v>
      </c>
      <c r="C360" s="9">
        <f>63.39</f>
        <v>63.39</v>
      </c>
      <c r="D360" s="10"/>
      <c r="E360" s="10"/>
      <c r="F360" s="10"/>
      <c r="G360" s="10"/>
      <c r="H360" s="10"/>
      <c r="I360" s="10"/>
      <c r="J360" s="10"/>
      <c r="K360" s="11"/>
      <c r="L360" s="5"/>
      <c r="M360" s="11"/>
      <c r="N360" s="11"/>
      <c r="O360" s="11" t="s">
        <v>834</v>
      </c>
      <c r="P360" s="11"/>
      <c r="Q360" s="11"/>
    </row>
    <row r="361" ht="15.75" hidden="1" customHeight="1">
      <c r="A361" s="8">
        <v>46014.0</v>
      </c>
      <c r="B361" s="9">
        <f>64+4</f>
        <v>68</v>
      </c>
      <c r="C361" s="9">
        <v>67.87</v>
      </c>
      <c r="D361" s="10" t="s">
        <v>26</v>
      </c>
      <c r="E361" s="10" t="s">
        <v>26</v>
      </c>
      <c r="F361" s="10" t="s">
        <v>26</v>
      </c>
      <c r="G361" s="10" t="s">
        <v>26</v>
      </c>
      <c r="H361" s="10" t="s">
        <v>25</v>
      </c>
      <c r="I361" s="10"/>
      <c r="J361" s="10" t="s">
        <v>25</v>
      </c>
      <c r="K361" s="23" t="s">
        <v>835</v>
      </c>
      <c r="L361" s="5"/>
      <c r="M361" s="11" t="s">
        <v>836</v>
      </c>
      <c r="N361" s="11"/>
      <c r="O361" s="11"/>
      <c r="P361" s="11"/>
      <c r="Q361" s="11"/>
    </row>
    <row r="362" ht="15.75" hidden="1" customHeight="1">
      <c r="A362" s="8">
        <v>46015.0</v>
      </c>
      <c r="B362" s="9">
        <f>68+4</f>
        <v>72</v>
      </c>
      <c r="C362" s="9">
        <f>70.69</f>
        <v>70.69</v>
      </c>
      <c r="D362" s="10" t="s">
        <v>26</v>
      </c>
      <c r="E362" s="10" t="s">
        <v>26</v>
      </c>
      <c r="F362" s="10" t="s">
        <v>26</v>
      </c>
      <c r="G362" s="10" t="s">
        <v>26</v>
      </c>
      <c r="H362" s="10" t="s">
        <v>25</v>
      </c>
      <c r="I362" s="10"/>
      <c r="J362" s="10" t="s">
        <v>25</v>
      </c>
      <c r="K362" s="23" t="s">
        <v>837</v>
      </c>
      <c r="L362" s="5"/>
      <c r="M362" s="11" t="s">
        <v>838</v>
      </c>
      <c r="N362" s="11"/>
      <c r="O362" s="11"/>
      <c r="P362" s="11"/>
      <c r="Q362" s="11"/>
    </row>
    <row r="363" ht="15.75" hidden="1" customHeight="1">
      <c r="A363" s="8">
        <v>46017.0</v>
      </c>
      <c r="B363" s="9">
        <f>72+4</f>
        <v>76</v>
      </c>
      <c r="C363" s="9">
        <f>70.69+4.5</f>
        <v>75.19</v>
      </c>
      <c r="D363" s="10" t="s">
        <v>26</v>
      </c>
      <c r="E363" s="10" t="s">
        <v>26</v>
      </c>
      <c r="F363" s="10" t="s">
        <v>26</v>
      </c>
      <c r="G363" s="10" t="s">
        <v>26</v>
      </c>
      <c r="H363" s="10" t="s">
        <v>25</v>
      </c>
      <c r="I363" s="10"/>
      <c r="J363" s="10" t="s">
        <v>25</v>
      </c>
      <c r="K363" s="23" t="s">
        <v>839</v>
      </c>
      <c r="L363" s="5"/>
      <c r="M363" s="11" t="s">
        <v>840</v>
      </c>
      <c r="N363" s="11"/>
      <c r="O363" s="11"/>
      <c r="P363" s="11"/>
      <c r="Q363" s="11"/>
    </row>
    <row r="364" ht="15.75" hidden="1" customHeight="1">
      <c r="A364" s="8">
        <v>46020.0</v>
      </c>
      <c r="B364" s="9">
        <f>76+4</f>
        <v>80</v>
      </c>
      <c r="C364" s="9">
        <f>75.19+3.57</f>
        <v>78.76</v>
      </c>
      <c r="D364" s="10" t="s">
        <v>26</v>
      </c>
      <c r="E364" s="10" t="s">
        <v>26</v>
      </c>
      <c r="F364" s="10" t="s">
        <v>26</v>
      </c>
      <c r="G364" s="10" t="s">
        <v>26</v>
      </c>
      <c r="H364" s="10" t="s">
        <v>25</v>
      </c>
      <c r="I364" s="10"/>
      <c r="J364" s="10" t="s">
        <v>25</v>
      </c>
      <c r="K364" s="23" t="s">
        <v>841</v>
      </c>
      <c r="L364" s="5"/>
      <c r="M364" s="11" t="s">
        <v>842</v>
      </c>
      <c r="N364" s="11"/>
      <c r="O364" s="11"/>
      <c r="P364" s="11"/>
      <c r="Q364" s="11"/>
    </row>
    <row r="365" ht="15.75" hidden="1" customHeight="1">
      <c r="A365" s="8">
        <v>46021.0</v>
      </c>
      <c r="B365" s="9">
        <v>80.0</v>
      </c>
      <c r="C365" s="9">
        <v>83.72</v>
      </c>
      <c r="D365" s="10" t="s">
        <v>26</v>
      </c>
      <c r="E365" s="10" t="s">
        <v>26</v>
      </c>
      <c r="F365" s="10" t="s">
        <v>26</v>
      </c>
      <c r="G365" s="10" t="s">
        <v>26</v>
      </c>
      <c r="H365" s="10" t="s">
        <v>25</v>
      </c>
      <c r="I365" s="10"/>
      <c r="J365" s="10" t="s">
        <v>25</v>
      </c>
      <c r="K365" s="11" t="s">
        <v>843</v>
      </c>
      <c r="L365" s="5"/>
      <c r="M365" s="11" t="s">
        <v>844</v>
      </c>
      <c r="N365" s="11"/>
      <c r="O365" s="11"/>
      <c r="P365" s="11"/>
      <c r="Q365" s="11"/>
    </row>
    <row r="366" ht="15.75" hidden="1" customHeight="1">
      <c r="A366" s="8">
        <v>46022.0</v>
      </c>
      <c r="B366" s="9">
        <v>80.0</v>
      </c>
      <c r="C366" s="9">
        <f>83.72+2.77</f>
        <v>86.49</v>
      </c>
      <c r="D366" s="10" t="s">
        <v>26</v>
      </c>
      <c r="E366" s="10" t="s">
        <v>26</v>
      </c>
      <c r="F366" s="10" t="s">
        <v>26</v>
      </c>
      <c r="G366" s="10" t="s">
        <v>26</v>
      </c>
      <c r="H366" s="10" t="s">
        <v>25</v>
      </c>
      <c r="I366" s="10"/>
      <c r="J366" s="10" t="s">
        <v>25</v>
      </c>
      <c r="K366" s="23" t="s">
        <v>845</v>
      </c>
      <c r="L366" s="5"/>
      <c r="M366" s="11" t="s">
        <v>846</v>
      </c>
      <c r="N366" s="11"/>
      <c r="O366" s="11"/>
      <c r="P366" s="11"/>
      <c r="Q366" s="11"/>
    </row>
    <row r="367" ht="15.75" hidden="1" customHeight="1">
      <c r="A367" s="8">
        <v>46024.0</v>
      </c>
      <c r="B367" s="9">
        <v>4.0</v>
      </c>
      <c r="C367" s="9">
        <v>4.0</v>
      </c>
      <c r="D367" s="10" t="s">
        <v>26</v>
      </c>
      <c r="E367" s="10" t="s">
        <v>26</v>
      </c>
      <c r="F367" s="10" t="s">
        <v>26</v>
      </c>
      <c r="G367" s="10" t="s">
        <v>26</v>
      </c>
      <c r="H367" s="10" t="s">
        <v>25</v>
      </c>
      <c r="I367" s="10"/>
      <c r="J367" s="10" t="s">
        <v>25</v>
      </c>
      <c r="K367" s="23" t="s">
        <v>847</v>
      </c>
      <c r="L367" s="5"/>
      <c r="M367" s="11" t="s">
        <v>848</v>
      </c>
      <c r="N367" s="11"/>
      <c r="O367" s="11"/>
      <c r="P367" s="11"/>
      <c r="Q367" s="11"/>
    </row>
    <row r="368" ht="15.75" hidden="1" customHeight="1">
      <c r="A368" s="8">
        <v>46027.0</v>
      </c>
      <c r="B368" s="9">
        <f>4+4</f>
        <v>8</v>
      </c>
      <c r="C368" s="9">
        <f>4+6.39</f>
        <v>10.39</v>
      </c>
      <c r="D368" s="10" t="s">
        <v>849</v>
      </c>
      <c r="E368" s="10" t="s">
        <v>26</v>
      </c>
      <c r="F368" s="10" t="s">
        <v>26</v>
      </c>
      <c r="G368" s="10" t="s">
        <v>849</v>
      </c>
      <c r="H368" s="10" t="s">
        <v>25</v>
      </c>
      <c r="I368" s="10"/>
      <c r="J368" s="10" t="s">
        <v>25</v>
      </c>
      <c r="K368" s="23" t="s">
        <v>850</v>
      </c>
      <c r="L368" s="5"/>
      <c r="M368" s="11" t="s">
        <v>851</v>
      </c>
      <c r="N368" s="11"/>
      <c r="O368" s="11"/>
      <c r="P368" s="11"/>
      <c r="Q368" s="11"/>
    </row>
    <row r="369" ht="15.75" hidden="1" customHeight="1">
      <c r="A369" s="8">
        <v>46028.0</v>
      </c>
      <c r="B369" s="9">
        <f>8+4</f>
        <v>12</v>
      </c>
      <c r="C369" s="9">
        <f>13.87</f>
        <v>13.87</v>
      </c>
      <c r="D369" s="10" t="s">
        <v>849</v>
      </c>
      <c r="E369" s="10" t="s">
        <v>26</v>
      </c>
      <c r="F369" s="10" t="s">
        <v>26</v>
      </c>
      <c r="G369" s="10" t="s">
        <v>26</v>
      </c>
      <c r="H369" s="10" t="s">
        <v>25</v>
      </c>
      <c r="I369" s="10"/>
      <c r="J369" s="10" t="s">
        <v>25</v>
      </c>
      <c r="K369" s="23" t="s">
        <v>852</v>
      </c>
      <c r="L369" s="5"/>
      <c r="M369" s="11" t="s">
        <v>853</v>
      </c>
      <c r="N369" s="11"/>
      <c r="O369" s="11"/>
      <c r="P369" s="11"/>
      <c r="Q369" s="11"/>
    </row>
    <row r="370" ht="15.75" hidden="1" customHeight="1">
      <c r="A370" s="8">
        <v>46029.0</v>
      </c>
      <c r="B370" s="9">
        <f>12+4</f>
        <v>16</v>
      </c>
      <c r="C370" s="9">
        <f>13.87+3.16</f>
        <v>17.03</v>
      </c>
      <c r="D370" s="10" t="s">
        <v>849</v>
      </c>
      <c r="E370" s="10" t="s">
        <v>26</v>
      </c>
      <c r="F370" s="10" t="s">
        <v>26</v>
      </c>
      <c r="G370" s="10" t="s">
        <v>26</v>
      </c>
      <c r="H370" s="10" t="s">
        <v>25</v>
      </c>
      <c r="I370" s="10"/>
      <c r="J370" s="10" t="s">
        <v>25</v>
      </c>
      <c r="K370" s="23" t="s">
        <v>854</v>
      </c>
      <c r="L370" s="5"/>
      <c r="M370" s="11" t="s">
        <v>855</v>
      </c>
      <c r="N370" s="11"/>
      <c r="O370" s="11"/>
      <c r="P370" s="11"/>
      <c r="Q370" s="11"/>
    </row>
    <row r="371" ht="15.75" hidden="1" customHeight="1">
      <c r="A371" s="8">
        <v>46030.0</v>
      </c>
      <c r="B371" s="9">
        <f>16+4</f>
        <v>20</v>
      </c>
      <c r="C371" s="9">
        <f>17.03+3.15</f>
        <v>20.18</v>
      </c>
      <c r="D371" s="10" t="s">
        <v>849</v>
      </c>
      <c r="E371" s="10" t="s">
        <v>26</v>
      </c>
      <c r="F371" s="10" t="s">
        <v>26</v>
      </c>
      <c r="G371" s="10" t="s">
        <v>26</v>
      </c>
      <c r="H371" s="10" t="s">
        <v>25</v>
      </c>
      <c r="I371" s="10"/>
      <c r="J371" s="10" t="s">
        <v>25</v>
      </c>
      <c r="K371" s="23" t="s">
        <v>856</v>
      </c>
      <c r="L371" s="5"/>
      <c r="M371" s="11" t="s">
        <v>857</v>
      </c>
      <c r="N371" s="11"/>
      <c r="O371" s="11"/>
      <c r="P371" s="11"/>
      <c r="Q371" s="11"/>
    </row>
    <row r="372" ht="15.75" hidden="1" customHeight="1">
      <c r="A372" s="8">
        <v>46031.0</v>
      </c>
      <c r="B372" s="9">
        <f>20+4</f>
        <v>24</v>
      </c>
      <c r="C372" s="9">
        <f>20.18+4.32</f>
        <v>24.5</v>
      </c>
      <c r="D372" s="10" t="s">
        <v>849</v>
      </c>
      <c r="E372" s="10" t="s">
        <v>26</v>
      </c>
      <c r="F372" s="10" t="s">
        <v>26</v>
      </c>
      <c r="G372" s="10" t="s">
        <v>26</v>
      </c>
      <c r="H372" s="10" t="s">
        <v>25</v>
      </c>
      <c r="I372" s="10"/>
      <c r="J372" s="10" t="s">
        <v>25</v>
      </c>
      <c r="K372" s="23" t="s">
        <v>858</v>
      </c>
      <c r="L372" s="5"/>
      <c r="M372" s="11" t="s">
        <v>859</v>
      </c>
      <c r="N372" s="11"/>
      <c r="O372" s="11"/>
      <c r="P372" s="11"/>
      <c r="Q372" s="11"/>
    </row>
    <row r="373" ht="15.75" hidden="1" customHeight="1">
      <c r="A373" s="8">
        <v>46032.0</v>
      </c>
      <c r="B373" s="9">
        <f>24+4</f>
        <v>28</v>
      </c>
      <c r="C373" s="9">
        <f>24.5+1.73</f>
        <v>26.23</v>
      </c>
      <c r="D373" s="10"/>
      <c r="E373" s="10"/>
      <c r="F373" s="10" t="s">
        <v>26</v>
      </c>
      <c r="G373" s="10" t="s">
        <v>26</v>
      </c>
      <c r="H373" s="10" t="s">
        <v>25</v>
      </c>
      <c r="I373" s="10"/>
      <c r="J373" s="10" t="s">
        <v>25</v>
      </c>
      <c r="K373" s="23" t="s">
        <v>860</v>
      </c>
      <c r="L373" s="5"/>
      <c r="M373" s="11" t="s">
        <v>861</v>
      </c>
      <c r="N373" s="11"/>
      <c r="O373" s="11"/>
      <c r="P373" s="11"/>
      <c r="Q373" s="11"/>
    </row>
    <row r="374" ht="15.75" hidden="1" customHeight="1">
      <c r="A374" s="8">
        <v>46034.0</v>
      </c>
      <c r="B374" s="9">
        <f>28+4</f>
        <v>32</v>
      </c>
      <c r="C374" s="9">
        <f>26.23+3.9</f>
        <v>30.13</v>
      </c>
      <c r="D374" s="10" t="s">
        <v>849</v>
      </c>
      <c r="E374" s="10" t="s">
        <v>26</v>
      </c>
      <c r="F374" s="10" t="s">
        <v>26</v>
      </c>
      <c r="G374" s="10" t="s">
        <v>26</v>
      </c>
      <c r="H374" s="10" t="s">
        <v>25</v>
      </c>
      <c r="I374" s="10"/>
      <c r="J374" s="10" t="s">
        <v>25</v>
      </c>
      <c r="K374" s="23" t="s">
        <v>862</v>
      </c>
      <c r="L374" s="5"/>
      <c r="M374" s="11" t="s">
        <v>863</v>
      </c>
      <c r="N374" s="11"/>
      <c r="O374" s="11"/>
      <c r="P374" s="11"/>
      <c r="Q374" s="11"/>
    </row>
    <row r="375" ht="15.75" hidden="1" customHeight="1">
      <c r="A375" s="8">
        <v>46035.0</v>
      </c>
      <c r="B375" s="9">
        <f>32+4</f>
        <v>36</v>
      </c>
      <c r="C375" s="9">
        <f>30.13+5.83</f>
        <v>35.96</v>
      </c>
      <c r="D375" s="10" t="s">
        <v>849</v>
      </c>
      <c r="E375" s="10" t="s">
        <v>26</v>
      </c>
      <c r="F375" s="10" t="s">
        <v>26</v>
      </c>
      <c r="G375" s="10" t="s">
        <v>26</v>
      </c>
      <c r="H375" s="10" t="s">
        <v>25</v>
      </c>
      <c r="I375" s="10"/>
      <c r="J375" s="10" t="s">
        <v>25</v>
      </c>
      <c r="K375" s="23" t="s">
        <v>864</v>
      </c>
      <c r="L375" s="5"/>
      <c r="M375" s="11" t="s">
        <v>865</v>
      </c>
      <c r="N375" s="11"/>
      <c r="O375" s="11"/>
      <c r="P375" s="11"/>
      <c r="Q375" s="11"/>
    </row>
    <row r="376" ht="15.75" hidden="1" customHeight="1">
      <c r="A376" s="8">
        <v>46036.0</v>
      </c>
      <c r="B376" s="9">
        <f>36+4</f>
        <v>40</v>
      </c>
      <c r="C376" s="9">
        <f>35.96+1.24</f>
        <v>37.2</v>
      </c>
      <c r="D376" s="10" t="s">
        <v>849</v>
      </c>
      <c r="E376" s="10" t="s">
        <v>26</v>
      </c>
      <c r="F376" s="10" t="s">
        <v>26</v>
      </c>
      <c r="G376" s="10" t="s">
        <v>26</v>
      </c>
      <c r="H376" s="10" t="s">
        <v>25</v>
      </c>
      <c r="I376" s="10"/>
      <c r="J376" s="10" t="s">
        <v>25</v>
      </c>
      <c r="K376" s="11" t="s">
        <v>866</v>
      </c>
      <c r="L376" s="5"/>
      <c r="M376" s="11" t="s">
        <v>867</v>
      </c>
      <c r="N376" s="11"/>
      <c r="O376" s="11"/>
      <c r="P376" s="11"/>
      <c r="Q376" s="11"/>
    </row>
    <row r="377" ht="15.75" hidden="1" customHeight="1">
      <c r="A377" s="8">
        <v>46038.0</v>
      </c>
      <c r="B377" s="9">
        <f>40+4</f>
        <v>44</v>
      </c>
      <c r="C377" s="9">
        <f>37.2+3.3</f>
        <v>40.5</v>
      </c>
      <c r="D377" s="10" t="s">
        <v>849</v>
      </c>
      <c r="E377" s="10" t="s">
        <v>26</v>
      </c>
      <c r="F377" s="10" t="s">
        <v>26</v>
      </c>
      <c r="G377" s="10" t="s">
        <v>26</v>
      </c>
      <c r="H377" s="10" t="s">
        <v>25</v>
      </c>
      <c r="I377" s="10"/>
      <c r="J377" s="10" t="s">
        <v>25</v>
      </c>
      <c r="K377" s="11" t="s">
        <v>866</v>
      </c>
      <c r="L377" s="5"/>
      <c r="M377" s="11" t="s">
        <v>868</v>
      </c>
      <c r="N377" s="11"/>
      <c r="O377" s="11"/>
      <c r="P377" s="11"/>
      <c r="Q377" s="11"/>
    </row>
    <row r="378" ht="15.75" hidden="1" customHeight="1">
      <c r="A378" s="8">
        <v>46039.0</v>
      </c>
      <c r="B378" s="9">
        <f>44+4</f>
        <v>48</v>
      </c>
      <c r="C378" s="9">
        <f>40.5+1.1</f>
        <v>41.6</v>
      </c>
      <c r="D378" s="10" t="s">
        <v>849</v>
      </c>
      <c r="E378" s="10" t="s">
        <v>26</v>
      </c>
      <c r="F378" s="10" t="s">
        <v>26</v>
      </c>
      <c r="G378" s="10" t="s">
        <v>26</v>
      </c>
      <c r="H378" s="10" t="s">
        <v>25</v>
      </c>
      <c r="I378" s="10"/>
      <c r="J378" s="10" t="s">
        <v>25</v>
      </c>
      <c r="K378" s="23" t="s">
        <v>869</v>
      </c>
      <c r="L378" s="5"/>
      <c r="M378" s="11" t="s">
        <v>870</v>
      </c>
      <c r="N378" s="11"/>
      <c r="O378" s="11"/>
      <c r="P378" s="11"/>
      <c r="Q378" s="11"/>
    </row>
    <row r="379" ht="15.75" hidden="1" customHeight="1">
      <c r="A379" s="8">
        <v>46041.0</v>
      </c>
      <c r="B379" s="9">
        <f>48+4</f>
        <v>52</v>
      </c>
      <c r="C379" s="9">
        <f>41.6+2.07</f>
        <v>43.67</v>
      </c>
      <c r="D379" s="10" t="s">
        <v>849</v>
      </c>
      <c r="E379" s="10" t="s">
        <v>26</v>
      </c>
      <c r="F379" s="10" t="s">
        <v>26</v>
      </c>
      <c r="G379" s="10" t="s">
        <v>849</v>
      </c>
      <c r="H379" s="10" t="s">
        <v>25</v>
      </c>
      <c r="I379" s="10"/>
      <c r="J379" s="10" t="s">
        <v>25</v>
      </c>
      <c r="K379" s="23" t="s">
        <v>871</v>
      </c>
      <c r="L379" s="5"/>
      <c r="M379" s="11" t="s">
        <v>872</v>
      </c>
      <c r="N379" s="11"/>
      <c r="O379" s="11"/>
      <c r="P379" s="11"/>
      <c r="Q379" s="11"/>
    </row>
    <row r="380" ht="15.75" hidden="1" customHeight="1">
      <c r="A380" s="8">
        <v>46042.0</v>
      </c>
      <c r="B380" s="9">
        <f>52+4</f>
        <v>56</v>
      </c>
      <c r="C380" s="9">
        <f>43.67+3.56</f>
        <v>47.23</v>
      </c>
      <c r="D380" s="10" t="s">
        <v>849</v>
      </c>
      <c r="E380" s="10" t="s">
        <v>26</v>
      </c>
      <c r="F380" s="10" t="s">
        <v>26</v>
      </c>
      <c r="G380" s="10" t="s">
        <v>26</v>
      </c>
      <c r="H380" s="10" t="s">
        <v>25</v>
      </c>
      <c r="I380" s="10"/>
      <c r="J380" s="10" t="s">
        <v>25</v>
      </c>
      <c r="K380" s="23" t="s">
        <v>873</v>
      </c>
      <c r="L380" s="5"/>
      <c r="M380" s="11" t="s">
        <v>874</v>
      </c>
      <c r="N380" s="11"/>
      <c r="O380" s="11"/>
      <c r="P380" s="11"/>
      <c r="Q380" s="11"/>
    </row>
    <row r="381" ht="15.75" hidden="1" customHeight="1">
      <c r="A381" s="8">
        <v>46043.0</v>
      </c>
      <c r="B381" s="9">
        <f>56+4</f>
        <v>60</v>
      </c>
      <c r="C381" s="9">
        <f>47.23+7.91</f>
        <v>55.14</v>
      </c>
      <c r="D381" s="10" t="s">
        <v>849</v>
      </c>
      <c r="E381" s="10" t="s">
        <v>26</v>
      </c>
      <c r="F381" s="10" t="s">
        <v>26</v>
      </c>
      <c r="G381" s="10" t="s">
        <v>26</v>
      </c>
      <c r="H381" s="10" t="s">
        <v>25</v>
      </c>
      <c r="I381" s="10"/>
      <c r="J381" s="10" t="s">
        <v>25</v>
      </c>
      <c r="K381" s="23" t="s">
        <v>875</v>
      </c>
      <c r="L381" s="5"/>
      <c r="M381" s="11" t="s">
        <v>876</v>
      </c>
      <c r="N381" s="11"/>
      <c r="O381" s="11"/>
      <c r="P381" s="11"/>
      <c r="Q381" s="11"/>
    </row>
    <row r="382" ht="15.75" hidden="1" customHeight="1">
      <c r="A382" s="8">
        <v>46044.0</v>
      </c>
      <c r="B382" s="9">
        <f>60+4</f>
        <v>64</v>
      </c>
      <c r="C382" s="9">
        <f>55.14+6</f>
        <v>61.14</v>
      </c>
      <c r="D382" s="10" t="s">
        <v>849</v>
      </c>
      <c r="E382" s="10" t="s">
        <v>26</v>
      </c>
      <c r="F382" s="10" t="s">
        <v>26</v>
      </c>
      <c r="G382" s="10" t="s">
        <v>849</v>
      </c>
      <c r="H382" s="10" t="s">
        <v>25</v>
      </c>
      <c r="I382" s="10"/>
      <c r="J382" s="10" t="s">
        <v>25</v>
      </c>
      <c r="K382" s="23" t="s">
        <v>877</v>
      </c>
      <c r="L382" s="5"/>
      <c r="M382" s="11" t="s">
        <v>878</v>
      </c>
      <c r="N382" s="11"/>
      <c r="O382" s="11"/>
      <c r="P382" s="11"/>
      <c r="Q382" s="11"/>
    </row>
    <row r="383" ht="15.75" hidden="1" customHeight="1">
      <c r="A383" s="8">
        <v>46045.0</v>
      </c>
      <c r="B383" s="9">
        <f>64+4</f>
        <v>68</v>
      </c>
      <c r="C383" s="9">
        <v>65.52</v>
      </c>
      <c r="D383" s="10" t="s">
        <v>849</v>
      </c>
      <c r="E383" s="10" t="s">
        <v>26</v>
      </c>
      <c r="F383" s="10" t="s">
        <v>26</v>
      </c>
      <c r="G383" s="10" t="s">
        <v>849</v>
      </c>
      <c r="H383" s="10" t="s">
        <v>25</v>
      </c>
      <c r="I383" s="10"/>
      <c r="J383" s="10" t="s">
        <v>25</v>
      </c>
      <c r="K383" s="23" t="s">
        <v>879</v>
      </c>
      <c r="L383" s="5"/>
      <c r="M383" s="11" t="s">
        <v>880</v>
      </c>
      <c r="N383" s="11"/>
      <c r="O383" s="11"/>
      <c r="P383" s="11"/>
      <c r="Q383" s="11"/>
    </row>
    <row r="384" ht="15.75" hidden="1" customHeight="1">
      <c r="A384" s="8">
        <v>46046.0</v>
      </c>
      <c r="B384" s="9">
        <f>68+4</f>
        <v>72</v>
      </c>
      <c r="C384" s="9">
        <f>65.52+3.15</f>
        <v>68.67</v>
      </c>
      <c r="D384" s="10" t="s">
        <v>849</v>
      </c>
      <c r="E384" s="10" t="s">
        <v>26</v>
      </c>
      <c r="F384" s="10" t="s">
        <v>26</v>
      </c>
      <c r="G384" s="10" t="s">
        <v>849</v>
      </c>
      <c r="H384" s="10" t="s">
        <v>25</v>
      </c>
      <c r="I384" s="10"/>
      <c r="J384" s="10" t="s">
        <v>25</v>
      </c>
      <c r="K384" s="23" t="s">
        <v>881</v>
      </c>
      <c r="L384" s="5"/>
      <c r="M384" s="11" t="s">
        <v>882</v>
      </c>
      <c r="N384" s="11"/>
      <c r="O384" s="11"/>
      <c r="P384" s="11"/>
      <c r="Q384" s="11"/>
    </row>
    <row r="385" ht="15.75" hidden="1" customHeight="1">
      <c r="A385" s="8">
        <v>46049.0</v>
      </c>
      <c r="B385" s="9">
        <f>72+4</f>
        <v>76</v>
      </c>
      <c r="C385" s="9">
        <f>68.67+8.14</f>
        <v>76.81</v>
      </c>
      <c r="D385" s="10" t="s">
        <v>849</v>
      </c>
      <c r="E385" s="10" t="s">
        <v>26</v>
      </c>
      <c r="F385" s="10" t="s">
        <v>26</v>
      </c>
      <c r="G385" s="10" t="s">
        <v>849</v>
      </c>
      <c r="H385" s="10" t="s">
        <v>25</v>
      </c>
      <c r="I385" s="10"/>
      <c r="J385" s="10" t="s">
        <v>25</v>
      </c>
      <c r="K385" s="23" t="s">
        <v>883</v>
      </c>
      <c r="L385" s="5"/>
      <c r="M385" s="11" t="s">
        <v>884</v>
      </c>
      <c r="N385" s="11"/>
      <c r="O385" s="11"/>
      <c r="P385" s="11"/>
      <c r="Q385" s="11"/>
    </row>
    <row r="386" ht="15.75" hidden="1" customHeight="1">
      <c r="A386" s="8">
        <v>46050.0</v>
      </c>
      <c r="B386" s="9">
        <f>76+4</f>
        <v>80</v>
      </c>
      <c r="C386" s="9">
        <f>76.81+5.5</f>
        <v>82.31</v>
      </c>
      <c r="D386" s="10" t="s">
        <v>849</v>
      </c>
      <c r="E386" s="10" t="s">
        <v>26</v>
      </c>
      <c r="F386" s="10" t="s">
        <v>26</v>
      </c>
      <c r="G386" s="10" t="s">
        <v>849</v>
      </c>
      <c r="H386" s="10" t="s">
        <v>25</v>
      </c>
      <c r="I386" s="10"/>
      <c r="J386" s="10" t="s">
        <v>25</v>
      </c>
      <c r="K386" s="23" t="s">
        <v>885</v>
      </c>
      <c r="L386" s="5"/>
      <c r="M386" s="11" t="s">
        <v>886</v>
      </c>
      <c r="N386" s="11"/>
      <c r="O386" s="11"/>
      <c r="P386" s="11"/>
      <c r="Q386" s="11"/>
    </row>
    <row r="387" ht="15.75" hidden="1" customHeight="1">
      <c r="A387" s="8">
        <v>46051.0</v>
      </c>
      <c r="B387" s="9">
        <f t="shared" ref="B387:B389" si="20">80</f>
        <v>80</v>
      </c>
      <c r="C387" s="9">
        <f>82.31+9.4</f>
        <v>91.71</v>
      </c>
      <c r="D387" s="10" t="s">
        <v>849</v>
      </c>
      <c r="E387" s="10" t="s">
        <v>26</v>
      </c>
      <c r="F387" s="10" t="s">
        <v>26</v>
      </c>
      <c r="G387" s="10" t="s">
        <v>849</v>
      </c>
      <c r="H387" s="10" t="s">
        <v>25</v>
      </c>
      <c r="I387" s="10"/>
      <c r="J387" s="10" t="s">
        <v>25</v>
      </c>
      <c r="K387" s="23" t="s">
        <v>887</v>
      </c>
      <c r="L387" s="5"/>
      <c r="M387" s="11" t="s">
        <v>888</v>
      </c>
      <c r="N387" s="11"/>
      <c r="O387" s="11"/>
      <c r="P387" s="11"/>
      <c r="Q387" s="11"/>
    </row>
    <row r="388" ht="15.75" hidden="1" customHeight="1">
      <c r="A388" s="8">
        <v>46052.0</v>
      </c>
      <c r="B388" s="9">
        <f t="shared" si="20"/>
        <v>80</v>
      </c>
      <c r="C388" s="9">
        <v>100.18</v>
      </c>
      <c r="D388" s="10" t="s">
        <v>849</v>
      </c>
      <c r="E388" s="10" t="s">
        <v>26</v>
      </c>
      <c r="F388" s="10" t="s">
        <v>26</v>
      </c>
      <c r="G388" s="10" t="s">
        <v>849</v>
      </c>
      <c r="H388" s="10" t="s">
        <v>25</v>
      </c>
      <c r="I388" s="10"/>
      <c r="J388" s="10" t="s">
        <v>25</v>
      </c>
      <c r="K388" s="23" t="s">
        <v>889</v>
      </c>
      <c r="L388" s="5"/>
      <c r="M388" s="11" t="s">
        <v>890</v>
      </c>
      <c r="N388" s="11"/>
      <c r="O388" s="11"/>
      <c r="P388" s="11"/>
      <c r="Q388" s="11"/>
    </row>
    <row r="389" ht="15.75" customHeight="1">
      <c r="A389" s="8">
        <v>46053.0</v>
      </c>
      <c r="B389" s="9">
        <f t="shared" si="20"/>
        <v>80</v>
      </c>
      <c r="C389" s="9">
        <f>104.23</f>
        <v>104.23</v>
      </c>
      <c r="D389" s="10" t="s">
        <v>26</v>
      </c>
      <c r="E389" s="10" t="s">
        <v>26</v>
      </c>
      <c r="F389" s="10" t="s">
        <v>26</v>
      </c>
      <c r="G389" s="10" t="s">
        <v>26</v>
      </c>
      <c r="H389" s="10" t="s">
        <v>25</v>
      </c>
      <c r="I389" s="10"/>
      <c r="J389" s="10" t="s">
        <v>25</v>
      </c>
      <c r="K389" s="23" t="s">
        <v>891</v>
      </c>
      <c r="L389" s="5"/>
      <c r="M389" s="11" t="s">
        <v>892</v>
      </c>
      <c r="N389" s="11"/>
      <c r="O389" s="11"/>
      <c r="P389" s="11"/>
      <c r="Q389" s="11"/>
    </row>
    <row r="390" ht="15.75" hidden="1" customHeight="1">
      <c r="A390" s="8">
        <v>46055.0</v>
      </c>
      <c r="B390" s="9">
        <v>4.0</v>
      </c>
      <c r="C390" s="9">
        <v>5.26</v>
      </c>
      <c r="D390" s="10" t="s">
        <v>26</v>
      </c>
      <c r="E390" s="10" t="s">
        <v>26</v>
      </c>
      <c r="F390" s="10" t="s">
        <v>26</v>
      </c>
      <c r="G390" s="10" t="s">
        <v>26</v>
      </c>
      <c r="H390" s="10" t="s">
        <v>25</v>
      </c>
      <c r="I390" s="10"/>
      <c r="J390" s="10" t="s">
        <v>25</v>
      </c>
      <c r="K390" s="23" t="s">
        <v>893</v>
      </c>
      <c r="L390" s="5"/>
      <c r="M390" s="11" t="s">
        <v>894</v>
      </c>
      <c r="N390" s="11"/>
      <c r="O390" s="11"/>
      <c r="P390" s="11"/>
      <c r="Q390" s="11"/>
    </row>
    <row r="391" ht="15.75" hidden="1" customHeight="1">
      <c r="A391" s="8">
        <v>46056.0</v>
      </c>
      <c r="B391" s="9">
        <f>4+4</f>
        <v>8</v>
      </c>
      <c r="C391" s="9">
        <f>5.26+6.14</f>
        <v>11.4</v>
      </c>
      <c r="D391" s="10" t="s">
        <v>849</v>
      </c>
      <c r="E391" s="10" t="s">
        <v>26</v>
      </c>
      <c r="F391" s="10" t="s">
        <v>26</v>
      </c>
      <c r="G391" s="10" t="s">
        <v>26</v>
      </c>
      <c r="H391" s="10" t="s">
        <v>25</v>
      </c>
      <c r="I391" s="10"/>
      <c r="J391" s="10" t="s">
        <v>25</v>
      </c>
      <c r="K391" s="23" t="s">
        <v>895</v>
      </c>
      <c r="L391" s="5"/>
      <c r="M391" s="11" t="s">
        <v>896</v>
      </c>
      <c r="N391" s="11"/>
      <c r="O391" s="11"/>
      <c r="P391" s="11"/>
      <c r="Q391" s="11"/>
    </row>
    <row r="392" ht="15.75" hidden="1" customHeight="1">
      <c r="A392" s="8">
        <v>46057.0</v>
      </c>
      <c r="B392" s="9">
        <f>8+4</f>
        <v>12</v>
      </c>
      <c r="C392" s="9">
        <f>11.4+7.03</f>
        <v>18.43</v>
      </c>
      <c r="D392" s="10" t="s">
        <v>849</v>
      </c>
      <c r="E392" s="10" t="s">
        <v>26</v>
      </c>
      <c r="F392" s="10" t="s">
        <v>26</v>
      </c>
      <c r="G392" s="10" t="s">
        <v>849</v>
      </c>
      <c r="H392" s="10" t="s">
        <v>25</v>
      </c>
      <c r="I392" s="10"/>
      <c r="J392" s="10" t="s">
        <v>25</v>
      </c>
      <c r="K392" s="23" t="s">
        <v>897</v>
      </c>
      <c r="L392" s="5"/>
      <c r="M392" s="11" t="s">
        <v>898</v>
      </c>
      <c r="N392" s="11"/>
      <c r="O392" s="11"/>
      <c r="P392" s="11"/>
      <c r="Q392" s="11"/>
    </row>
    <row r="393" ht="15.75" hidden="1" customHeight="1">
      <c r="A393" s="8">
        <v>46058.0</v>
      </c>
      <c r="B393" s="9">
        <f>12+4</f>
        <v>16</v>
      </c>
      <c r="C393" s="9">
        <f>18.43+5.87</f>
        <v>24.3</v>
      </c>
      <c r="D393" s="10" t="s">
        <v>849</v>
      </c>
      <c r="E393" s="10" t="s">
        <v>26</v>
      </c>
      <c r="F393" s="10" t="s">
        <v>26</v>
      </c>
      <c r="G393" s="10" t="s">
        <v>849</v>
      </c>
      <c r="H393" s="10" t="s">
        <v>25</v>
      </c>
      <c r="I393" s="10"/>
      <c r="J393" s="10" t="s">
        <v>25</v>
      </c>
      <c r="K393" s="23" t="s">
        <v>899</v>
      </c>
      <c r="L393" s="5"/>
      <c r="M393" s="11" t="s">
        <v>900</v>
      </c>
      <c r="N393" s="11"/>
      <c r="O393" s="11"/>
      <c r="P393" s="11"/>
      <c r="Q393" s="11"/>
    </row>
    <row r="394" ht="15.75" hidden="1" customHeight="1">
      <c r="A394" s="8">
        <v>46059.0</v>
      </c>
      <c r="B394" s="9">
        <f>16+4</f>
        <v>20</v>
      </c>
      <c r="C394" s="9">
        <v>29.12</v>
      </c>
      <c r="D394" s="10" t="s">
        <v>849</v>
      </c>
      <c r="E394" s="10" t="s">
        <v>26</v>
      </c>
      <c r="F394" s="10" t="s">
        <v>26</v>
      </c>
      <c r="G394" s="10" t="s">
        <v>849</v>
      </c>
      <c r="H394" s="10" t="s">
        <v>25</v>
      </c>
      <c r="I394" s="10"/>
      <c r="J394" s="10" t="s">
        <v>25</v>
      </c>
      <c r="K394" s="23" t="s">
        <v>901</v>
      </c>
      <c r="L394" s="5"/>
      <c r="M394" s="11" t="s">
        <v>902</v>
      </c>
      <c r="N394" s="11"/>
      <c r="O394" s="11"/>
      <c r="P394" s="11"/>
      <c r="Q394" s="11"/>
    </row>
    <row r="395" ht="15.75" hidden="1" customHeight="1">
      <c r="A395" s="8">
        <v>46060.0</v>
      </c>
      <c r="B395" s="9">
        <f>20+4</f>
        <v>24</v>
      </c>
      <c r="C395" s="9">
        <v>34.58</v>
      </c>
      <c r="D395" s="10" t="s">
        <v>849</v>
      </c>
      <c r="E395" s="10" t="s">
        <v>26</v>
      </c>
      <c r="F395" s="10" t="s">
        <v>26</v>
      </c>
      <c r="G395" s="10" t="s">
        <v>849</v>
      </c>
      <c r="H395" s="10" t="s">
        <v>25</v>
      </c>
      <c r="I395" s="10"/>
      <c r="J395" s="10" t="s">
        <v>25</v>
      </c>
      <c r="K395" s="23" t="s">
        <v>903</v>
      </c>
      <c r="L395" s="5"/>
      <c r="M395" s="11" t="s">
        <v>904</v>
      </c>
      <c r="N395" s="11"/>
      <c r="O395" s="11"/>
      <c r="P395" s="11"/>
      <c r="Q395" s="11"/>
    </row>
    <row r="396" ht="15.75" hidden="1" customHeight="1">
      <c r="A396" s="8">
        <v>46062.0</v>
      </c>
      <c r="B396" s="9">
        <f>24+4</f>
        <v>28</v>
      </c>
      <c r="C396" s="9"/>
      <c r="D396" s="10"/>
      <c r="E396" s="10"/>
      <c r="F396" s="10"/>
      <c r="G396" s="10"/>
      <c r="H396" s="10"/>
      <c r="I396" s="10"/>
      <c r="J396" s="10"/>
      <c r="K396" s="11"/>
      <c r="L396" s="5"/>
      <c r="M396" s="11"/>
      <c r="N396" s="11"/>
      <c r="O396" s="11" t="s">
        <v>905</v>
      </c>
      <c r="P396" s="11"/>
      <c r="Q396" s="11"/>
    </row>
    <row r="397" ht="15.75" hidden="1" customHeight="1">
      <c r="A397" s="8">
        <v>46063.0</v>
      </c>
      <c r="B397" s="9">
        <f>28+4</f>
        <v>32</v>
      </c>
      <c r="C397" s="9">
        <f>41.64</f>
        <v>41.64</v>
      </c>
      <c r="D397" s="10" t="s">
        <v>849</v>
      </c>
      <c r="E397" s="10" t="s">
        <v>26</v>
      </c>
      <c r="F397" s="10" t="s">
        <v>26</v>
      </c>
      <c r="G397" s="10" t="s">
        <v>849</v>
      </c>
      <c r="H397" s="10" t="s">
        <v>25</v>
      </c>
      <c r="I397" s="10"/>
      <c r="J397" s="10"/>
      <c r="K397" s="23" t="s">
        <v>906</v>
      </c>
      <c r="L397" s="5"/>
      <c r="M397" s="11" t="s">
        <v>907</v>
      </c>
      <c r="N397" s="11"/>
      <c r="O397" s="11"/>
      <c r="P397" s="11"/>
      <c r="Q397" s="11"/>
    </row>
    <row r="398" ht="15.75" hidden="1" customHeight="1">
      <c r="A398" s="8">
        <v>46064.0</v>
      </c>
      <c r="B398" s="9">
        <f>32+4</f>
        <v>36</v>
      </c>
      <c r="C398" s="9">
        <f>41.64+3.4</f>
        <v>45.04</v>
      </c>
      <c r="D398" s="10" t="s">
        <v>849</v>
      </c>
      <c r="E398" s="10" t="s">
        <v>26</v>
      </c>
      <c r="F398" s="10" t="s">
        <v>26</v>
      </c>
      <c r="G398" s="10" t="s">
        <v>849</v>
      </c>
      <c r="H398" s="10" t="s">
        <v>25</v>
      </c>
      <c r="I398" s="10"/>
      <c r="J398" s="10"/>
      <c r="K398" s="23" t="s">
        <v>908</v>
      </c>
      <c r="L398" s="5"/>
      <c r="M398" s="11" t="s">
        <v>909</v>
      </c>
      <c r="N398" s="11"/>
      <c r="O398" s="11"/>
      <c r="P398" s="11"/>
      <c r="Q398" s="11"/>
    </row>
    <row r="399" ht="15.75" hidden="1" customHeight="1">
      <c r="A399" s="8">
        <v>46065.0</v>
      </c>
      <c r="B399" s="9">
        <f>36+4</f>
        <v>40</v>
      </c>
      <c r="C399" s="9">
        <f>48.45</f>
        <v>48.45</v>
      </c>
      <c r="D399" s="10" t="s">
        <v>849</v>
      </c>
      <c r="E399" s="10" t="s">
        <v>849</v>
      </c>
      <c r="F399" s="10" t="s">
        <v>26</v>
      </c>
      <c r="G399" s="10" t="s">
        <v>849</v>
      </c>
      <c r="H399" s="10" t="s">
        <v>25</v>
      </c>
      <c r="I399" s="10"/>
      <c r="J399" s="10"/>
      <c r="K399" s="23" t="s">
        <v>910</v>
      </c>
      <c r="L399" s="5"/>
      <c r="M399" s="11" t="s">
        <v>911</v>
      </c>
      <c r="N399" s="11"/>
      <c r="O399" s="11"/>
      <c r="P399" s="11"/>
      <c r="Q399" s="11"/>
    </row>
    <row r="400" ht="15.75" hidden="1" customHeight="1">
      <c r="A400" s="8">
        <v>46066.0</v>
      </c>
      <c r="B400" s="9">
        <f>40+4</f>
        <v>44</v>
      </c>
      <c r="C400" s="9">
        <v>51.6</v>
      </c>
      <c r="D400" s="10" t="s">
        <v>849</v>
      </c>
      <c r="E400" s="10" t="s">
        <v>849</v>
      </c>
      <c r="F400" s="10" t="s">
        <v>26</v>
      </c>
      <c r="G400" s="10" t="s">
        <v>849</v>
      </c>
      <c r="H400" s="10" t="s">
        <v>25</v>
      </c>
      <c r="I400" s="10"/>
      <c r="J400" s="10"/>
      <c r="K400" s="23" t="s">
        <v>912</v>
      </c>
      <c r="L400" s="5"/>
      <c r="M400" s="11" t="s">
        <v>913</v>
      </c>
      <c r="N400" s="11"/>
      <c r="O400" s="11"/>
      <c r="P400" s="11"/>
      <c r="Q400" s="11"/>
    </row>
    <row r="401" ht="15.75" hidden="1" customHeight="1">
      <c r="A401" s="8">
        <v>46067.0</v>
      </c>
      <c r="B401" s="9">
        <f>44+4</f>
        <v>48</v>
      </c>
      <c r="C401" s="9">
        <v>55.0</v>
      </c>
      <c r="D401" s="10" t="s">
        <v>849</v>
      </c>
      <c r="E401" s="10" t="s">
        <v>849</v>
      </c>
      <c r="F401" s="10" t="s">
        <v>26</v>
      </c>
      <c r="G401" s="10" t="s">
        <v>849</v>
      </c>
      <c r="H401" s="10" t="s">
        <v>25</v>
      </c>
      <c r="I401" s="10"/>
      <c r="J401" s="10"/>
      <c r="K401" s="23" t="s">
        <v>914</v>
      </c>
      <c r="L401" s="5"/>
      <c r="M401" s="11" t="s">
        <v>915</v>
      </c>
      <c r="N401" s="11"/>
      <c r="O401" s="11"/>
      <c r="P401" s="11"/>
      <c r="Q401" s="11"/>
    </row>
    <row r="402" ht="15.75" hidden="1" customHeight="1">
      <c r="A402" s="8">
        <v>46069.0</v>
      </c>
      <c r="B402" s="9">
        <f>48+4</f>
        <v>52</v>
      </c>
      <c r="C402" s="9">
        <v>59.39</v>
      </c>
      <c r="D402" s="10" t="s">
        <v>849</v>
      </c>
      <c r="E402" s="10" t="s">
        <v>849</v>
      </c>
      <c r="F402" s="10" t="s">
        <v>26</v>
      </c>
      <c r="G402" s="10" t="s">
        <v>849</v>
      </c>
      <c r="H402" s="10" t="s">
        <v>25</v>
      </c>
      <c r="I402" s="10"/>
      <c r="J402" s="10"/>
      <c r="K402" s="23" t="s">
        <v>916</v>
      </c>
      <c r="L402" s="5"/>
      <c r="M402" s="11" t="s">
        <v>917</v>
      </c>
      <c r="N402" s="11"/>
      <c r="O402" s="11"/>
      <c r="P402" s="11"/>
      <c r="Q402" s="11"/>
    </row>
    <row r="403" ht="15.75" hidden="1" customHeight="1">
      <c r="A403" s="8">
        <v>46070.0</v>
      </c>
      <c r="B403" s="9">
        <f>52+4</f>
        <v>56</v>
      </c>
      <c r="C403" s="9">
        <v>59.8</v>
      </c>
      <c r="D403" s="10" t="s">
        <v>849</v>
      </c>
      <c r="E403" s="10" t="s">
        <v>849</v>
      </c>
      <c r="F403" s="10" t="s">
        <v>26</v>
      </c>
      <c r="G403" s="10" t="s">
        <v>849</v>
      </c>
      <c r="H403" s="10" t="s">
        <v>25</v>
      </c>
      <c r="I403" s="10"/>
      <c r="J403" s="10"/>
      <c r="K403" s="23" t="s">
        <v>918</v>
      </c>
      <c r="L403" s="5"/>
      <c r="M403" s="11" t="s">
        <v>919</v>
      </c>
      <c r="N403" s="11"/>
      <c r="O403" s="11"/>
      <c r="P403" s="11"/>
      <c r="Q403" s="11"/>
    </row>
    <row r="404" ht="15.75" hidden="1" customHeight="1">
      <c r="A404" s="8">
        <v>46071.0</v>
      </c>
      <c r="B404" s="9">
        <f>56+4</f>
        <v>60</v>
      </c>
      <c r="C404" s="9">
        <f>59.8+1.91</f>
        <v>61.71</v>
      </c>
      <c r="D404" s="10" t="s">
        <v>849</v>
      </c>
      <c r="E404" s="10" t="s">
        <v>849</v>
      </c>
      <c r="F404" s="10" t="s">
        <v>26</v>
      </c>
      <c r="G404" s="10" t="s">
        <v>849</v>
      </c>
      <c r="H404" s="10" t="s">
        <v>25</v>
      </c>
      <c r="I404" s="10"/>
      <c r="J404" s="10"/>
      <c r="K404" s="23" t="s">
        <v>920</v>
      </c>
      <c r="L404" s="5"/>
      <c r="M404" s="11" t="s">
        <v>921</v>
      </c>
      <c r="N404" s="11"/>
      <c r="O404" s="11"/>
      <c r="P404" s="11"/>
      <c r="Q404" s="11"/>
    </row>
    <row r="405" ht="15.75" hidden="1" customHeight="1">
      <c r="A405" s="8">
        <v>46072.0</v>
      </c>
      <c r="B405" s="9">
        <f>60+4</f>
        <v>64</v>
      </c>
      <c r="C405" s="9">
        <f>61.71+4.87</f>
        <v>66.58</v>
      </c>
      <c r="D405" s="10" t="s">
        <v>849</v>
      </c>
      <c r="E405" s="10" t="s">
        <v>849</v>
      </c>
      <c r="F405" s="10" t="s">
        <v>26</v>
      </c>
      <c r="G405" s="10" t="s">
        <v>849</v>
      </c>
      <c r="H405" s="10" t="s">
        <v>25</v>
      </c>
      <c r="I405" s="10"/>
      <c r="J405" s="10"/>
      <c r="K405" s="23" t="s">
        <v>922</v>
      </c>
      <c r="L405" s="5"/>
      <c r="M405" s="11" t="s">
        <v>923</v>
      </c>
      <c r="N405" s="11"/>
      <c r="O405" s="11"/>
      <c r="P405" s="11"/>
      <c r="Q405" s="11"/>
    </row>
    <row r="406" ht="15.75" hidden="1" customHeight="1">
      <c r="A406" s="8">
        <v>46073.0</v>
      </c>
      <c r="B406" s="9">
        <f>64+4</f>
        <v>68</v>
      </c>
      <c r="C406" s="9">
        <f>66.58+5</f>
        <v>71.58</v>
      </c>
      <c r="D406" s="10" t="s">
        <v>849</v>
      </c>
      <c r="E406" s="10" t="s">
        <v>26</v>
      </c>
      <c r="F406" s="10" t="s">
        <v>26</v>
      </c>
      <c r="G406" s="10" t="s">
        <v>849</v>
      </c>
      <c r="H406" s="10" t="s">
        <v>25</v>
      </c>
      <c r="I406" s="10"/>
      <c r="J406" s="10"/>
      <c r="K406" s="23" t="s">
        <v>924</v>
      </c>
      <c r="L406" s="5"/>
      <c r="M406" s="11" t="s">
        <v>925</v>
      </c>
      <c r="N406" s="11"/>
      <c r="O406" s="11"/>
      <c r="P406" s="11"/>
      <c r="Q406" s="11"/>
    </row>
    <row r="407" ht="15.75" hidden="1" customHeight="1">
      <c r="A407" s="8">
        <v>46074.0</v>
      </c>
      <c r="B407" s="9">
        <f>68+4</f>
        <v>72</v>
      </c>
      <c r="C407" s="9">
        <f>71.58</f>
        <v>71.58</v>
      </c>
      <c r="D407" s="10"/>
      <c r="E407" s="10"/>
      <c r="F407" s="10" t="s">
        <v>26</v>
      </c>
      <c r="G407" s="10" t="s">
        <v>849</v>
      </c>
      <c r="H407" s="10" t="s">
        <v>25</v>
      </c>
      <c r="I407" s="10"/>
      <c r="J407" s="10"/>
      <c r="K407" s="23" t="s">
        <v>926</v>
      </c>
      <c r="L407" s="5"/>
      <c r="M407" s="11" t="s">
        <v>927</v>
      </c>
      <c r="N407" s="11"/>
      <c r="O407" s="11" t="s">
        <v>834</v>
      </c>
      <c r="P407" s="11"/>
      <c r="Q407" s="11"/>
    </row>
    <row r="408" ht="15.75" hidden="1" customHeight="1">
      <c r="A408" s="8">
        <v>46076.0</v>
      </c>
      <c r="B408" s="9">
        <f>72+4</f>
        <v>76</v>
      </c>
      <c r="C408" s="9">
        <f>71.58+3.74</f>
        <v>75.32</v>
      </c>
      <c r="D408" s="10" t="s">
        <v>849</v>
      </c>
      <c r="E408" s="10" t="s">
        <v>26</v>
      </c>
      <c r="F408" s="10" t="s">
        <v>26</v>
      </c>
      <c r="G408" s="10" t="s">
        <v>849</v>
      </c>
      <c r="H408" s="10" t="s">
        <v>25</v>
      </c>
      <c r="I408" s="10"/>
      <c r="J408" s="10"/>
      <c r="K408" s="23" t="s">
        <v>928</v>
      </c>
      <c r="L408" s="5"/>
      <c r="M408" s="11" t="s">
        <v>929</v>
      </c>
      <c r="N408" s="11"/>
      <c r="O408" s="11"/>
      <c r="P408" s="11"/>
      <c r="Q408" s="11"/>
    </row>
    <row r="409" ht="15.75" hidden="1" customHeight="1">
      <c r="A409" s="8">
        <v>46077.0</v>
      </c>
      <c r="B409" s="9">
        <f>76+4</f>
        <v>80</v>
      </c>
      <c r="C409" s="9">
        <f>75.32+2.75</f>
        <v>78.07</v>
      </c>
      <c r="D409" s="10" t="s">
        <v>26</v>
      </c>
      <c r="E409" s="10" t="s">
        <v>26</v>
      </c>
      <c r="F409" s="10" t="s">
        <v>26</v>
      </c>
      <c r="G409" s="10" t="s">
        <v>849</v>
      </c>
      <c r="H409" s="10" t="s">
        <v>25</v>
      </c>
      <c r="I409" s="10"/>
      <c r="J409" s="10"/>
      <c r="K409" s="23" t="s">
        <v>930</v>
      </c>
      <c r="L409" s="5"/>
      <c r="M409" s="11" t="s">
        <v>931</v>
      </c>
      <c r="N409" s="11"/>
      <c r="O409" s="11"/>
      <c r="P409" s="11"/>
      <c r="Q409" s="11"/>
    </row>
    <row r="410" ht="15.75" hidden="1" customHeight="1">
      <c r="A410" s="8">
        <v>46078.0</v>
      </c>
      <c r="B410" s="9">
        <f>80</f>
        <v>80</v>
      </c>
      <c r="C410" s="9">
        <v>82.71</v>
      </c>
      <c r="D410" s="10" t="s">
        <v>26</v>
      </c>
      <c r="E410" s="10" t="s">
        <v>26</v>
      </c>
      <c r="F410" s="10" t="s">
        <v>26</v>
      </c>
      <c r="G410" s="10" t="s">
        <v>26</v>
      </c>
      <c r="H410" s="10"/>
      <c r="I410" s="10"/>
      <c r="J410" s="10"/>
      <c r="K410" s="23" t="s">
        <v>932</v>
      </c>
      <c r="L410" s="5"/>
      <c r="M410" s="11" t="s">
        <v>933</v>
      </c>
      <c r="N410" s="11"/>
      <c r="O410" s="11"/>
      <c r="P410" s="11"/>
      <c r="Q410" s="11"/>
    </row>
    <row r="411" ht="15.75" hidden="1" customHeight="1">
      <c r="A411" s="8">
        <v>46079.0</v>
      </c>
      <c r="B411" s="9">
        <v>80.0</v>
      </c>
      <c r="C411" s="9">
        <f>82.71+2.23</f>
        <v>84.94</v>
      </c>
      <c r="D411" s="10" t="s">
        <v>26</v>
      </c>
      <c r="E411" s="10" t="s">
        <v>26</v>
      </c>
      <c r="F411" s="10" t="s">
        <v>26</v>
      </c>
      <c r="G411" s="10" t="s">
        <v>26</v>
      </c>
      <c r="H411" s="10"/>
      <c r="I411" s="10"/>
      <c r="J411" s="10"/>
      <c r="K411" s="23" t="s">
        <v>934</v>
      </c>
      <c r="L411" s="5"/>
      <c r="M411" s="11" t="s">
        <v>935</v>
      </c>
      <c r="N411" s="11"/>
      <c r="O411" s="11"/>
      <c r="P411" s="11"/>
      <c r="Q411" s="11"/>
    </row>
    <row r="412" ht="15.75" hidden="1" customHeight="1">
      <c r="A412" s="8">
        <v>46080.0</v>
      </c>
      <c r="B412" s="9">
        <v>80.0</v>
      </c>
      <c r="C412" s="9">
        <f>84.94+1.16</f>
        <v>86.1</v>
      </c>
      <c r="D412" s="10" t="s">
        <v>26</v>
      </c>
      <c r="E412" s="10" t="s">
        <v>26</v>
      </c>
      <c r="F412" s="10" t="s">
        <v>26</v>
      </c>
      <c r="G412" s="10" t="s">
        <v>26</v>
      </c>
      <c r="H412" s="10"/>
      <c r="I412" s="10"/>
      <c r="J412" s="10"/>
      <c r="K412" s="23" t="s">
        <v>936</v>
      </c>
      <c r="L412" s="5"/>
      <c r="M412" s="11" t="s">
        <v>937</v>
      </c>
      <c r="N412" s="11"/>
      <c r="O412" s="11"/>
      <c r="P412" s="11"/>
      <c r="Q412" s="11"/>
    </row>
    <row r="413" ht="15.75" customHeight="1">
      <c r="A413" s="26">
        <v>46081.0</v>
      </c>
      <c r="B413" s="9">
        <f>80</f>
        <v>80</v>
      </c>
      <c r="C413" s="9">
        <v>87.64</v>
      </c>
      <c r="D413" s="10"/>
      <c r="E413" s="10" t="s">
        <v>26</v>
      </c>
      <c r="F413" s="10" t="s">
        <v>26</v>
      </c>
      <c r="G413" s="10" t="s">
        <v>26</v>
      </c>
      <c r="H413" s="10"/>
      <c r="I413" s="10"/>
      <c r="J413" s="10"/>
      <c r="K413" s="23" t="s">
        <v>938</v>
      </c>
      <c r="L413" s="5"/>
      <c r="M413" s="11" t="s">
        <v>937</v>
      </c>
      <c r="N413" s="11"/>
      <c r="O413" s="11"/>
      <c r="P413" s="11"/>
      <c r="Q413" s="11"/>
    </row>
    <row r="414" ht="15.75" hidden="1" customHeight="1">
      <c r="A414" s="26">
        <v>46083.0</v>
      </c>
      <c r="B414" s="9">
        <v>4.0</v>
      </c>
      <c r="C414" s="9">
        <v>2.4</v>
      </c>
      <c r="D414" s="10" t="s">
        <v>849</v>
      </c>
      <c r="E414" s="10" t="s">
        <v>26</v>
      </c>
      <c r="F414" s="10" t="s">
        <v>26</v>
      </c>
      <c r="G414" s="10" t="s">
        <v>26</v>
      </c>
      <c r="H414" s="10"/>
      <c r="I414" s="10"/>
      <c r="J414" s="10"/>
      <c r="K414" s="23" t="s">
        <v>939</v>
      </c>
      <c r="L414" s="5"/>
      <c r="M414" s="11" t="s">
        <v>940</v>
      </c>
      <c r="N414" s="11"/>
      <c r="O414" s="11"/>
      <c r="P414" s="11"/>
      <c r="Q414" s="11"/>
    </row>
    <row r="415" ht="15.75" hidden="1" customHeight="1">
      <c r="A415" s="9" t="s">
        <v>941</v>
      </c>
      <c r="B415" s="9">
        <f>4+4</f>
        <v>8</v>
      </c>
      <c r="C415" s="9">
        <f>10</f>
        <v>10</v>
      </c>
      <c r="D415" s="10" t="s">
        <v>849</v>
      </c>
      <c r="E415" s="10" t="s">
        <v>26</v>
      </c>
      <c r="F415" s="10" t="s">
        <v>26</v>
      </c>
      <c r="G415" s="10" t="s">
        <v>26</v>
      </c>
      <c r="H415" s="10"/>
      <c r="I415" s="10"/>
      <c r="J415" s="10"/>
      <c r="K415" s="23" t="s">
        <v>942</v>
      </c>
      <c r="L415" s="5"/>
      <c r="M415" s="11" t="s">
        <v>943</v>
      </c>
      <c r="N415" s="11"/>
      <c r="O415" s="11"/>
      <c r="P415" s="11"/>
      <c r="Q415" s="11"/>
    </row>
    <row r="416" ht="15.75" hidden="1" customHeight="1">
      <c r="A416" s="8">
        <v>46085.0</v>
      </c>
      <c r="B416" s="9">
        <f>8+4</f>
        <v>12</v>
      </c>
      <c r="C416" s="9">
        <f>17.35</f>
        <v>17.35</v>
      </c>
      <c r="D416" s="10" t="s">
        <v>849</v>
      </c>
      <c r="E416" s="10" t="s">
        <v>26</v>
      </c>
      <c r="F416" s="10" t="s">
        <v>26</v>
      </c>
      <c r="G416" s="10" t="s">
        <v>26</v>
      </c>
      <c r="H416" s="10"/>
      <c r="I416" s="10"/>
      <c r="J416" s="10"/>
      <c r="K416" s="23" t="s">
        <v>944</v>
      </c>
      <c r="L416" s="5"/>
      <c r="M416" s="11" t="s">
        <v>945</v>
      </c>
      <c r="N416" s="11"/>
      <c r="O416" s="11"/>
      <c r="P416" s="11"/>
      <c r="Q416" s="11"/>
    </row>
    <row r="417" ht="15.75" hidden="1" customHeight="1">
      <c r="A417" s="8">
        <v>46086.0</v>
      </c>
      <c r="B417" s="9">
        <f>12+4</f>
        <v>16</v>
      </c>
      <c r="C417" s="9">
        <f>17.35+6.05</f>
        <v>23.4</v>
      </c>
      <c r="D417" s="10" t="s">
        <v>849</v>
      </c>
      <c r="E417" s="10" t="s">
        <v>26</v>
      </c>
      <c r="F417" s="10" t="s">
        <v>26</v>
      </c>
      <c r="G417" s="10" t="s">
        <v>26</v>
      </c>
      <c r="H417" s="10"/>
      <c r="I417" s="10"/>
      <c r="J417" s="10"/>
      <c r="K417" s="23" t="s">
        <v>946</v>
      </c>
      <c r="L417" s="5"/>
      <c r="M417" s="11" t="s">
        <v>947</v>
      </c>
      <c r="N417" s="11"/>
      <c r="O417" s="11"/>
      <c r="P417" s="11"/>
      <c r="Q417" s="11"/>
    </row>
    <row r="418" ht="15.75" hidden="1" customHeight="1">
      <c r="A418" s="8">
        <v>46087.0</v>
      </c>
      <c r="B418" s="9">
        <f>16+4</f>
        <v>20</v>
      </c>
      <c r="C418" s="9">
        <f>23.4+4</f>
        <v>27.4</v>
      </c>
      <c r="D418" s="10" t="s">
        <v>849</v>
      </c>
      <c r="E418" s="10" t="s">
        <v>26</v>
      </c>
      <c r="F418" s="10" t="s">
        <v>26</v>
      </c>
      <c r="G418" s="10" t="s">
        <v>26</v>
      </c>
      <c r="H418" s="10"/>
      <c r="I418" s="10"/>
      <c r="J418" s="10"/>
      <c r="K418" s="23" t="s">
        <v>948</v>
      </c>
      <c r="L418" s="5"/>
      <c r="M418" s="11" t="s">
        <v>949</v>
      </c>
      <c r="N418" s="11"/>
      <c r="O418" s="11"/>
      <c r="P418" s="11"/>
      <c r="Q418" s="11"/>
    </row>
    <row r="419" ht="15.75" hidden="1" customHeight="1">
      <c r="A419" s="8">
        <v>46088.0</v>
      </c>
      <c r="B419" s="9">
        <f>20+4</f>
        <v>24</v>
      </c>
      <c r="C419" s="9">
        <f>27.4+1</f>
        <v>28.4</v>
      </c>
      <c r="D419" s="10" t="s">
        <v>849</v>
      </c>
      <c r="E419" s="10" t="s">
        <v>26</v>
      </c>
      <c r="F419" s="10" t="s">
        <v>26</v>
      </c>
      <c r="G419" s="10" t="s">
        <v>26</v>
      </c>
      <c r="H419" s="10"/>
      <c r="I419" s="10"/>
      <c r="J419" s="10"/>
      <c r="K419" s="23" t="s">
        <v>950</v>
      </c>
      <c r="L419" s="5"/>
      <c r="M419" s="11" t="s">
        <v>951</v>
      </c>
      <c r="N419" s="11"/>
      <c r="O419" s="11"/>
      <c r="P419" s="11"/>
      <c r="Q419" s="11"/>
    </row>
    <row r="420" ht="15.75" hidden="1" customHeight="1">
      <c r="A420" s="8">
        <v>46090.0</v>
      </c>
      <c r="B420" s="9">
        <f>24+4</f>
        <v>28</v>
      </c>
      <c r="C420" s="9">
        <f>28.4+6.47</f>
        <v>34.87</v>
      </c>
      <c r="D420" s="10" t="s">
        <v>849</v>
      </c>
      <c r="E420" s="10" t="s">
        <v>26</v>
      </c>
      <c r="F420" s="10" t="s">
        <v>26</v>
      </c>
      <c r="G420" s="10" t="s">
        <v>26</v>
      </c>
      <c r="H420" s="10"/>
      <c r="I420" s="10"/>
      <c r="J420" s="10"/>
      <c r="K420" s="23" t="s">
        <v>952</v>
      </c>
      <c r="L420" s="5"/>
      <c r="M420" s="11" t="s">
        <v>953</v>
      </c>
      <c r="N420" s="11"/>
      <c r="O420" s="11"/>
      <c r="P420" s="11"/>
      <c r="Q420" s="11"/>
    </row>
    <row r="421" ht="15.75" hidden="1" customHeight="1">
      <c r="A421" s="8">
        <v>46091.0</v>
      </c>
      <c r="B421" s="9">
        <f>28+4</f>
        <v>32</v>
      </c>
      <c r="C421" s="9">
        <f>34.87+2.48</f>
        <v>37.35</v>
      </c>
      <c r="D421" s="10" t="s">
        <v>849</v>
      </c>
      <c r="E421" s="10" t="s">
        <v>26</v>
      </c>
      <c r="F421" s="10" t="s">
        <v>26</v>
      </c>
      <c r="G421" s="10" t="s">
        <v>26</v>
      </c>
      <c r="H421" s="10"/>
      <c r="I421" s="10"/>
      <c r="J421" s="10"/>
      <c r="K421" s="23" t="s">
        <v>954</v>
      </c>
      <c r="L421" s="5"/>
      <c r="M421" s="11" t="s">
        <v>955</v>
      </c>
      <c r="N421" s="11"/>
      <c r="O421" s="11"/>
      <c r="P421" s="11"/>
      <c r="Q421" s="11"/>
    </row>
    <row r="422" ht="15.75" hidden="1" customHeight="1">
      <c r="A422" s="8">
        <v>46092.0</v>
      </c>
      <c r="B422" s="9">
        <f>32+4</f>
        <v>36</v>
      </c>
      <c r="C422" s="9">
        <f>C421+1.47</f>
        <v>38.82</v>
      </c>
      <c r="D422" s="10" t="s">
        <v>849</v>
      </c>
      <c r="E422" s="10" t="s">
        <v>26</v>
      </c>
      <c r="F422" s="10" t="s">
        <v>26</v>
      </c>
      <c r="G422" s="10" t="s">
        <v>26</v>
      </c>
      <c r="H422" s="10"/>
      <c r="I422" s="10"/>
      <c r="J422" s="10"/>
      <c r="K422" s="23" t="s">
        <v>956</v>
      </c>
      <c r="L422" s="5"/>
      <c r="M422" s="11" t="s">
        <v>957</v>
      </c>
      <c r="N422" s="11"/>
      <c r="O422" s="11"/>
      <c r="P422" s="11"/>
      <c r="Q422" s="11"/>
    </row>
    <row r="423" ht="15.75" hidden="1" customHeight="1">
      <c r="A423" s="8">
        <v>46093.0</v>
      </c>
      <c r="B423" s="9">
        <f>36+4</f>
        <v>40</v>
      </c>
      <c r="C423" s="9">
        <f>38.82+1.41</f>
        <v>40.23</v>
      </c>
      <c r="D423" s="10" t="s">
        <v>849</v>
      </c>
      <c r="E423" s="10" t="s">
        <v>26</v>
      </c>
      <c r="F423" s="10" t="s">
        <v>26</v>
      </c>
      <c r="G423" s="10" t="s">
        <v>26</v>
      </c>
      <c r="H423" s="10"/>
      <c r="I423" s="10"/>
      <c r="J423" s="10"/>
      <c r="K423" s="23" t="s">
        <v>958</v>
      </c>
      <c r="L423" s="5"/>
      <c r="M423" s="11" t="s">
        <v>959</v>
      </c>
      <c r="N423" s="11"/>
      <c r="O423" s="11"/>
      <c r="P423" s="11"/>
      <c r="Q423" s="11"/>
    </row>
    <row r="424" ht="15.75" hidden="1" customHeight="1">
      <c r="A424" s="8">
        <v>46094.0</v>
      </c>
      <c r="B424" s="9">
        <f>40+4</f>
        <v>44</v>
      </c>
      <c r="C424" s="9">
        <f>40.23+3.81</f>
        <v>44.04</v>
      </c>
      <c r="D424" s="10" t="s">
        <v>849</v>
      </c>
      <c r="E424" s="10" t="s">
        <v>26</v>
      </c>
      <c r="F424" s="10" t="s">
        <v>26</v>
      </c>
      <c r="G424" s="10" t="s">
        <v>26</v>
      </c>
      <c r="H424" s="10"/>
      <c r="I424" s="10"/>
      <c r="J424" s="10"/>
      <c r="K424" s="23" t="s">
        <v>960</v>
      </c>
      <c r="L424" s="5"/>
      <c r="M424" s="11" t="s">
        <v>961</v>
      </c>
      <c r="N424" s="11"/>
      <c r="O424" s="11" t="s">
        <v>962</v>
      </c>
      <c r="P424" s="11"/>
      <c r="Q424" s="11"/>
    </row>
    <row r="425" ht="15.75" hidden="1" customHeight="1">
      <c r="A425" s="8">
        <v>46095.0</v>
      </c>
      <c r="B425" s="9">
        <f>44</f>
        <v>44</v>
      </c>
      <c r="C425" s="9">
        <f>44.04+3.2</f>
        <v>47.24</v>
      </c>
      <c r="D425" s="10" t="s">
        <v>849</v>
      </c>
      <c r="E425" s="10" t="s">
        <v>26</v>
      </c>
      <c r="F425" s="10" t="s">
        <v>26</v>
      </c>
      <c r="G425" s="10" t="s">
        <v>26</v>
      </c>
      <c r="H425" s="10"/>
      <c r="I425" s="10"/>
      <c r="J425" s="10"/>
      <c r="K425" s="23" t="s">
        <v>963</v>
      </c>
      <c r="L425" s="5"/>
      <c r="M425" s="11" t="s">
        <v>964</v>
      </c>
      <c r="N425" s="11"/>
      <c r="O425" s="11"/>
      <c r="P425" s="11"/>
      <c r="Q425" s="11"/>
    </row>
    <row r="426" ht="15.75" hidden="1" customHeight="1">
      <c r="A426" s="8">
        <v>46097.0</v>
      </c>
      <c r="B426" s="9">
        <f>44+4</f>
        <v>48</v>
      </c>
      <c r="C426" s="9">
        <f>47.24+2</f>
        <v>49.24</v>
      </c>
      <c r="D426" s="10" t="s">
        <v>849</v>
      </c>
      <c r="E426" s="10" t="s">
        <v>26</v>
      </c>
      <c r="F426" s="10" t="s">
        <v>26</v>
      </c>
      <c r="G426" s="10" t="s">
        <v>26</v>
      </c>
      <c r="H426" s="10"/>
      <c r="I426" s="10"/>
      <c r="J426" s="10"/>
      <c r="K426" s="23" t="s">
        <v>965</v>
      </c>
      <c r="L426" s="5"/>
      <c r="M426" s="11" t="s">
        <v>966</v>
      </c>
      <c r="N426" s="11"/>
      <c r="O426" s="11"/>
      <c r="P426" s="11"/>
      <c r="Q426" s="11"/>
    </row>
    <row r="427" ht="15.75" hidden="1" customHeight="1">
      <c r="A427" s="8">
        <v>46098.0</v>
      </c>
      <c r="B427" s="9">
        <f>48+4</f>
        <v>52</v>
      </c>
      <c r="C427" s="9">
        <f>51.03</f>
        <v>51.03</v>
      </c>
      <c r="D427" s="10" t="s">
        <v>849</v>
      </c>
      <c r="E427" s="10" t="s">
        <v>26</v>
      </c>
      <c r="F427" s="10" t="s">
        <v>26</v>
      </c>
      <c r="G427" s="10" t="s">
        <v>26</v>
      </c>
      <c r="H427" s="10"/>
      <c r="I427" s="10"/>
      <c r="J427" s="10"/>
      <c r="K427" s="23" t="s">
        <v>967</v>
      </c>
      <c r="L427" s="5"/>
      <c r="M427" s="11" t="s">
        <v>968</v>
      </c>
      <c r="N427" s="11"/>
      <c r="O427" s="11"/>
      <c r="P427" s="11"/>
      <c r="Q427" s="11"/>
    </row>
    <row r="428" ht="15.75" hidden="1" customHeight="1">
      <c r="A428" s="8">
        <v>46099.0</v>
      </c>
      <c r="B428" s="9">
        <f>52+4</f>
        <v>56</v>
      </c>
      <c r="C428" s="9">
        <f>54.59</f>
        <v>54.59</v>
      </c>
      <c r="D428" s="10" t="s">
        <v>849</v>
      </c>
      <c r="E428" s="10" t="s">
        <v>26</v>
      </c>
      <c r="F428" s="10" t="s">
        <v>26</v>
      </c>
      <c r="G428" s="10" t="s">
        <v>26</v>
      </c>
      <c r="H428" s="10"/>
      <c r="I428" s="10"/>
      <c r="J428" s="10"/>
      <c r="K428" s="23" t="s">
        <v>969</v>
      </c>
      <c r="L428" s="5"/>
      <c r="M428" s="11" t="s">
        <v>970</v>
      </c>
      <c r="N428" s="11"/>
      <c r="O428" s="11"/>
      <c r="P428" s="11"/>
      <c r="Q428" s="11"/>
    </row>
    <row r="429" ht="15.75" hidden="1" customHeight="1">
      <c r="A429" s="8">
        <v>46100.0</v>
      </c>
      <c r="B429" s="9">
        <f>56+4</f>
        <v>60</v>
      </c>
      <c r="C429" s="9">
        <f>59.75</f>
        <v>59.75</v>
      </c>
      <c r="D429" s="10" t="s">
        <v>849</v>
      </c>
      <c r="E429" s="10" t="s">
        <v>26</v>
      </c>
      <c r="F429" s="10" t="s">
        <v>26</v>
      </c>
      <c r="G429" s="10" t="s">
        <v>26</v>
      </c>
      <c r="H429" s="10"/>
      <c r="I429" s="10"/>
      <c r="J429" s="10"/>
      <c r="K429" s="23" t="s">
        <v>971</v>
      </c>
      <c r="L429" s="5"/>
      <c r="M429" s="11" t="s">
        <v>972</v>
      </c>
      <c r="N429" s="11"/>
      <c r="O429" s="11"/>
      <c r="P429" s="11"/>
      <c r="Q429" s="11"/>
    </row>
    <row r="430" ht="15.75" hidden="1" customHeight="1">
      <c r="A430" s="8">
        <v>46101.0</v>
      </c>
      <c r="B430" s="9">
        <f t="shared" ref="B430:B431" si="21">60+4</f>
        <v>64</v>
      </c>
      <c r="C430" s="9">
        <f>C429+3.23</f>
        <v>62.98</v>
      </c>
      <c r="D430" s="10" t="s">
        <v>849</v>
      </c>
      <c r="E430" s="10" t="s">
        <v>26</v>
      </c>
      <c r="F430" s="10" t="s">
        <v>26</v>
      </c>
      <c r="G430" s="10" t="s">
        <v>26</v>
      </c>
      <c r="H430" s="10"/>
      <c r="I430" s="10"/>
      <c r="J430" s="10"/>
      <c r="K430" s="23" t="s">
        <v>973</v>
      </c>
      <c r="L430" s="5"/>
      <c r="M430" s="11" t="s">
        <v>974</v>
      </c>
      <c r="N430" s="11"/>
      <c r="O430" s="11"/>
      <c r="P430" s="11"/>
      <c r="Q430" s="11"/>
    </row>
    <row r="431" ht="15.75" hidden="1" customHeight="1">
      <c r="A431" s="8">
        <v>46102.0</v>
      </c>
      <c r="B431" s="9">
        <f t="shared" si="21"/>
        <v>64</v>
      </c>
      <c r="C431" s="9">
        <f>62.98+3.05</f>
        <v>66.03</v>
      </c>
      <c r="D431" s="10" t="s">
        <v>849</v>
      </c>
      <c r="E431" s="10" t="s">
        <v>26</v>
      </c>
      <c r="F431" s="10" t="s">
        <v>26</v>
      </c>
      <c r="G431" s="10" t="s">
        <v>26</v>
      </c>
      <c r="H431" s="10"/>
      <c r="I431" s="10"/>
      <c r="J431" s="10"/>
      <c r="K431" s="23" t="s">
        <v>975</v>
      </c>
      <c r="L431" s="5"/>
      <c r="M431" s="11" t="s">
        <v>976</v>
      </c>
      <c r="N431" s="11"/>
      <c r="O431" s="11"/>
      <c r="P431" s="11"/>
      <c r="Q431" s="11"/>
    </row>
    <row r="432" ht="15.75" hidden="1" customHeight="1">
      <c r="A432" s="8">
        <v>46104.0</v>
      </c>
      <c r="B432" s="9">
        <f>64+4</f>
        <v>68</v>
      </c>
      <c r="C432" s="9">
        <f>66.03+3.57</f>
        <v>69.6</v>
      </c>
      <c r="D432" s="10" t="s">
        <v>849</v>
      </c>
      <c r="E432" s="10" t="s">
        <v>26</v>
      </c>
      <c r="F432" s="10" t="s">
        <v>26</v>
      </c>
      <c r="G432" s="10" t="s">
        <v>26</v>
      </c>
      <c r="H432" s="10"/>
      <c r="I432" s="10"/>
      <c r="J432" s="10"/>
      <c r="K432" s="23" t="s">
        <v>977</v>
      </c>
      <c r="L432" s="5"/>
      <c r="M432" s="11" t="s">
        <v>978</v>
      </c>
      <c r="N432" s="11"/>
      <c r="O432" s="11"/>
      <c r="P432" s="11"/>
      <c r="Q432" s="11"/>
    </row>
    <row r="433" ht="15.75" hidden="1" customHeight="1">
      <c r="A433" s="8">
        <v>46105.0</v>
      </c>
      <c r="B433" s="9">
        <f>68+4</f>
        <v>72</v>
      </c>
      <c r="C433" s="9">
        <f>69.6+0.74</f>
        <v>70.34</v>
      </c>
      <c r="D433" s="10" t="s">
        <v>849</v>
      </c>
      <c r="E433" s="10" t="s">
        <v>26</v>
      </c>
      <c r="F433" s="10" t="s">
        <v>26</v>
      </c>
      <c r="G433" s="10" t="s">
        <v>26</v>
      </c>
      <c r="H433" s="10"/>
      <c r="I433" s="10"/>
      <c r="J433" s="10"/>
      <c r="K433" s="23" t="s">
        <v>979</v>
      </c>
      <c r="L433" s="5"/>
      <c r="M433" s="11" t="s">
        <v>980</v>
      </c>
      <c r="N433" s="11"/>
      <c r="O433" s="11"/>
      <c r="P433" s="11"/>
      <c r="Q433" s="11"/>
    </row>
    <row r="434" ht="15.75" hidden="1" customHeight="1">
      <c r="A434" s="8">
        <v>46106.0</v>
      </c>
      <c r="B434" s="9">
        <f>72+4</f>
        <v>76</v>
      </c>
      <c r="C434" s="9">
        <f>C433+0.9</f>
        <v>71.24</v>
      </c>
      <c r="D434" s="10" t="s">
        <v>26</v>
      </c>
      <c r="E434" s="10" t="s">
        <v>26</v>
      </c>
      <c r="F434" s="10" t="s">
        <v>26</v>
      </c>
      <c r="G434" s="10" t="s">
        <v>26</v>
      </c>
      <c r="H434" s="10"/>
      <c r="I434" s="10"/>
      <c r="J434" s="10"/>
      <c r="K434" s="23" t="s">
        <v>981</v>
      </c>
      <c r="L434" s="5"/>
      <c r="M434" s="11" t="s">
        <v>982</v>
      </c>
      <c r="N434" s="11"/>
      <c r="O434" s="11"/>
      <c r="P434" s="11"/>
      <c r="Q434" s="11"/>
    </row>
    <row r="435" ht="15.75" hidden="1" customHeight="1">
      <c r="A435" s="8">
        <v>46107.0</v>
      </c>
      <c r="B435" s="9">
        <f>76+4</f>
        <v>80</v>
      </c>
      <c r="C435" s="9">
        <f>71.24+1.73</f>
        <v>72.97</v>
      </c>
      <c r="D435" s="10" t="s">
        <v>26</v>
      </c>
      <c r="E435" s="10" t="s">
        <v>26</v>
      </c>
      <c r="F435" s="10" t="s">
        <v>26</v>
      </c>
      <c r="G435" s="10" t="s">
        <v>26</v>
      </c>
      <c r="H435" s="10"/>
      <c r="I435" s="10"/>
      <c r="J435" s="10"/>
      <c r="K435" s="23" t="s">
        <v>983</v>
      </c>
      <c r="L435" s="5"/>
      <c r="M435" s="11" t="s">
        <v>984</v>
      </c>
      <c r="N435" s="11"/>
      <c r="O435" s="11"/>
      <c r="P435" s="11"/>
      <c r="Q435" s="11"/>
    </row>
    <row r="436" ht="15.75" hidden="1" customHeight="1">
      <c r="A436" s="8">
        <v>46108.0</v>
      </c>
      <c r="B436" s="9">
        <f>80</f>
        <v>80</v>
      </c>
      <c r="C436" s="9">
        <f>72.97+1.24</f>
        <v>74.21</v>
      </c>
      <c r="D436" s="10" t="s">
        <v>26</v>
      </c>
      <c r="E436" s="10" t="s">
        <v>26</v>
      </c>
      <c r="F436" s="10" t="s">
        <v>26</v>
      </c>
      <c r="G436" s="10" t="s">
        <v>26</v>
      </c>
      <c r="H436" s="10"/>
      <c r="I436" s="10"/>
      <c r="J436" s="10"/>
      <c r="K436" s="23" t="s">
        <v>985</v>
      </c>
      <c r="L436" s="5"/>
      <c r="M436" s="11" t="s">
        <v>986</v>
      </c>
      <c r="N436" s="11"/>
      <c r="O436" s="11"/>
      <c r="P436" s="11"/>
      <c r="Q436" s="11"/>
    </row>
    <row r="437" ht="15.75" hidden="1" customHeight="1">
      <c r="A437" s="8">
        <v>46109.0</v>
      </c>
      <c r="B437" s="9">
        <v>80.0</v>
      </c>
      <c r="C437" s="9">
        <f>74.21+0.16</f>
        <v>74.37</v>
      </c>
      <c r="D437" s="10" t="s">
        <v>26</v>
      </c>
      <c r="E437" s="10" t="s">
        <v>26</v>
      </c>
      <c r="F437" s="10" t="s">
        <v>26</v>
      </c>
      <c r="G437" s="10" t="s">
        <v>26</v>
      </c>
      <c r="H437" s="10"/>
      <c r="I437" s="10"/>
      <c r="J437" s="10"/>
      <c r="K437" s="23" t="s">
        <v>987</v>
      </c>
      <c r="L437" s="5"/>
      <c r="M437" s="11" t="s">
        <v>988</v>
      </c>
      <c r="N437" s="11"/>
      <c r="O437" s="11"/>
      <c r="P437" s="11"/>
      <c r="Q437" s="11"/>
    </row>
    <row r="438" ht="15.75" hidden="1" customHeight="1">
      <c r="A438" s="8">
        <v>46111.0</v>
      </c>
      <c r="B438" s="9">
        <f t="shared" ref="B438:B439" si="22">80</f>
        <v>80</v>
      </c>
      <c r="C438" s="9">
        <f>74.37+1.31</f>
        <v>75.68</v>
      </c>
      <c r="D438" s="10" t="s">
        <v>26</v>
      </c>
      <c r="E438" s="10" t="s">
        <v>26</v>
      </c>
      <c r="F438" s="10" t="s">
        <v>26</v>
      </c>
      <c r="G438" s="10" t="s">
        <v>26</v>
      </c>
      <c r="H438" s="10"/>
      <c r="I438" s="10"/>
      <c r="J438" s="10"/>
      <c r="K438" s="23" t="s">
        <v>989</v>
      </c>
      <c r="L438" s="5"/>
      <c r="M438" s="11" t="s">
        <v>990</v>
      </c>
      <c r="N438" s="11"/>
      <c r="O438" s="11"/>
      <c r="P438" s="11"/>
      <c r="Q438" s="11"/>
    </row>
    <row r="439" ht="15.75" customHeight="1">
      <c r="A439" s="8">
        <v>46112.0</v>
      </c>
      <c r="B439" s="9">
        <f t="shared" si="22"/>
        <v>80</v>
      </c>
      <c r="C439" s="9">
        <v>79.98</v>
      </c>
      <c r="D439" s="10" t="s">
        <v>26</v>
      </c>
      <c r="E439" s="10" t="s">
        <v>26</v>
      </c>
      <c r="F439" s="10" t="s">
        <v>26</v>
      </c>
      <c r="G439" s="10" t="s">
        <v>26</v>
      </c>
      <c r="H439" s="10"/>
      <c r="I439" s="10"/>
      <c r="J439" s="10"/>
      <c r="K439" s="23" t="s">
        <v>991</v>
      </c>
      <c r="L439" s="5"/>
      <c r="M439" s="11" t="s">
        <v>992</v>
      </c>
      <c r="N439" s="11"/>
      <c r="O439" s="11"/>
      <c r="P439" s="11"/>
      <c r="Q439" s="11"/>
    </row>
    <row r="440" ht="15.75" customHeight="1">
      <c r="A440" s="8">
        <v>46113.0</v>
      </c>
      <c r="B440" s="9">
        <v>4.0</v>
      </c>
      <c r="C440" s="9">
        <v>4.99</v>
      </c>
      <c r="D440" s="10" t="s">
        <v>26</v>
      </c>
      <c r="E440" s="10" t="s">
        <v>26</v>
      </c>
      <c r="F440" s="10" t="s">
        <v>26</v>
      </c>
      <c r="G440" s="10" t="s">
        <v>26</v>
      </c>
      <c r="H440" s="10"/>
      <c r="I440" s="10"/>
      <c r="J440" s="10"/>
      <c r="K440" s="23" t="s">
        <v>993</v>
      </c>
      <c r="L440" s="5"/>
      <c r="M440" s="11" t="s">
        <v>994</v>
      </c>
      <c r="N440" s="11"/>
      <c r="O440" s="11"/>
      <c r="P440" s="11"/>
      <c r="Q440" s="11"/>
    </row>
    <row r="441" ht="15.75" customHeight="1">
      <c r="A441" s="8">
        <v>46114.0</v>
      </c>
      <c r="B441" s="9">
        <f>4+4</f>
        <v>8</v>
      </c>
      <c r="C441" s="9">
        <f>C440+2.52</f>
        <v>7.51</v>
      </c>
      <c r="D441" s="10" t="s">
        <v>26</v>
      </c>
      <c r="E441" s="10" t="s">
        <v>26</v>
      </c>
      <c r="F441" s="10" t="s">
        <v>26</v>
      </c>
      <c r="G441" s="10" t="s">
        <v>26</v>
      </c>
      <c r="H441" s="10"/>
      <c r="I441" s="10"/>
      <c r="J441" s="10"/>
      <c r="K441" s="23" t="s">
        <v>995</v>
      </c>
      <c r="L441" s="5"/>
      <c r="M441" s="11" t="s">
        <v>996</v>
      </c>
      <c r="N441" s="11"/>
      <c r="O441" s="11"/>
      <c r="P441" s="11"/>
      <c r="Q441" s="11"/>
    </row>
    <row r="442" ht="15.75" customHeight="1">
      <c r="A442" s="8">
        <v>46115.0</v>
      </c>
      <c r="B442" s="9">
        <f>B441+4</f>
        <v>12</v>
      </c>
      <c r="C442" s="9">
        <f>C441+1.9</f>
        <v>9.41</v>
      </c>
      <c r="D442" s="10" t="s">
        <v>26</v>
      </c>
      <c r="E442" s="10" t="s">
        <v>26</v>
      </c>
      <c r="F442" s="10" t="s">
        <v>26</v>
      </c>
      <c r="G442" s="10" t="s">
        <v>26</v>
      </c>
      <c r="H442" s="10"/>
      <c r="I442" s="10"/>
      <c r="J442" s="10"/>
      <c r="K442" s="23" t="s">
        <v>997</v>
      </c>
      <c r="L442" s="5"/>
      <c r="M442" s="11" t="s">
        <v>998</v>
      </c>
      <c r="N442" s="11"/>
      <c r="O442" s="11"/>
      <c r="P442" s="11"/>
      <c r="Q442" s="11"/>
    </row>
    <row r="443" ht="15.75" customHeight="1">
      <c r="A443" s="8">
        <v>46116.0</v>
      </c>
      <c r="B443" s="9">
        <f>12+4</f>
        <v>16</v>
      </c>
      <c r="C443" s="9">
        <f>9.41+2.48</f>
        <v>11.89</v>
      </c>
      <c r="D443" s="10" t="s">
        <v>26</v>
      </c>
      <c r="E443" s="10" t="s">
        <v>26</v>
      </c>
      <c r="F443" s="10" t="s">
        <v>26</v>
      </c>
      <c r="G443" s="10" t="s">
        <v>26</v>
      </c>
      <c r="H443" s="10"/>
      <c r="I443" s="10"/>
      <c r="J443" s="10"/>
      <c r="K443" s="23" t="s">
        <v>999</v>
      </c>
      <c r="L443" s="5"/>
      <c r="M443" s="11" t="s">
        <v>955</v>
      </c>
      <c r="N443" s="11"/>
      <c r="O443" s="11"/>
      <c r="P443" s="11"/>
      <c r="Q443" s="11"/>
    </row>
    <row r="444" ht="15.75" customHeight="1">
      <c r="A444" s="8">
        <v>46118.0</v>
      </c>
      <c r="B444" s="9">
        <f>16+4</f>
        <v>20</v>
      </c>
      <c r="C444" s="9">
        <f>16.44</f>
        <v>16.44</v>
      </c>
      <c r="D444" s="10" t="s">
        <v>26</v>
      </c>
      <c r="E444" s="10" t="s">
        <v>26</v>
      </c>
      <c r="F444" s="10" t="s">
        <v>26</v>
      </c>
      <c r="G444" s="10" t="s">
        <v>26</v>
      </c>
      <c r="H444" s="10"/>
      <c r="I444" s="10"/>
      <c r="J444" s="10"/>
      <c r="K444" s="23" t="s">
        <v>1000</v>
      </c>
      <c r="L444" s="5"/>
      <c r="M444" s="11" t="s">
        <v>1001</v>
      </c>
      <c r="N444" s="11"/>
      <c r="O444" s="11"/>
      <c r="P444" s="11"/>
      <c r="Q444" s="11"/>
    </row>
    <row r="445" ht="15.75" customHeight="1">
      <c r="A445" s="8">
        <v>46119.0</v>
      </c>
      <c r="B445" s="9">
        <f>20+4</f>
        <v>24</v>
      </c>
      <c r="C445" s="9">
        <v>19.82</v>
      </c>
      <c r="D445" s="10" t="s">
        <v>26</v>
      </c>
      <c r="E445" s="10" t="s">
        <v>26</v>
      </c>
      <c r="F445" s="10" t="s">
        <v>26</v>
      </c>
      <c r="G445" s="10" t="s">
        <v>26</v>
      </c>
      <c r="H445" s="10"/>
      <c r="I445" s="10"/>
      <c r="J445" s="10"/>
      <c r="K445" s="23" t="s">
        <v>1002</v>
      </c>
      <c r="L445" s="5"/>
      <c r="M445" s="11" t="s">
        <v>1003</v>
      </c>
      <c r="N445" s="11"/>
      <c r="O445" s="11"/>
      <c r="P445" s="11"/>
      <c r="Q445" s="11"/>
    </row>
    <row r="446" ht="15.75" customHeight="1">
      <c r="A446" s="8">
        <v>46120.0</v>
      </c>
      <c r="B446" s="9">
        <f>24+4</f>
        <v>28</v>
      </c>
      <c r="C446" s="9">
        <f>19.82+4.48</f>
        <v>24.3</v>
      </c>
      <c r="D446" s="10" t="s">
        <v>26</v>
      </c>
      <c r="E446" s="10" t="s">
        <v>26</v>
      </c>
      <c r="F446" s="10" t="s">
        <v>26</v>
      </c>
      <c r="G446" s="10" t="s">
        <v>26</v>
      </c>
      <c r="H446" s="10"/>
      <c r="I446" s="10"/>
      <c r="J446" s="10"/>
      <c r="K446" s="23" t="s">
        <v>1004</v>
      </c>
      <c r="L446" s="5"/>
      <c r="M446" s="11" t="s">
        <v>1005</v>
      </c>
      <c r="N446" s="11"/>
      <c r="O446" s="11"/>
      <c r="P446" s="11"/>
      <c r="Q446" s="11"/>
    </row>
    <row r="447" ht="15.75" customHeight="1">
      <c r="A447" s="8">
        <v>46121.0</v>
      </c>
      <c r="B447" s="9">
        <f>28+4</f>
        <v>32</v>
      </c>
      <c r="C447" s="9">
        <f>C446+2.98</f>
        <v>27.28</v>
      </c>
      <c r="D447" s="10" t="s">
        <v>26</v>
      </c>
      <c r="E447" s="10" t="s">
        <v>26</v>
      </c>
      <c r="F447" s="10" t="s">
        <v>26</v>
      </c>
      <c r="G447" s="10" t="s">
        <v>26</v>
      </c>
      <c r="H447" s="10"/>
      <c r="I447" s="10"/>
      <c r="J447" s="10"/>
      <c r="K447" s="23" t="s">
        <v>1006</v>
      </c>
      <c r="L447" s="5"/>
      <c r="M447" s="11" t="s">
        <v>1007</v>
      </c>
      <c r="N447" s="11"/>
      <c r="O447" s="11"/>
      <c r="P447" s="11"/>
      <c r="Q447" s="11"/>
    </row>
    <row r="448" ht="15.75" customHeight="1">
      <c r="A448" s="8">
        <v>46122.0</v>
      </c>
      <c r="B448" s="9">
        <f>32+4</f>
        <v>36</v>
      </c>
      <c r="C448" s="9">
        <f>C447+1.82</f>
        <v>29.1</v>
      </c>
      <c r="D448" s="10" t="s">
        <v>26</v>
      </c>
      <c r="E448" s="10" t="s">
        <v>26</v>
      </c>
      <c r="F448" s="10" t="s">
        <v>26</v>
      </c>
      <c r="G448" s="10" t="s">
        <v>26</v>
      </c>
      <c r="H448" s="10"/>
      <c r="I448" s="10"/>
      <c r="J448" s="10"/>
      <c r="K448" s="23" t="s">
        <v>1008</v>
      </c>
      <c r="L448" s="5"/>
      <c r="M448" s="11" t="s">
        <v>1009</v>
      </c>
      <c r="N448" s="11"/>
      <c r="O448" s="11"/>
      <c r="P448" s="11"/>
      <c r="Q448" s="11"/>
    </row>
    <row r="449" ht="15.75" customHeight="1">
      <c r="A449" s="8">
        <v>46123.0</v>
      </c>
      <c r="B449" s="9">
        <f>36+4</f>
        <v>40</v>
      </c>
      <c r="C449" s="9">
        <v>29.1</v>
      </c>
      <c r="D449" s="10" t="s">
        <v>26</v>
      </c>
      <c r="E449" s="10" t="s">
        <v>26</v>
      </c>
      <c r="F449" s="10" t="s">
        <v>26</v>
      </c>
      <c r="G449" s="10" t="s">
        <v>26</v>
      </c>
      <c r="H449" s="10"/>
      <c r="I449" s="10"/>
      <c r="J449" s="10"/>
      <c r="K449" s="23" t="s">
        <v>1010</v>
      </c>
      <c r="L449" s="5"/>
      <c r="M449" s="11" t="s">
        <v>1011</v>
      </c>
      <c r="N449" s="11"/>
      <c r="O449" s="11"/>
      <c r="P449" s="11"/>
      <c r="Q449" s="11"/>
    </row>
    <row r="450" ht="15.75" customHeight="1">
      <c r="A450" s="8">
        <v>46125.0</v>
      </c>
      <c r="B450" s="9">
        <f>40+4</f>
        <v>44</v>
      </c>
      <c r="C450" s="9">
        <f>C449+2.81</f>
        <v>31.91</v>
      </c>
      <c r="D450" s="10" t="s">
        <v>26</v>
      </c>
      <c r="E450" s="10" t="s">
        <v>26</v>
      </c>
      <c r="F450" s="10" t="s">
        <v>26</v>
      </c>
      <c r="G450" s="10" t="s">
        <v>26</v>
      </c>
      <c r="H450" s="10"/>
      <c r="I450" s="10"/>
      <c r="J450" s="10"/>
      <c r="K450" s="23" t="s">
        <v>1012</v>
      </c>
      <c r="L450" s="5"/>
      <c r="M450" s="11" t="s">
        <v>1013</v>
      </c>
      <c r="N450" s="11"/>
      <c r="O450" s="11"/>
      <c r="P450" s="11"/>
      <c r="Q450" s="11"/>
    </row>
    <row r="451" ht="15.75" customHeight="1">
      <c r="A451" s="8">
        <v>46127.0</v>
      </c>
      <c r="B451" s="9">
        <f>44+4</f>
        <v>48</v>
      </c>
      <c r="C451" s="9">
        <f>31.91+3.13</f>
        <v>35.04</v>
      </c>
      <c r="D451" s="10" t="s">
        <v>26</v>
      </c>
      <c r="E451" s="10" t="s">
        <v>26</v>
      </c>
      <c r="F451" s="10" t="s">
        <v>26</v>
      </c>
      <c r="G451" s="10" t="s">
        <v>26</v>
      </c>
      <c r="H451" s="10"/>
      <c r="I451" s="10"/>
      <c r="J451" s="10"/>
      <c r="K451" s="23" t="s">
        <v>1014</v>
      </c>
      <c r="L451" s="5"/>
      <c r="M451" s="11" t="s">
        <v>1015</v>
      </c>
      <c r="N451" s="11"/>
      <c r="O451" s="11"/>
      <c r="P451" s="11"/>
      <c r="Q451" s="11"/>
    </row>
    <row r="452" ht="15.75" customHeight="1">
      <c r="A452" s="8">
        <v>46128.0</v>
      </c>
      <c r="B452" s="9">
        <f>48+4</f>
        <v>52</v>
      </c>
      <c r="C452" s="9">
        <f>35.04+1.4</f>
        <v>36.44</v>
      </c>
      <c r="D452" s="10" t="s">
        <v>26</v>
      </c>
      <c r="E452" s="10" t="s">
        <v>26</v>
      </c>
      <c r="F452" s="10" t="s">
        <v>26</v>
      </c>
      <c r="G452" s="10" t="s">
        <v>26</v>
      </c>
      <c r="H452" s="10"/>
      <c r="I452" s="10"/>
      <c r="J452" s="10"/>
      <c r="K452" s="23" t="s">
        <v>1016</v>
      </c>
      <c r="L452" s="5"/>
      <c r="M452" s="11" t="s">
        <v>1017</v>
      </c>
      <c r="N452" s="11"/>
      <c r="O452" s="11"/>
      <c r="P452" s="11"/>
      <c r="Q452" s="11"/>
    </row>
    <row r="453" ht="15.75" customHeight="1">
      <c r="A453" s="8">
        <v>46129.0</v>
      </c>
      <c r="B453" s="9">
        <f>52+4</f>
        <v>56</v>
      </c>
      <c r="C453" s="9">
        <f>36.44+1.97</f>
        <v>38.41</v>
      </c>
      <c r="D453" s="10" t="s">
        <v>26</v>
      </c>
      <c r="E453" s="10" t="s">
        <v>26</v>
      </c>
      <c r="F453" s="10" t="s">
        <v>26</v>
      </c>
      <c r="G453" s="10" t="s">
        <v>26</v>
      </c>
      <c r="H453" s="10"/>
      <c r="I453" s="10"/>
      <c r="J453" s="10"/>
      <c r="K453" s="23" t="s">
        <v>1018</v>
      </c>
      <c r="L453" s="5"/>
      <c r="M453" s="11" t="s">
        <v>1019</v>
      </c>
      <c r="N453" s="11"/>
      <c r="O453" s="11"/>
      <c r="P453" s="11"/>
      <c r="Q453" s="11"/>
    </row>
    <row r="454" ht="15.75" customHeight="1">
      <c r="A454" s="8">
        <v>46130.0</v>
      </c>
      <c r="B454" s="9">
        <f>56+4</f>
        <v>60</v>
      </c>
      <c r="C454" s="9"/>
      <c r="D454" s="10"/>
      <c r="E454" s="10"/>
      <c r="F454" s="10" t="s">
        <v>26</v>
      </c>
      <c r="G454" s="10" t="s">
        <v>26</v>
      </c>
      <c r="H454" s="10"/>
      <c r="I454" s="10"/>
      <c r="J454" s="10"/>
      <c r="K454" s="23" t="s">
        <v>1020</v>
      </c>
      <c r="L454" s="5"/>
      <c r="M454" s="11"/>
      <c r="N454" s="11"/>
      <c r="O454" s="11"/>
      <c r="P454" s="11"/>
      <c r="Q454" s="11"/>
    </row>
    <row r="455" ht="15.75" customHeight="1">
      <c r="A455" s="8"/>
      <c r="B455" s="9"/>
      <c r="C455" s="9"/>
      <c r="D455" s="10"/>
      <c r="E455" s="10"/>
      <c r="F455" s="10"/>
      <c r="G455" s="10"/>
      <c r="H455" s="10"/>
      <c r="I455" s="10"/>
      <c r="J455" s="10"/>
      <c r="K455" s="11"/>
      <c r="L455" s="5"/>
      <c r="M455" s="11"/>
      <c r="N455" s="11"/>
      <c r="O455" s="11"/>
      <c r="P455" s="11"/>
      <c r="Q455" s="11"/>
    </row>
    <row r="456" ht="15.75" customHeight="1">
      <c r="A456" s="8"/>
      <c r="B456" s="9"/>
      <c r="C456" s="9"/>
      <c r="D456" s="10"/>
      <c r="E456" s="10"/>
      <c r="F456" s="10"/>
      <c r="G456" s="10"/>
      <c r="H456" s="10"/>
      <c r="I456" s="10"/>
      <c r="J456" s="10"/>
      <c r="K456" s="11"/>
      <c r="L456" s="5"/>
      <c r="M456" s="11"/>
      <c r="N456" s="11"/>
      <c r="O456" s="11"/>
      <c r="P456" s="11"/>
      <c r="Q456" s="11"/>
    </row>
    <row r="457" ht="15.75" customHeight="1">
      <c r="A457" s="8"/>
      <c r="B457" s="9"/>
      <c r="C457" s="9"/>
      <c r="D457" s="10"/>
      <c r="E457" s="10"/>
      <c r="F457" s="10"/>
      <c r="G457" s="10"/>
      <c r="H457" s="10"/>
      <c r="I457" s="10"/>
      <c r="J457" s="10"/>
      <c r="K457" s="11"/>
      <c r="L457" s="5"/>
      <c r="M457" s="11"/>
      <c r="N457" s="11"/>
      <c r="O457" s="11"/>
      <c r="P457" s="11"/>
      <c r="Q457" s="11"/>
    </row>
    <row r="458" ht="15.75" customHeight="1">
      <c r="A458" s="8"/>
      <c r="B458" s="9"/>
      <c r="C458" s="9"/>
      <c r="D458" s="10"/>
      <c r="E458" s="10"/>
      <c r="F458" s="10"/>
      <c r="G458" s="10"/>
      <c r="H458" s="10"/>
      <c r="I458" s="10"/>
      <c r="J458" s="10"/>
      <c r="K458" s="11"/>
      <c r="L458" s="5"/>
      <c r="M458" s="11"/>
      <c r="N458" s="11"/>
      <c r="O458" s="11"/>
      <c r="P458" s="11"/>
      <c r="Q458" s="11"/>
    </row>
    <row r="459" ht="15.75" customHeight="1">
      <c r="A459" s="8"/>
      <c r="B459" s="9"/>
      <c r="C459" s="9"/>
      <c r="D459" s="10"/>
      <c r="E459" s="10"/>
      <c r="F459" s="10"/>
      <c r="G459" s="10"/>
      <c r="H459" s="10"/>
      <c r="I459" s="10"/>
      <c r="J459" s="10"/>
      <c r="K459" s="11"/>
      <c r="L459" s="5"/>
      <c r="M459" s="11"/>
      <c r="N459" s="11"/>
      <c r="O459" s="11"/>
      <c r="P459" s="11"/>
      <c r="Q459" s="11"/>
    </row>
    <row r="460" ht="15.75" customHeight="1">
      <c r="A460" s="8"/>
      <c r="B460" s="9"/>
      <c r="C460" s="9"/>
      <c r="D460" s="10"/>
      <c r="E460" s="10"/>
      <c r="F460" s="10"/>
      <c r="G460" s="10"/>
      <c r="H460" s="10"/>
      <c r="I460" s="10"/>
      <c r="J460" s="10"/>
      <c r="K460" s="11"/>
      <c r="L460" s="5"/>
      <c r="M460" s="11"/>
      <c r="N460" s="11"/>
      <c r="O460" s="11"/>
      <c r="P460" s="11"/>
      <c r="Q460" s="11"/>
    </row>
    <row r="461" ht="15.75" customHeight="1">
      <c r="A461" s="8"/>
      <c r="B461" s="9"/>
      <c r="C461" s="9"/>
      <c r="D461" s="10"/>
      <c r="E461" s="10"/>
      <c r="F461" s="10"/>
      <c r="G461" s="10"/>
      <c r="H461" s="10"/>
      <c r="I461" s="10"/>
      <c r="J461" s="10"/>
      <c r="K461" s="11"/>
      <c r="L461" s="5"/>
      <c r="M461" s="11"/>
      <c r="N461" s="11"/>
      <c r="O461" s="11"/>
      <c r="P461" s="11"/>
      <c r="Q461" s="11"/>
    </row>
    <row r="462" ht="15.75" customHeight="1">
      <c r="A462" s="8"/>
      <c r="B462" s="9"/>
      <c r="C462" s="9"/>
      <c r="D462" s="10"/>
      <c r="E462" s="10"/>
      <c r="F462" s="10"/>
      <c r="G462" s="10"/>
      <c r="H462" s="10"/>
      <c r="I462" s="10"/>
      <c r="J462" s="10"/>
      <c r="K462" s="11"/>
      <c r="L462" s="5"/>
      <c r="M462" s="11"/>
      <c r="N462" s="11"/>
      <c r="O462" s="11"/>
      <c r="P462" s="11"/>
      <c r="Q462" s="11"/>
    </row>
    <row r="463" ht="15.75" customHeight="1">
      <c r="A463" s="8"/>
      <c r="B463" s="9"/>
      <c r="C463" s="9"/>
      <c r="D463" s="10"/>
      <c r="E463" s="10"/>
      <c r="F463" s="10"/>
      <c r="G463" s="10"/>
      <c r="H463" s="10"/>
      <c r="I463" s="10"/>
      <c r="J463" s="10"/>
      <c r="K463" s="11"/>
      <c r="L463" s="5"/>
      <c r="M463" s="11"/>
      <c r="N463" s="11"/>
      <c r="O463" s="11"/>
      <c r="P463" s="11"/>
      <c r="Q463" s="11"/>
    </row>
    <row r="464" ht="15.75" customHeight="1">
      <c r="A464" s="8"/>
      <c r="B464" s="9"/>
      <c r="C464" s="9"/>
      <c r="D464" s="10"/>
      <c r="E464" s="10"/>
      <c r="F464" s="10"/>
      <c r="G464" s="10"/>
      <c r="H464" s="10"/>
      <c r="I464" s="10"/>
      <c r="J464" s="10"/>
      <c r="K464" s="11"/>
      <c r="L464" s="5"/>
      <c r="M464" s="11"/>
      <c r="N464" s="11"/>
      <c r="O464" s="11"/>
      <c r="P464" s="11"/>
      <c r="Q464" s="11"/>
    </row>
    <row r="465" ht="15.75" customHeight="1">
      <c r="A465" s="8"/>
      <c r="B465" s="9"/>
      <c r="C465" s="9"/>
      <c r="D465" s="10"/>
      <c r="E465" s="10"/>
      <c r="F465" s="10"/>
      <c r="G465" s="10"/>
      <c r="H465" s="10"/>
      <c r="I465" s="10"/>
      <c r="J465" s="10"/>
      <c r="K465" s="11"/>
      <c r="L465" s="5"/>
      <c r="M465" s="11"/>
      <c r="N465" s="11"/>
      <c r="O465" s="11"/>
      <c r="P465" s="11"/>
      <c r="Q465" s="11"/>
    </row>
    <row r="466" ht="15.75" customHeight="1">
      <c r="A466" s="8"/>
      <c r="B466" s="9"/>
      <c r="C466" s="9"/>
      <c r="D466" s="10"/>
      <c r="E466" s="10"/>
      <c r="F466" s="10"/>
      <c r="G466" s="10"/>
      <c r="H466" s="10"/>
      <c r="I466" s="10"/>
      <c r="J466" s="10"/>
      <c r="K466" s="11"/>
      <c r="L466" s="5"/>
      <c r="M466" s="11"/>
      <c r="N466" s="11"/>
      <c r="O466" s="11"/>
      <c r="P466" s="11"/>
      <c r="Q466" s="11"/>
    </row>
    <row r="467" ht="15.75" customHeight="1">
      <c r="A467" s="8"/>
      <c r="B467" s="9"/>
      <c r="C467" s="9"/>
      <c r="D467" s="10"/>
      <c r="E467" s="10"/>
      <c r="F467" s="10"/>
      <c r="G467" s="10"/>
      <c r="H467" s="10"/>
      <c r="I467" s="10"/>
      <c r="J467" s="10"/>
      <c r="K467" s="11"/>
      <c r="L467" s="5"/>
      <c r="M467" s="11"/>
      <c r="N467" s="11"/>
      <c r="O467" s="11"/>
      <c r="P467" s="11"/>
      <c r="Q467" s="11"/>
    </row>
    <row r="468" ht="15.75" customHeight="1">
      <c r="A468" s="8"/>
      <c r="B468" s="9"/>
      <c r="C468" s="9"/>
      <c r="D468" s="10"/>
      <c r="E468" s="10"/>
      <c r="F468" s="10"/>
      <c r="G468" s="10"/>
      <c r="H468" s="10"/>
      <c r="I468" s="10"/>
      <c r="J468" s="10"/>
      <c r="K468" s="11"/>
      <c r="L468" s="5"/>
      <c r="M468" s="11"/>
      <c r="N468" s="11"/>
      <c r="O468" s="11"/>
      <c r="P468" s="11"/>
      <c r="Q468" s="11"/>
    </row>
    <row r="469" ht="15.75" customHeight="1">
      <c r="A469" s="8"/>
      <c r="B469" s="9"/>
      <c r="C469" s="9"/>
      <c r="D469" s="10"/>
      <c r="E469" s="10"/>
      <c r="F469" s="10"/>
      <c r="G469" s="10"/>
      <c r="H469" s="10"/>
      <c r="I469" s="10"/>
      <c r="J469" s="10"/>
      <c r="K469" s="11"/>
      <c r="L469" s="5"/>
      <c r="M469" s="11"/>
      <c r="N469" s="11"/>
      <c r="O469" s="11"/>
      <c r="P469" s="11"/>
      <c r="Q469" s="11"/>
    </row>
    <row r="470" ht="15.75" customHeight="1">
      <c r="A470" s="8"/>
      <c r="B470" s="9"/>
      <c r="C470" s="9"/>
      <c r="D470" s="10"/>
      <c r="E470" s="10"/>
      <c r="F470" s="10"/>
      <c r="G470" s="10"/>
      <c r="H470" s="10"/>
      <c r="I470" s="10"/>
      <c r="J470" s="10"/>
      <c r="K470" s="11"/>
      <c r="L470" s="5"/>
      <c r="M470" s="11"/>
      <c r="N470" s="11"/>
      <c r="O470" s="11"/>
      <c r="P470" s="11"/>
      <c r="Q470" s="11"/>
    </row>
    <row r="471" ht="15.75" customHeight="1">
      <c r="A471" s="8"/>
      <c r="B471" s="9"/>
      <c r="C471" s="9"/>
      <c r="D471" s="10"/>
      <c r="E471" s="10"/>
      <c r="F471" s="10"/>
      <c r="G471" s="10"/>
      <c r="H471" s="10"/>
      <c r="I471" s="10"/>
      <c r="J471" s="10"/>
      <c r="K471" s="11"/>
      <c r="L471" s="5"/>
      <c r="M471" s="11"/>
      <c r="N471" s="11"/>
      <c r="O471" s="11"/>
      <c r="P471" s="11"/>
      <c r="Q471" s="11"/>
    </row>
    <row r="472" ht="15.75" customHeight="1">
      <c r="A472" s="8"/>
      <c r="B472" s="9"/>
      <c r="C472" s="9"/>
      <c r="D472" s="10"/>
      <c r="E472" s="10"/>
      <c r="F472" s="10"/>
      <c r="G472" s="10"/>
      <c r="H472" s="10"/>
      <c r="I472" s="10"/>
      <c r="J472" s="10"/>
      <c r="K472" s="11"/>
      <c r="L472" s="5"/>
      <c r="M472" s="11"/>
      <c r="N472" s="11"/>
      <c r="O472" s="11"/>
      <c r="P472" s="11"/>
      <c r="Q472" s="11"/>
    </row>
    <row r="473" ht="15.75" customHeight="1">
      <c r="A473" s="8"/>
      <c r="B473" s="9"/>
      <c r="C473" s="9"/>
      <c r="D473" s="10"/>
      <c r="E473" s="10"/>
      <c r="F473" s="10"/>
      <c r="G473" s="10"/>
      <c r="H473" s="10"/>
      <c r="I473" s="10"/>
      <c r="J473" s="10"/>
      <c r="K473" s="11"/>
      <c r="L473" s="5"/>
      <c r="M473" s="11"/>
      <c r="N473" s="11"/>
      <c r="O473" s="11"/>
      <c r="P473" s="11"/>
      <c r="Q473" s="11"/>
    </row>
    <row r="474" ht="15.75" customHeight="1">
      <c r="A474" s="8"/>
      <c r="B474" s="9"/>
      <c r="C474" s="9"/>
      <c r="D474" s="10"/>
      <c r="E474" s="10"/>
      <c r="F474" s="10"/>
      <c r="G474" s="10"/>
      <c r="H474" s="10"/>
      <c r="I474" s="10"/>
      <c r="J474" s="10"/>
      <c r="K474" s="11"/>
      <c r="L474" s="5"/>
      <c r="M474" s="11"/>
      <c r="N474" s="11"/>
      <c r="O474" s="11"/>
      <c r="P474" s="11"/>
      <c r="Q474" s="11"/>
    </row>
    <row r="475" ht="15.75" customHeight="1">
      <c r="A475" s="8"/>
      <c r="B475" s="9"/>
      <c r="C475" s="9"/>
      <c r="D475" s="10"/>
      <c r="E475" s="10"/>
      <c r="F475" s="10"/>
      <c r="G475" s="10"/>
      <c r="H475" s="10"/>
      <c r="I475" s="10"/>
      <c r="J475" s="10"/>
      <c r="K475" s="11"/>
      <c r="L475" s="5"/>
      <c r="M475" s="11"/>
      <c r="N475" s="11"/>
      <c r="O475" s="11"/>
      <c r="P475" s="11"/>
      <c r="Q475" s="11"/>
    </row>
    <row r="476" ht="15.75" customHeight="1">
      <c r="A476" s="8"/>
      <c r="B476" s="9"/>
      <c r="C476" s="9"/>
      <c r="D476" s="10"/>
      <c r="E476" s="10"/>
      <c r="F476" s="10"/>
      <c r="G476" s="10"/>
      <c r="H476" s="10"/>
      <c r="I476" s="10"/>
      <c r="J476" s="10"/>
      <c r="K476" s="11"/>
      <c r="L476" s="5"/>
      <c r="M476" s="11"/>
      <c r="N476" s="11"/>
      <c r="O476" s="11"/>
      <c r="P476" s="11"/>
      <c r="Q476" s="11"/>
    </row>
    <row r="477" ht="15.75" customHeight="1">
      <c r="A477" s="8"/>
      <c r="B477" s="9"/>
      <c r="C477" s="9"/>
      <c r="D477" s="10"/>
      <c r="E477" s="10"/>
      <c r="F477" s="10"/>
      <c r="G477" s="10"/>
      <c r="H477" s="10"/>
      <c r="I477" s="10"/>
      <c r="J477" s="10"/>
      <c r="K477" s="11"/>
      <c r="L477" s="5"/>
      <c r="M477" s="11"/>
      <c r="N477" s="11"/>
      <c r="O477" s="11"/>
      <c r="P477" s="11"/>
      <c r="Q477" s="11"/>
    </row>
    <row r="478" ht="15.75" customHeight="1">
      <c r="A478" s="8"/>
      <c r="B478" s="9"/>
      <c r="C478" s="9"/>
      <c r="D478" s="10"/>
      <c r="E478" s="10"/>
      <c r="F478" s="10"/>
      <c r="G478" s="10"/>
      <c r="H478" s="10"/>
      <c r="I478" s="10"/>
      <c r="J478" s="10"/>
      <c r="K478" s="11"/>
      <c r="L478" s="5"/>
      <c r="M478" s="11"/>
      <c r="N478" s="11"/>
      <c r="O478" s="11"/>
      <c r="P478" s="11"/>
      <c r="Q478" s="11"/>
    </row>
    <row r="479" ht="15.75" customHeight="1">
      <c r="A479" s="8"/>
      <c r="B479" s="9"/>
      <c r="C479" s="9"/>
      <c r="D479" s="10"/>
      <c r="E479" s="10"/>
      <c r="F479" s="10"/>
      <c r="G479" s="10"/>
      <c r="H479" s="10"/>
      <c r="I479" s="10"/>
      <c r="J479" s="10"/>
      <c r="K479" s="11"/>
      <c r="L479" s="5"/>
      <c r="M479" s="11"/>
      <c r="N479" s="11"/>
      <c r="O479" s="11"/>
      <c r="P479" s="11"/>
      <c r="Q479" s="11"/>
    </row>
    <row r="480" ht="15.75" customHeight="1">
      <c r="A480" s="8"/>
      <c r="B480" s="9"/>
      <c r="C480" s="9"/>
      <c r="D480" s="10"/>
      <c r="E480" s="10"/>
      <c r="F480" s="10"/>
      <c r="G480" s="10"/>
      <c r="H480" s="10"/>
      <c r="I480" s="10"/>
      <c r="J480" s="10"/>
      <c r="K480" s="11"/>
      <c r="L480" s="5"/>
      <c r="M480" s="11"/>
      <c r="N480" s="11"/>
      <c r="O480" s="11"/>
      <c r="P480" s="11"/>
      <c r="Q480" s="11"/>
    </row>
    <row r="481" ht="15.75" customHeight="1">
      <c r="A481" s="8"/>
      <c r="B481" s="9"/>
      <c r="C481" s="9"/>
      <c r="D481" s="10"/>
      <c r="E481" s="10"/>
      <c r="F481" s="10"/>
      <c r="G481" s="10"/>
      <c r="H481" s="10"/>
      <c r="I481" s="10"/>
      <c r="J481" s="10"/>
      <c r="K481" s="11"/>
      <c r="L481" s="5"/>
      <c r="M481" s="11"/>
      <c r="N481" s="11"/>
      <c r="O481" s="11"/>
      <c r="P481" s="11"/>
      <c r="Q481" s="11"/>
    </row>
    <row r="482" ht="15.75" customHeight="1">
      <c r="A482" s="8"/>
      <c r="B482" s="9"/>
      <c r="C482" s="9"/>
      <c r="D482" s="10"/>
      <c r="E482" s="10"/>
      <c r="F482" s="10"/>
      <c r="G482" s="10"/>
      <c r="H482" s="10"/>
      <c r="I482" s="10"/>
      <c r="J482" s="10"/>
      <c r="K482" s="11"/>
      <c r="L482" s="5"/>
      <c r="M482" s="11"/>
      <c r="N482" s="11"/>
      <c r="O482" s="11"/>
      <c r="P482" s="11"/>
      <c r="Q482" s="11"/>
    </row>
    <row r="483" ht="15.75" customHeight="1">
      <c r="A483" s="8"/>
      <c r="B483" s="9"/>
      <c r="C483" s="9"/>
      <c r="D483" s="10"/>
      <c r="E483" s="10"/>
      <c r="F483" s="10"/>
      <c r="G483" s="10"/>
      <c r="H483" s="10"/>
      <c r="I483" s="10"/>
      <c r="J483" s="10"/>
      <c r="K483" s="11"/>
      <c r="L483" s="5"/>
      <c r="M483" s="11"/>
      <c r="N483" s="11"/>
      <c r="O483" s="11"/>
      <c r="P483" s="11"/>
      <c r="Q483" s="11"/>
    </row>
    <row r="484" ht="15.75" customHeight="1">
      <c r="A484" s="8"/>
      <c r="B484" s="9"/>
      <c r="C484" s="9"/>
      <c r="D484" s="10"/>
      <c r="E484" s="10"/>
      <c r="F484" s="10"/>
      <c r="G484" s="10"/>
      <c r="H484" s="10"/>
      <c r="I484" s="10"/>
      <c r="J484" s="10"/>
      <c r="K484" s="11"/>
      <c r="L484" s="5"/>
      <c r="M484" s="11"/>
      <c r="N484" s="11"/>
      <c r="O484" s="11"/>
      <c r="P484" s="11"/>
      <c r="Q484" s="11"/>
    </row>
    <row r="485" ht="15.75" customHeight="1">
      <c r="A485" s="8"/>
      <c r="B485" s="9"/>
      <c r="C485" s="9"/>
      <c r="D485" s="10"/>
      <c r="E485" s="10"/>
      <c r="F485" s="10"/>
      <c r="G485" s="10"/>
      <c r="H485" s="10"/>
      <c r="I485" s="10"/>
      <c r="J485" s="10"/>
      <c r="K485" s="11"/>
      <c r="L485" s="5"/>
      <c r="M485" s="11"/>
      <c r="N485" s="11"/>
      <c r="O485" s="11"/>
      <c r="P485" s="11"/>
      <c r="Q485" s="11"/>
    </row>
    <row r="486" ht="15.75" customHeight="1">
      <c r="A486" s="8"/>
      <c r="B486" s="9"/>
      <c r="C486" s="9"/>
      <c r="D486" s="10"/>
      <c r="E486" s="10"/>
      <c r="F486" s="10"/>
      <c r="G486" s="10"/>
      <c r="H486" s="10"/>
      <c r="I486" s="10"/>
      <c r="J486" s="10"/>
      <c r="K486" s="11"/>
      <c r="L486" s="5"/>
      <c r="M486" s="11"/>
      <c r="N486" s="11"/>
      <c r="O486" s="11"/>
      <c r="P486" s="11"/>
      <c r="Q486" s="11"/>
    </row>
    <row r="487" ht="15.75" customHeight="1">
      <c r="A487" s="8"/>
      <c r="B487" s="9"/>
      <c r="C487" s="9"/>
      <c r="D487" s="10"/>
      <c r="E487" s="10"/>
      <c r="F487" s="10"/>
      <c r="G487" s="10"/>
      <c r="H487" s="10"/>
      <c r="I487" s="10"/>
      <c r="J487" s="10"/>
      <c r="K487" s="11"/>
      <c r="L487" s="5"/>
      <c r="M487" s="11"/>
      <c r="N487" s="11"/>
      <c r="O487" s="11"/>
      <c r="P487" s="11"/>
      <c r="Q487" s="11"/>
    </row>
    <row r="488" ht="15.75" customHeight="1">
      <c r="A488" s="8"/>
      <c r="B488" s="9"/>
      <c r="C488" s="9"/>
      <c r="D488" s="10"/>
      <c r="E488" s="10"/>
      <c r="F488" s="10"/>
      <c r="G488" s="10"/>
      <c r="H488" s="10"/>
      <c r="I488" s="10"/>
      <c r="J488" s="10"/>
      <c r="K488" s="11"/>
      <c r="L488" s="5"/>
      <c r="M488" s="11"/>
      <c r="N488" s="11"/>
      <c r="O488" s="11"/>
      <c r="P488" s="11"/>
      <c r="Q488" s="11"/>
    </row>
    <row r="489" ht="15.75" customHeight="1">
      <c r="A489" s="8"/>
      <c r="B489" s="9"/>
      <c r="C489" s="9"/>
      <c r="D489" s="10"/>
      <c r="E489" s="10"/>
      <c r="F489" s="10"/>
      <c r="G489" s="10"/>
      <c r="H489" s="10"/>
      <c r="I489" s="10"/>
      <c r="J489" s="10"/>
      <c r="K489" s="11"/>
      <c r="L489" s="5"/>
      <c r="M489" s="11"/>
      <c r="N489" s="11"/>
      <c r="O489" s="11"/>
      <c r="P489" s="11"/>
      <c r="Q489" s="11"/>
    </row>
    <row r="490" ht="15.75" customHeight="1">
      <c r="A490" s="8"/>
      <c r="B490" s="9"/>
      <c r="C490" s="9"/>
      <c r="D490" s="10"/>
      <c r="E490" s="10"/>
      <c r="F490" s="10"/>
      <c r="G490" s="10"/>
      <c r="H490" s="10"/>
      <c r="I490" s="10"/>
      <c r="J490" s="10"/>
      <c r="K490" s="11"/>
      <c r="L490" s="5"/>
      <c r="M490" s="11"/>
      <c r="N490" s="11"/>
      <c r="O490" s="11"/>
      <c r="P490" s="11"/>
      <c r="Q490" s="11"/>
    </row>
    <row r="491" ht="15.75" customHeight="1">
      <c r="A491" s="8"/>
      <c r="B491" s="9"/>
      <c r="C491" s="9"/>
      <c r="D491" s="10"/>
      <c r="E491" s="10"/>
      <c r="F491" s="10"/>
      <c r="G491" s="10"/>
      <c r="H491" s="10"/>
      <c r="I491" s="10"/>
      <c r="J491" s="10"/>
      <c r="K491" s="11"/>
      <c r="L491" s="5"/>
      <c r="M491" s="11"/>
      <c r="N491" s="11"/>
      <c r="O491" s="11"/>
      <c r="P491" s="11"/>
      <c r="Q491" s="11"/>
    </row>
    <row r="492" ht="15.75" customHeight="1">
      <c r="A492" s="8"/>
      <c r="B492" s="9"/>
      <c r="C492" s="9"/>
      <c r="D492" s="10"/>
      <c r="E492" s="10"/>
      <c r="F492" s="10"/>
      <c r="G492" s="10"/>
      <c r="H492" s="10"/>
      <c r="I492" s="10"/>
      <c r="J492" s="10"/>
      <c r="K492" s="11"/>
      <c r="L492" s="5"/>
      <c r="M492" s="11"/>
      <c r="N492" s="11"/>
      <c r="O492" s="11"/>
      <c r="P492" s="11"/>
      <c r="Q492" s="11"/>
    </row>
    <row r="493" ht="15.75" customHeight="1">
      <c r="A493" s="8"/>
      <c r="B493" s="9"/>
      <c r="C493" s="9"/>
      <c r="D493" s="10"/>
      <c r="E493" s="10"/>
      <c r="F493" s="10"/>
      <c r="G493" s="10"/>
      <c r="H493" s="10"/>
      <c r="I493" s="10"/>
      <c r="J493" s="10"/>
      <c r="K493" s="11"/>
      <c r="L493" s="5"/>
      <c r="M493" s="11"/>
      <c r="N493" s="11"/>
      <c r="O493" s="11"/>
      <c r="P493" s="11"/>
      <c r="Q493" s="11"/>
    </row>
    <row r="494" ht="15.75" customHeight="1">
      <c r="A494" s="8"/>
      <c r="B494" s="9"/>
      <c r="C494" s="9"/>
      <c r="D494" s="10"/>
      <c r="E494" s="10"/>
      <c r="F494" s="10"/>
      <c r="G494" s="10"/>
      <c r="H494" s="10"/>
      <c r="I494" s="10"/>
      <c r="J494" s="10"/>
      <c r="K494" s="11"/>
      <c r="L494" s="5"/>
      <c r="M494" s="11"/>
      <c r="N494" s="11"/>
      <c r="O494" s="11"/>
      <c r="P494" s="11"/>
      <c r="Q494" s="11"/>
    </row>
    <row r="495" ht="15.75" customHeight="1">
      <c r="A495" s="8"/>
      <c r="B495" s="9"/>
      <c r="C495" s="9"/>
      <c r="D495" s="10"/>
      <c r="E495" s="10"/>
      <c r="F495" s="10"/>
      <c r="G495" s="10"/>
      <c r="H495" s="10"/>
      <c r="I495" s="10"/>
      <c r="J495" s="10"/>
      <c r="K495" s="11"/>
      <c r="L495" s="5"/>
      <c r="M495" s="11"/>
      <c r="N495" s="11"/>
      <c r="O495" s="11"/>
      <c r="P495" s="11"/>
      <c r="Q495" s="11"/>
    </row>
    <row r="496" ht="15.75" customHeight="1">
      <c r="A496" s="8"/>
      <c r="B496" s="9"/>
      <c r="C496" s="9"/>
      <c r="D496" s="10"/>
      <c r="E496" s="10"/>
      <c r="F496" s="10"/>
      <c r="G496" s="10"/>
      <c r="H496" s="10"/>
      <c r="I496" s="10"/>
      <c r="J496" s="10"/>
      <c r="K496" s="11"/>
      <c r="L496" s="5"/>
      <c r="M496" s="11"/>
      <c r="N496" s="11"/>
      <c r="O496" s="11"/>
      <c r="P496" s="11"/>
      <c r="Q496" s="11"/>
    </row>
    <row r="497" ht="15.75" customHeight="1">
      <c r="A497" s="8"/>
      <c r="B497" s="9"/>
      <c r="C497" s="9"/>
      <c r="D497" s="10"/>
      <c r="E497" s="10"/>
      <c r="F497" s="10"/>
      <c r="G497" s="10"/>
      <c r="H497" s="10"/>
      <c r="I497" s="10"/>
      <c r="J497" s="10"/>
      <c r="K497" s="11"/>
      <c r="L497" s="5"/>
      <c r="M497" s="11"/>
      <c r="N497" s="11"/>
      <c r="O497" s="11"/>
      <c r="P497" s="11"/>
      <c r="Q497" s="11"/>
    </row>
    <row r="498" ht="15.75" customHeight="1">
      <c r="A498" s="8"/>
      <c r="B498" s="9"/>
      <c r="C498" s="9"/>
      <c r="D498" s="10"/>
      <c r="E498" s="10"/>
      <c r="F498" s="10"/>
      <c r="G498" s="10"/>
      <c r="H498" s="10"/>
      <c r="I498" s="10"/>
      <c r="J498" s="10"/>
      <c r="K498" s="11"/>
      <c r="L498" s="5"/>
      <c r="M498" s="11"/>
      <c r="N498" s="11"/>
      <c r="O498" s="11"/>
      <c r="P498" s="11"/>
      <c r="Q498" s="11"/>
    </row>
    <row r="499" ht="15.75" customHeight="1">
      <c r="A499" s="8"/>
      <c r="B499" s="9"/>
      <c r="C499" s="9"/>
      <c r="D499" s="10"/>
      <c r="E499" s="10"/>
      <c r="F499" s="10"/>
      <c r="G499" s="10"/>
      <c r="H499" s="10"/>
      <c r="I499" s="10"/>
      <c r="J499" s="10"/>
      <c r="K499" s="11"/>
      <c r="L499" s="5"/>
      <c r="M499" s="11"/>
      <c r="N499" s="11"/>
      <c r="O499" s="11"/>
      <c r="P499" s="11"/>
      <c r="Q499" s="11"/>
    </row>
    <row r="500" ht="15.75" customHeight="1">
      <c r="A500" s="8"/>
      <c r="B500" s="9"/>
      <c r="C500" s="9"/>
      <c r="D500" s="10"/>
      <c r="E500" s="10"/>
      <c r="F500" s="10"/>
      <c r="G500" s="10"/>
      <c r="H500" s="10"/>
      <c r="I500" s="10"/>
      <c r="J500" s="10"/>
      <c r="K500" s="11"/>
      <c r="L500" s="5"/>
      <c r="M500" s="11"/>
      <c r="N500" s="11"/>
      <c r="O500" s="11"/>
      <c r="P500" s="11"/>
      <c r="Q500" s="11"/>
    </row>
    <row r="501" ht="15.75" customHeight="1">
      <c r="A501" s="8"/>
      <c r="B501" s="9"/>
      <c r="C501" s="9"/>
      <c r="D501" s="10"/>
      <c r="E501" s="10"/>
      <c r="F501" s="10"/>
      <c r="G501" s="10"/>
      <c r="H501" s="10"/>
      <c r="I501" s="10"/>
      <c r="J501" s="10"/>
      <c r="K501" s="11"/>
      <c r="L501" s="5"/>
      <c r="M501" s="11"/>
      <c r="N501" s="11"/>
      <c r="O501" s="11"/>
      <c r="P501" s="11"/>
      <c r="Q501" s="11"/>
    </row>
    <row r="502" ht="15.75" customHeight="1">
      <c r="A502" s="8"/>
      <c r="B502" s="9"/>
      <c r="C502" s="9"/>
      <c r="D502" s="10"/>
      <c r="E502" s="10"/>
      <c r="F502" s="10"/>
      <c r="G502" s="10"/>
      <c r="H502" s="10"/>
      <c r="I502" s="10"/>
      <c r="J502" s="10"/>
      <c r="K502" s="11"/>
      <c r="L502" s="5"/>
      <c r="M502" s="11"/>
      <c r="N502" s="11"/>
      <c r="O502" s="11"/>
      <c r="P502" s="11"/>
      <c r="Q502" s="11"/>
    </row>
    <row r="503" ht="15.75" customHeight="1">
      <c r="A503" s="8"/>
      <c r="B503" s="9"/>
      <c r="C503" s="9"/>
      <c r="D503" s="10"/>
      <c r="E503" s="10"/>
      <c r="F503" s="10"/>
      <c r="G503" s="10"/>
      <c r="H503" s="10"/>
      <c r="I503" s="10"/>
      <c r="J503" s="10"/>
      <c r="K503" s="11"/>
      <c r="L503" s="5"/>
      <c r="M503" s="11"/>
      <c r="N503" s="11"/>
      <c r="O503" s="11"/>
      <c r="P503" s="11"/>
      <c r="Q503" s="11"/>
    </row>
    <row r="504" ht="15.75" customHeight="1">
      <c r="A504" s="8"/>
      <c r="B504" s="9"/>
      <c r="C504" s="9"/>
      <c r="D504" s="10"/>
      <c r="E504" s="10"/>
      <c r="F504" s="10"/>
      <c r="G504" s="10"/>
      <c r="H504" s="10"/>
      <c r="I504" s="10"/>
      <c r="J504" s="10"/>
      <c r="K504" s="11"/>
      <c r="L504" s="5"/>
      <c r="M504" s="11"/>
      <c r="N504" s="11"/>
      <c r="O504" s="11"/>
      <c r="P504" s="11"/>
      <c r="Q504" s="11"/>
    </row>
    <row r="505" ht="15.75" customHeight="1">
      <c r="A505" s="8"/>
      <c r="B505" s="9"/>
      <c r="C505" s="9"/>
      <c r="D505" s="10"/>
      <c r="E505" s="10"/>
      <c r="F505" s="10"/>
      <c r="G505" s="10"/>
      <c r="H505" s="10"/>
      <c r="I505" s="10"/>
      <c r="J505" s="10"/>
      <c r="K505" s="11"/>
      <c r="L505" s="5"/>
      <c r="M505" s="11"/>
      <c r="N505" s="11"/>
      <c r="O505" s="11"/>
      <c r="P505" s="11"/>
      <c r="Q505" s="11"/>
    </row>
    <row r="506" ht="15.75" customHeight="1">
      <c r="A506" s="8"/>
      <c r="B506" s="9"/>
      <c r="C506" s="9"/>
      <c r="D506" s="10"/>
      <c r="E506" s="10"/>
      <c r="F506" s="10"/>
      <c r="G506" s="10"/>
      <c r="H506" s="10"/>
      <c r="I506" s="10"/>
      <c r="J506" s="10"/>
      <c r="K506" s="11"/>
      <c r="L506" s="5"/>
      <c r="M506" s="11"/>
      <c r="N506" s="11"/>
      <c r="O506" s="11"/>
      <c r="P506" s="11"/>
      <c r="Q506" s="11"/>
    </row>
    <row r="507" ht="15.75" customHeight="1">
      <c r="A507" s="8"/>
      <c r="B507" s="9"/>
      <c r="C507" s="9"/>
      <c r="D507" s="10"/>
      <c r="E507" s="10"/>
      <c r="F507" s="10"/>
      <c r="G507" s="10"/>
      <c r="H507" s="10"/>
      <c r="I507" s="10"/>
      <c r="J507" s="10"/>
      <c r="K507" s="11"/>
      <c r="L507" s="5"/>
      <c r="M507" s="11"/>
      <c r="N507" s="11"/>
      <c r="O507" s="11"/>
      <c r="P507" s="11"/>
      <c r="Q507" s="11"/>
    </row>
    <row r="508" ht="15.75" customHeight="1">
      <c r="A508" s="8"/>
      <c r="B508" s="9"/>
      <c r="C508" s="9"/>
      <c r="D508" s="10"/>
      <c r="E508" s="10"/>
      <c r="F508" s="10"/>
      <c r="G508" s="10"/>
      <c r="H508" s="10"/>
      <c r="I508" s="10"/>
      <c r="J508" s="10"/>
      <c r="K508" s="11"/>
      <c r="L508" s="5"/>
      <c r="M508" s="11"/>
      <c r="N508" s="11"/>
      <c r="O508" s="11"/>
      <c r="P508" s="11"/>
      <c r="Q508" s="11"/>
    </row>
    <row r="509" ht="15.75" customHeight="1">
      <c r="A509" s="8"/>
      <c r="B509" s="9"/>
      <c r="C509" s="9"/>
      <c r="D509" s="10"/>
      <c r="E509" s="10"/>
      <c r="F509" s="10"/>
      <c r="G509" s="10"/>
      <c r="H509" s="10"/>
      <c r="I509" s="10"/>
      <c r="J509" s="10"/>
      <c r="K509" s="11"/>
      <c r="L509" s="5"/>
      <c r="M509" s="11"/>
      <c r="N509" s="11"/>
      <c r="O509" s="11"/>
      <c r="P509" s="11"/>
      <c r="Q509" s="11"/>
    </row>
    <row r="510" ht="15.75" customHeight="1">
      <c r="A510" s="8"/>
      <c r="B510" s="9"/>
      <c r="C510" s="9"/>
      <c r="D510" s="10"/>
      <c r="E510" s="10"/>
      <c r="F510" s="10"/>
      <c r="G510" s="10"/>
      <c r="H510" s="10"/>
      <c r="I510" s="10"/>
      <c r="J510" s="10"/>
      <c r="K510" s="11"/>
      <c r="L510" s="5"/>
      <c r="M510" s="11"/>
      <c r="N510" s="11"/>
      <c r="O510" s="11"/>
      <c r="P510" s="11"/>
      <c r="Q510" s="11"/>
    </row>
    <row r="511" ht="15.75" customHeight="1">
      <c r="A511" s="8"/>
      <c r="B511" s="9"/>
      <c r="C511" s="9"/>
      <c r="D511" s="10"/>
      <c r="E511" s="10"/>
      <c r="F511" s="10"/>
      <c r="G511" s="10"/>
      <c r="H511" s="10"/>
      <c r="I511" s="10"/>
      <c r="J511" s="10"/>
      <c r="K511" s="11"/>
      <c r="L511" s="5"/>
      <c r="M511" s="11"/>
      <c r="N511" s="11"/>
      <c r="O511" s="11"/>
      <c r="P511" s="11"/>
      <c r="Q511" s="11"/>
    </row>
    <row r="512" ht="15.75" customHeight="1">
      <c r="A512" s="8"/>
      <c r="B512" s="9"/>
      <c r="C512" s="9"/>
      <c r="D512" s="10"/>
      <c r="E512" s="10"/>
      <c r="F512" s="10"/>
      <c r="G512" s="10"/>
      <c r="H512" s="10"/>
      <c r="I512" s="10"/>
      <c r="J512" s="10"/>
      <c r="K512" s="11"/>
      <c r="L512" s="5"/>
      <c r="M512" s="11"/>
      <c r="N512" s="11"/>
      <c r="O512" s="11"/>
      <c r="P512" s="11"/>
      <c r="Q512" s="11"/>
    </row>
    <row r="513" ht="15.75" customHeight="1">
      <c r="A513" s="8"/>
      <c r="B513" s="9"/>
      <c r="C513" s="9"/>
      <c r="D513" s="10"/>
      <c r="E513" s="10"/>
      <c r="F513" s="10"/>
      <c r="G513" s="10"/>
      <c r="H513" s="10"/>
      <c r="I513" s="10"/>
      <c r="J513" s="10"/>
      <c r="K513" s="11"/>
      <c r="L513" s="5"/>
      <c r="M513" s="11"/>
      <c r="N513" s="11"/>
      <c r="O513" s="11"/>
      <c r="P513" s="11"/>
      <c r="Q513" s="11"/>
    </row>
    <row r="514" ht="15.75" customHeight="1">
      <c r="A514" s="8"/>
      <c r="B514" s="9"/>
      <c r="C514" s="9"/>
      <c r="D514" s="10"/>
      <c r="E514" s="10"/>
      <c r="F514" s="10"/>
      <c r="G514" s="10"/>
      <c r="H514" s="10"/>
      <c r="I514" s="10"/>
      <c r="J514" s="10"/>
      <c r="K514" s="11"/>
      <c r="L514" s="5"/>
      <c r="M514" s="11"/>
      <c r="N514" s="11"/>
      <c r="O514" s="11"/>
      <c r="P514" s="11"/>
      <c r="Q514" s="11"/>
    </row>
    <row r="515" ht="15.75" customHeight="1">
      <c r="A515" s="8"/>
      <c r="B515" s="9"/>
      <c r="C515" s="9"/>
      <c r="D515" s="10"/>
      <c r="E515" s="10"/>
      <c r="F515" s="10"/>
      <c r="G515" s="10"/>
      <c r="H515" s="10"/>
      <c r="I515" s="10"/>
      <c r="J515" s="10"/>
      <c r="K515" s="11"/>
      <c r="L515" s="5"/>
      <c r="M515" s="11"/>
      <c r="N515" s="11"/>
      <c r="O515" s="11"/>
      <c r="P515" s="11"/>
      <c r="Q515" s="11"/>
    </row>
    <row r="516" ht="15.75" customHeight="1">
      <c r="A516" s="8"/>
      <c r="B516" s="9"/>
      <c r="C516" s="9"/>
      <c r="D516" s="10"/>
      <c r="E516" s="10"/>
      <c r="F516" s="10"/>
      <c r="G516" s="10"/>
      <c r="H516" s="10"/>
      <c r="I516" s="10"/>
      <c r="J516" s="10"/>
      <c r="K516" s="11"/>
      <c r="L516" s="5"/>
      <c r="M516" s="11"/>
      <c r="N516" s="11"/>
      <c r="O516" s="11"/>
      <c r="P516" s="11"/>
      <c r="Q516" s="11"/>
    </row>
    <row r="517" ht="15.75" customHeight="1">
      <c r="A517" s="8"/>
      <c r="B517" s="9"/>
      <c r="C517" s="9"/>
      <c r="D517" s="10"/>
      <c r="E517" s="10"/>
      <c r="F517" s="10"/>
      <c r="G517" s="10"/>
      <c r="H517" s="10"/>
      <c r="I517" s="10"/>
      <c r="J517" s="10"/>
      <c r="K517" s="11"/>
      <c r="L517" s="5"/>
      <c r="M517" s="11"/>
      <c r="N517" s="11"/>
      <c r="O517" s="11"/>
      <c r="P517" s="11"/>
      <c r="Q517" s="11"/>
    </row>
    <row r="518" ht="15.75" customHeight="1">
      <c r="A518" s="8"/>
      <c r="B518" s="9"/>
      <c r="C518" s="9"/>
      <c r="D518" s="10"/>
      <c r="E518" s="10"/>
      <c r="F518" s="10"/>
      <c r="G518" s="10"/>
      <c r="H518" s="10"/>
      <c r="I518" s="10"/>
      <c r="J518" s="10"/>
      <c r="K518" s="11"/>
      <c r="L518" s="5"/>
      <c r="M518" s="11"/>
      <c r="N518" s="11"/>
      <c r="O518" s="11"/>
      <c r="P518" s="11"/>
      <c r="Q518" s="11"/>
    </row>
    <row r="519" ht="15.75" customHeight="1">
      <c r="A519" s="8"/>
      <c r="B519" s="9"/>
      <c r="C519" s="9"/>
      <c r="D519" s="10"/>
      <c r="E519" s="10"/>
      <c r="F519" s="10"/>
      <c r="G519" s="10"/>
      <c r="H519" s="10"/>
      <c r="I519" s="10"/>
      <c r="J519" s="10"/>
      <c r="K519" s="11"/>
      <c r="L519" s="5"/>
      <c r="M519" s="11"/>
      <c r="N519" s="11"/>
      <c r="O519" s="11"/>
      <c r="P519" s="11"/>
      <c r="Q519" s="11"/>
    </row>
    <row r="520" ht="15.75" customHeight="1">
      <c r="A520" s="8"/>
      <c r="B520" s="9"/>
      <c r="C520" s="9"/>
      <c r="D520" s="10"/>
      <c r="E520" s="10"/>
      <c r="F520" s="10"/>
      <c r="G520" s="10"/>
      <c r="H520" s="10"/>
      <c r="I520" s="10"/>
      <c r="J520" s="10"/>
      <c r="K520" s="11"/>
      <c r="L520" s="5"/>
      <c r="M520" s="11"/>
      <c r="N520" s="11"/>
      <c r="O520" s="11"/>
      <c r="P520" s="11"/>
      <c r="Q520" s="11"/>
    </row>
    <row r="521" ht="15.75" customHeight="1">
      <c r="A521" s="8"/>
      <c r="B521" s="9"/>
      <c r="C521" s="9"/>
      <c r="D521" s="10"/>
      <c r="E521" s="10"/>
      <c r="F521" s="10"/>
      <c r="G521" s="10"/>
      <c r="H521" s="10"/>
      <c r="I521" s="10"/>
      <c r="J521" s="10"/>
      <c r="K521" s="11"/>
      <c r="L521" s="5"/>
      <c r="M521" s="11"/>
      <c r="N521" s="11"/>
      <c r="O521" s="11"/>
      <c r="P521" s="11"/>
      <c r="Q521" s="11"/>
    </row>
    <row r="522" ht="15.75" customHeight="1">
      <c r="A522" s="8"/>
      <c r="B522" s="9"/>
      <c r="C522" s="9"/>
      <c r="D522" s="10"/>
      <c r="E522" s="10"/>
      <c r="F522" s="10"/>
      <c r="G522" s="10"/>
      <c r="H522" s="10"/>
      <c r="I522" s="10"/>
      <c r="J522" s="10"/>
      <c r="K522" s="11"/>
      <c r="L522" s="5"/>
      <c r="M522" s="11"/>
      <c r="N522" s="11"/>
      <c r="O522" s="11"/>
      <c r="P522" s="11"/>
      <c r="Q522" s="11"/>
    </row>
    <row r="523" ht="15.75" customHeight="1">
      <c r="A523" s="8"/>
      <c r="B523" s="9"/>
      <c r="C523" s="9"/>
      <c r="D523" s="10"/>
      <c r="E523" s="10"/>
      <c r="F523" s="10"/>
      <c r="G523" s="10"/>
      <c r="H523" s="10"/>
      <c r="I523" s="10"/>
      <c r="J523" s="10"/>
      <c r="K523" s="11"/>
      <c r="L523" s="5"/>
      <c r="M523" s="11"/>
      <c r="N523" s="11"/>
      <c r="O523" s="11"/>
      <c r="P523" s="11"/>
      <c r="Q523" s="11"/>
    </row>
    <row r="524" ht="15.75" customHeight="1">
      <c r="A524" s="8"/>
      <c r="B524" s="9"/>
      <c r="C524" s="9"/>
      <c r="D524" s="10"/>
      <c r="E524" s="10"/>
      <c r="F524" s="10"/>
      <c r="G524" s="10"/>
      <c r="H524" s="10"/>
      <c r="I524" s="10"/>
      <c r="J524" s="10"/>
      <c r="K524" s="11"/>
      <c r="L524" s="5"/>
      <c r="M524" s="11"/>
      <c r="N524" s="11"/>
      <c r="O524" s="11"/>
      <c r="P524" s="11"/>
      <c r="Q524" s="11"/>
    </row>
    <row r="525" ht="15.75" customHeight="1">
      <c r="A525" s="8"/>
      <c r="B525" s="9"/>
      <c r="C525" s="9"/>
      <c r="D525" s="10"/>
      <c r="E525" s="10"/>
      <c r="F525" s="10"/>
      <c r="G525" s="10"/>
      <c r="H525" s="10"/>
      <c r="I525" s="10"/>
      <c r="J525" s="10"/>
      <c r="K525" s="11"/>
      <c r="L525" s="5"/>
      <c r="M525" s="11"/>
      <c r="N525" s="11"/>
      <c r="O525" s="11"/>
      <c r="P525" s="11"/>
      <c r="Q525" s="11"/>
    </row>
    <row r="526" ht="15.75" customHeight="1">
      <c r="A526" s="8"/>
      <c r="B526" s="9"/>
      <c r="C526" s="9"/>
      <c r="D526" s="10"/>
      <c r="E526" s="10"/>
      <c r="F526" s="10"/>
      <c r="G526" s="10"/>
      <c r="H526" s="10"/>
      <c r="I526" s="10"/>
      <c r="J526" s="10"/>
      <c r="K526" s="11"/>
      <c r="L526" s="5"/>
      <c r="M526" s="11"/>
      <c r="N526" s="11"/>
      <c r="O526" s="11"/>
      <c r="P526" s="11"/>
      <c r="Q526" s="11"/>
    </row>
    <row r="527" ht="15.75" customHeight="1">
      <c r="A527" s="8"/>
      <c r="B527" s="9"/>
      <c r="C527" s="9"/>
      <c r="D527" s="10"/>
      <c r="E527" s="10"/>
      <c r="F527" s="10"/>
      <c r="G527" s="10"/>
      <c r="H527" s="10"/>
      <c r="I527" s="10"/>
      <c r="J527" s="10"/>
      <c r="K527" s="11"/>
      <c r="L527" s="5"/>
      <c r="M527" s="11"/>
      <c r="N527" s="11"/>
      <c r="O527" s="11"/>
      <c r="P527" s="11"/>
      <c r="Q527" s="11"/>
    </row>
    <row r="528" ht="15.75" customHeight="1">
      <c r="A528" s="8"/>
      <c r="B528" s="9"/>
      <c r="C528" s="9"/>
      <c r="D528" s="10"/>
      <c r="E528" s="10"/>
      <c r="F528" s="10"/>
      <c r="G528" s="10"/>
      <c r="H528" s="10"/>
      <c r="I528" s="10"/>
      <c r="J528" s="10"/>
      <c r="K528" s="11"/>
      <c r="L528" s="5"/>
      <c r="M528" s="11"/>
      <c r="N528" s="11"/>
      <c r="O528" s="11"/>
      <c r="P528" s="11"/>
      <c r="Q528" s="11"/>
    </row>
    <row r="529" ht="15.75" customHeight="1">
      <c r="A529" s="8"/>
      <c r="B529" s="9"/>
      <c r="C529" s="9"/>
      <c r="D529" s="10"/>
      <c r="E529" s="10"/>
      <c r="F529" s="10"/>
      <c r="G529" s="10"/>
      <c r="H529" s="10"/>
      <c r="I529" s="10"/>
      <c r="J529" s="10"/>
      <c r="K529" s="11"/>
      <c r="L529" s="5"/>
      <c r="M529" s="11"/>
      <c r="N529" s="11"/>
      <c r="O529" s="11"/>
      <c r="P529" s="11"/>
      <c r="Q529" s="11"/>
    </row>
    <row r="530" ht="15.75" customHeight="1">
      <c r="A530" s="8"/>
      <c r="B530" s="9"/>
      <c r="C530" s="9"/>
      <c r="D530" s="10"/>
      <c r="E530" s="10"/>
      <c r="F530" s="10"/>
      <c r="G530" s="10"/>
      <c r="H530" s="10"/>
      <c r="I530" s="10"/>
      <c r="J530" s="10"/>
      <c r="K530" s="11"/>
      <c r="L530" s="5"/>
      <c r="M530" s="11"/>
      <c r="N530" s="11"/>
      <c r="O530" s="11"/>
      <c r="P530" s="11"/>
      <c r="Q530" s="11"/>
    </row>
    <row r="531" ht="15.75" customHeight="1">
      <c r="A531" s="8"/>
      <c r="B531" s="9"/>
      <c r="C531" s="9"/>
      <c r="D531" s="10"/>
      <c r="E531" s="10"/>
      <c r="F531" s="10"/>
      <c r="G531" s="10"/>
      <c r="H531" s="10"/>
      <c r="I531" s="10"/>
      <c r="J531" s="10"/>
      <c r="K531" s="11"/>
      <c r="L531" s="5"/>
      <c r="M531" s="11"/>
      <c r="N531" s="11"/>
      <c r="O531" s="11"/>
      <c r="P531" s="11"/>
      <c r="Q531" s="11"/>
    </row>
    <row r="532" ht="15.75" customHeight="1">
      <c r="A532" s="8"/>
      <c r="B532" s="9"/>
      <c r="C532" s="9"/>
      <c r="D532" s="10"/>
      <c r="E532" s="10"/>
      <c r="F532" s="10"/>
      <c r="G532" s="10"/>
      <c r="H532" s="10"/>
      <c r="I532" s="10"/>
      <c r="J532" s="10"/>
      <c r="K532" s="11"/>
      <c r="L532" s="5"/>
      <c r="M532" s="11"/>
      <c r="N532" s="11"/>
      <c r="O532" s="11"/>
      <c r="P532" s="11"/>
      <c r="Q532" s="11"/>
    </row>
    <row r="533" ht="15.75" customHeight="1">
      <c r="A533" s="8"/>
      <c r="B533" s="9"/>
      <c r="C533" s="9"/>
      <c r="D533" s="10"/>
      <c r="E533" s="10"/>
      <c r="F533" s="10"/>
      <c r="G533" s="10"/>
      <c r="H533" s="10"/>
      <c r="I533" s="10"/>
      <c r="J533" s="10"/>
      <c r="K533" s="11"/>
      <c r="L533" s="5"/>
      <c r="M533" s="11"/>
      <c r="N533" s="11"/>
      <c r="O533" s="11"/>
      <c r="P533" s="11"/>
      <c r="Q533" s="11"/>
    </row>
    <row r="534" ht="15.75" customHeight="1">
      <c r="A534" s="8"/>
      <c r="B534" s="9"/>
      <c r="C534" s="9"/>
      <c r="D534" s="10"/>
      <c r="E534" s="10"/>
      <c r="F534" s="10"/>
      <c r="G534" s="10"/>
      <c r="H534" s="10"/>
      <c r="I534" s="10"/>
      <c r="J534" s="10"/>
      <c r="K534" s="11"/>
      <c r="L534" s="5"/>
      <c r="M534" s="11"/>
      <c r="N534" s="11"/>
      <c r="O534" s="11"/>
      <c r="P534" s="11"/>
      <c r="Q534" s="11"/>
    </row>
    <row r="535" ht="15.75" customHeight="1">
      <c r="A535" s="8"/>
      <c r="B535" s="9"/>
      <c r="C535" s="9"/>
      <c r="D535" s="10"/>
      <c r="E535" s="10"/>
      <c r="F535" s="10"/>
      <c r="G535" s="10"/>
      <c r="H535" s="10"/>
      <c r="I535" s="10"/>
      <c r="J535" s="10"/>
      <c r="K535" s="11"/>
      <c r="L535" s="5"/>
      <c r="M535" s="11"/>
      <c r="N535" s="11"/>
      <c r="O535" s="11"/>
      <c r="P535" s="11"/>
      <c r="Q535" s="11"/>
    </row>
    <row r="536" ht="15.75" customHeight="1">
      <c r="A536" s="8"/>
      <c r="B536" s="9"/>
      <c r="C536" s="9"/>
      <c r="D536" s="10"/>
      <c r="E536" s="10"/>
      <c r="F536" s="10"/>
      <c r="G536" s="10"/>
      <c r="H536" s="10"/>
      <c r="I536" s="10"/>
      <c r="J536" s="10"/>
      <c r="K536" s="11"/>
      <c r="L536" s="5"/>
      <c r="M536" s="11"/>
      <c r="N536" s="11"/>
      <c r="O536" s="11"/>
      <c r="P536" s="11"/>
      <c r="Q536" s="11"/>
    </row>
    <row r="537" ht="15.75" customHeight="1">
      <c r="A537" s="8"/>
      <c r="B537" s="9"/>
      <c r="C537" s="9"/>
      <c r="D537" s="10"/>
      <c r="E537" s="10"/>
      <c r="F537" s="10"/>
      <c r="G537" s="10"/>
      <c r="H537" s="10"/>
      <c r="I537" s="10"/>
      <c r="J537" s="10"/>
      <c r="K537" s="11"/>
      <c r="L537" s="5"/>
      <c r="M537" s="11"/>
      <c r="N537" s="11"/>
      <c r="O537" s="11"/>
      <c r="P537" s="11"/>
      <c r="Q537" s="11"/>
    </row>
    <row r="538" ht="15.75" customHeight="1">
      <c r="A538" s="8"/>
      <c r="B538" s="9"/>
      <c r="C538" s="9"/>
      <c r="D538" s="10"/>
      <c r="E538" s="10"/>
      <c r="F538" s="10"/>
      <c r="G538" s="10"/>
      <c r="H538" s="10"/>
      <c r="I538" s="10"/>
      <c r="J538" s="10"/>
      <c r="K538" s="11"/>
      <c r="L538" s="5"/>
      <c r="M538" s="11"/>
      <c r="N538" s="11"/>
      <c r="O538" s="11"/>
      <c r="P538" s="11"/>
      <c r="Q538" s="11"/>
    </row>
    <row r="539" ht="15.75" customHeight="1">
      <c r="A539" s="8"/>
      <c r="B539" s="9"/>
      <c r="C539" s="9"/>
      <c r="D539" s="10"/>
      <c r="E539" s="10"/>
      <c r="F539" s="10"/>
      <c r="G539" s="10"/>
      <c r="H539" s="10"/>
      <c r="I539" s="10"/>
      <c r="J539" s="10"/>
      <c r="K539" s="11"/>
      <c r="L539" s="5"/>
      <c r="M539" s="11"/>
      <c r="N539" s="11"/>
      <c r="O539" s="11"/>
      <c r="P539" s="11"/>
      <c r="Q539" s="11"/>
    </row>
    <row r="540" ht="15.75" customHeight="1">
      <c r="A540" s="8"/>
      <c r="B540" s="9"/>
      <c r="C540" s="9"/>
      <c r="D540" s="10"/>
      <c r="E540" s="10"/>
      <c r="F540" s="10"/>
      <c r="G540" s="10"/>
      <c r="H540" s="10"/>
      <c r="I540" s="10"/>
      <c r="J540" s="10"/>
      <c r="K540" s="11"/>
      <c r="L540" s="5"/>
      <c r="M540" s="11"/>
      <c r="N540" s="11"/>
      <c r="O540" s="11"/>
      <c r="P540" s="11"/>
      <c r="Q540" s="11"/>
    </row>
    <row r="541" ht="15.75" customHeight="1">
      <c r="A541" s="8"/>
      <c r="B541" s="9"/>
      <c r="C541" s="9"/>
      <c r="D541" s="10"/>
      <c r="E541" s="10"/>
      <c r="F541" s="10"/>
      <c r="G541" s="10"/>
      <c r="H541" s="10"/>
      <c r="I541" s="10"/>
      <c r="J541" s="10"/>
      <c r="K541" s="11"/>
      <c r="L541" s="5"/>
      <c r="M541" s="11"/>
      <c r="N541" s="11"/>
      <c r="O541" s="11"/>
      <c r="P541" s="11"/>
      <c r="Q541" s="11"/>
    </row>
    <row r="542" ht="15.75" customHeight="1">
      <c r="A542" s="8"/>
      <c r="B542" s="9"/>
      <c r="C542" s="9"/>
      <c r="D542" s="10"/>
      <c r="E542" s="10"/>
      <c r="F542" s="10"/>
      <c r="G542" s="10"/>
      <c r="H542" s="10"/>
      <c r="I542" s="10"/>
      <c r="J542" s="10"/>
      <c r="K542" s="11"/>
      <c r="L542" s="5"/>
      <c r="M542" s="11"/>
      <c r="N542" s="11"/>
      <c r="O542" s="11"/>
      <c r="P542" s="11"/>
      <c r="Q542" s="11"/>
    </row>
    <row r="543" ht="15.75" customHeight="1">
      <c r="A543" s="8"/>
      <c r="B543" s="9"/>
      <c r="C543" s="9"/>
      <c r="D543" s="10"/>
      <c r="E543" s="10"/>
      <c r="F543" s="10"/>
      <c r="G543" s="10"/>
      <c r="H543" s="10"/>
      <c r="I543" s="10"/>
      <c r="J543" s="10"/>
      <c r="K543" s="11"/>
      <c r="L543" s="5"/>
      <c r="M543" s="11"/>
      <c r="N543" s="11"/>
      <c r="O543" s="11"/>
      <c r="P543" s="11"/>
      <c r="Q543" s="11"/>
    </row>
    <row r="544" ht="15.75" customHeight="1">
      <c r="A544" s="8"/>
      <c r="B544" s="9"/>
      <c r="C544" s="9"/>
      <c r="D544" s="10"/>
      <c r="E544" s="10"/>
      <c r="F544" s="10"/>
      <c r="G544" s="10"/>
      <c r="H544" s="10"/>
      <c r="I544" s="10"/>
      <c r="J544" s="10"/>
      <c r="K544" s="11"/>
      <c r="L544" s="5"/>
      <c r="M544" s="11"/>
      <c r="N544" s="11"/>
      <c r="O544" s="11"/>
      <c r="P544" s="11"/>
      <c r="Q544" s="11"/>
    </row>
    <row r="545" ht="15.75" customHeight="1">
      <c r="A545" s="8"/>
      <c r="B545" s="9"/>
      <c r="C545" s="9"/>
      <c r="D545" s="10"/>
      <c r="E545" s="10"/>
      <c r="F545" s="10"/>
      <c r="G545" s="10"/>
      <c r="H545" s="10"/>
      <c r="I545" s="10"/>
      <c r="J545" s="10"/>
      <c r="K545" s="11"/>
      <c r="L545" s="5"/>
      <c r="M545" s="11"/>
      <c r="N545" s="11"/>
      <c r="O545" s="11"/>
      <c r="P545" s="11"/>
      <c r="Q545" s="11"/>
    </row>
    <row r="546" ht="15.75" customHeight="1">
      <c r="A546" s="8"/>
      <c r="B546" s="9"/>
      <c r="C546" s="9"/>
      <c r="D546" s="10"/>
      <c r="E546" s="10"/>
      <c r="F546" s="10"/>
      <c r="G546" s="10"/>
      <c r="H546" s="10"/>
      <c r="I546" s="10"/>
      <c r="J546" s="10"/>
      <c r="K546" s="11"/>
      <c r="L546" s="5"/>
      <c r="M546" s="11"/>
      <c r="N546" s="11"/>
      <c r="O546" s="11"/>
      <c r="P546" s="11"/>
      <c r="Q546" s="11"/>
    </row>
    <row r="547" ht="15.75" customHeight="1">
      <c r="A547" s="8"/>
      <c r="B547" s="9"/>
      <c r="C547" s="9"/>
      <c r="D547" s="10"/>
      <c r="E547" s="10"/>
      <c r="F547" s="10"/>
      <c r="G547" s="10"/>
      <c r="H547" s="10"/>
      <c r="I547" s="10"/>
      <c r="J547" s="10"/>
      <c r="K547" s="11"/>
      <c r="L547" s="5"/>
      <c r="M547" s="11"/>
      <c r="N547" s="11"/>
      <c r="O547" s="11"/>
      <c r="P547" s="11"/>
      <c r="Q547" s="11"/>
    </row>
    <row r="548" ht="15.75" customHeight="1">
      <c r="A548" s="8"/>
      <c r="B548" s="9"/>
      <c r="C548" s="9"/>
      <c r="D548" s="10"/>
      <c r="E548" s="10"/>
      <c r="F548" s="10"/>
      <c r="G548" s="10"/>
      <c r="H548" s="10"/>
      <c r="I548" s="10"/>
      <c r="J548" s="10"/>
      <c r="K548" s="11"/>
      <c r="L548" s="5"/>
      <c r="M548" s="11"/>
      <c r="N548" s="11"/>
      <c r="O548" s="11"/>
      <c r="P548" s="11"/>
      <c r="Q548" s="11"/>
    </row>
    <row r="549" ht="15.75" customHeight="1">
      <c r="A549" s="8"/>
      <c r="B549" s="9"/>
      <c r="C549" s="9"/>
      <c r="D549" s="10"/>
      <c r="E549" s="10"/>
      <c r="F549" s="10"/>
      <c r="G549" s="10"/>
      <c r="H549" s="10"/>
      <c r="I549" s="10"/>
      <c r="J549" s="10"/>
      <c r="K549" s="11"/>
      <c r="L549" s="5"/>
      <c r="M549" s="11"/>
      <c r="N549" s="11"/>
      <c r="O549" s="11"/>
      <c r="P549" s="11"/>
      <c r="Q549" s="11"/>
    </row>
    <row r="550" ht="15.75" customHeight="1">
      <c r="A550" s="8"/>
      <c r="B550" s="9"/>
      <c r="C550" s="9"/>
      <c r="D550" s="10"/>
      <c r="E550" s="10"/>
      <c r="F550" s="10"/>
      <c r="G550" s="10"/>
      <c r="H550" s="10"/>
      <c r="I550" s="10"/>
      <c r="J550" s="10"/>
      <c r="K550" s="11"/>
      <c r="L550" s="5"/>
      <c r="M550" s="11"/>
      <c r="N550" s="11"/>
      <c r="O550" s="11"/>
      <c r="P550" s="11"/>
      <c r="Q550" s="11"/>
    </row>
    <row r="551" ht="15.75" customHeight="1">
      <c r="A551" s="8"/>
      <c r="B551" s="9"/>
      <c r="C551" s="9"/>
      <c r="D551" s="10"/>
      <c r="E551" s="10"/>
      <c r="F551" s="10"/>
      <c r="G551" s="10"/>
      <c r="H551" s="10"/>
      <c r="I551" s="10"/>
      <c r="J551" s="10"/>
      <c r="K551" s="11"/>
      <c r="L551" s="5"/>
      <c r="M551" s="11"/>
      <c r="N551" s="11"/>
      <c r="O551" s="11"/>
      <c r="P551" s="11"/>
      <c r="Q551" s="11"/>
    </row>
    <row r="552" ht="15.75" customHeight="1">
      <c r="A552" s="8"/>
      <c r="B552" s="9"/>
      <c r="C552" s="9"/>
      <c r="D552" s="10"/>
      <c r="E552" s="10"/>
      <c r="F552" s="10"/>
      <c r="G552" s="10"/>
      <c r="H552" s="10"/>
      <c r="I552" s="10"/>
      <c r="J552" s="10"/>
      <c r="K552" s="11"/>
      <c r="L552" s="5"/>
      <c r="M552" s="11"/>
      <c r="N552" s="11"/>
      <c r="O552" s="11"/>
      <c r="P552" s="11"/>
      <c r="Q552" s="11"/>
    </row>
    <row r="553" ht="15.75" customHeight="1">
      <c r="A553" s="8"/>
      <c r="B553" s="9"/>
      <c r="C553" s="9"/>
      <c r="D553" s="10"/>
      <c r="E553" s="10"/>
      <c r="F553" s="10"/>
      <c r="G553" s="10"/>
      <c r="H553" s="10"/>
      <c r="I553" s="10"/>
      <c r="J553" s="10"/>
      <c r="K553" s="11"/>
      <c r="L553" s="5"/>
      <c r="M553" s="11"/>
      <c r="N553" s="11"/>
      <c r="O553" s="11"/>
      <c r="P553" s="11"/>
      <c r="Q553" s="11"/>
    </row>
    <row r="554" ht="15.75" customHeight="1">
      <c r="A554" s="8"/>
      <c r="B554" s="9"/>
      <c r="C554" s="9"/>
      <c r="D554" s="10"/>
      <c r="E554" s="10"/>
      <c r="F554" s="10"/>
      <c r="G554" s="10"/>
      <c r="H554" s="10"/>
      <c r="I554" s="10"/>
      <c r="J554" s="10"/>
      <c r="K554" s="11"/>
      <c r="L554" s="5"/>
      <c r="M554" s="11"/>
      <c r="N554" s="11"/>
      <c r="O554" s="11"/>
      <c r="P554" s="11"/>
      <c r="Q554" s="11"/>
    </row>
    <row r="555" ht="15.75" customHeight="1">
      <c r="A555" s="8"/>
      <c r="B555" s="9"/>
      <c r="C555" s="9"/>
      <c r="D555" s="10"/>
      <c r="E555" s="10"/>
      <c r="F555" s="10"/>
      <c r="G555" s="10"/>
      <c r="H555" s="10"/>
      <c r="I555" s="10"/>
      <c r="J555" s="10"/>
      <c r="K555" s="11"/>
      <c r="L555" s="5"/>
      <c r="M555" s="11"/>
      <c r="N555" s="11"/>
      <c r="O555" s="11"/>
      <c r="P555" s="11"/>
      <c r="Q555" s="11"/>
    </row>
    <row r="556" ht="15.75" customHeight="1">
      <c r="A556" s="8"/>
      <c r="B556" s="9"/>
      <c r="C556" s="9"/>
      <c r="D556" s="10"/>
      <c r="E556" s="10"/>
      <c r="F556" s="10"/>
      <c r="G556" s="10"/>
      <c r="H556" s="10"/>
      <c r="I556" s="10"/>
      <c r="J556" s="10"/>
      <c r="K556" s="11"/>
      <c r="L556" s="5"/>
      <c r="M556" s="11"/>
      <c r="N556" s="11"/>
      <c r="O556" s="11"/>
      <c r="P556" s="11"/>
      <c r="Q556" s="11"/>
    </row>
    <row r="557" ht="15.75" customHeight="1">
      <c r="A557" s="8"/>
      <c r="B557" s="9"/>
      <c r="C557" s="9"/>
      <c r="D557" s="10"/>
      <c r="E557" s="10"/>
      <c r="F557" s="10"/>
      <c r="G557" s="10"/>
      <c r="H557" s="10"/>
      <c r="I557" s="10"/>
      <c r="J557" s="10"/>
      <c r="K557" s="11"/>
      <c r="L557" s="5"/>
      <c r="M557" s="11"/>
      <c r="N557" s="11"/>
      <c r="O557" s="11"/>
      <c r="P557" s="11"/>
      <c r="Q557" s="11"/>
    </row>
    <row r="558" ht="15.75" customHeight="1">
      <c r="A558" s="8"/>
      <c r="B558" s="9"/>
      <c r="C558" s="9"/>
      <c r="D558" s="10"/>
      <c r="E558" s="10"/>
      <c r="F558" s="10"/>
      <c r="G558" s="10"/>
      <c r="H558" s="10"/>
      <c r="I558" s="10"/>
      <c r="J558" s="10"/>
      <c r="K558" s="11"/>
      <c r="L558" s="5"/>
      <c r="M558" s="11"/>
      <c r="N558" s="11"/>
      <c r="O558" s="11"/>
      <c r="P558" s="11"/>
      <c r="Q558" s="11"/>
    </row>
    <row r="559" ht="15.75" customHeight="1">
      <c r="A559" s="8"/>
      <c r="B559" s="9"/>
      <c r="C559" s="9"/>
      <c r="D559" s="10"/>
      <c r="E559" s="10"/>
      <c r="F559" s="10"/>
      <c r="G559" s="10"/>
      <c r="H559" s="10"/>
      <c r="I559" s="10"/>
      <c r="J559" s="10"/>
      <c r="K559" s="11"/>
      <c r="L559" s="5"/>
      <c r="M559" s="11"/>
      <c r="N559" s="11"/>
      <c r="O559" s="11"/>
      <c r="P559" s="11"/>
      <c r="Q559" s="11"/>
    </row>
    <row r="560" ht="15.75" customHeight="1">
      <c r="A560" s="8"/>
      <c r="B560" s="9"/>
      <c r="C560" s="9"/>
      <c r="D560" s="10"/>
      <c r="E560" s="10"/>
      <c r="F560" s="10"/>
      <c r="G560" s="10"/>
      <c r="H560" s="10"/>
      <c r="I560" s="10"/>
      <c r="J560" s="10"/>
      <c r="K560" s="11"/>
      <c r="L560" s="5"/>
      <c r="M560" s="11"/>
      <c r="N560" s="11"/>
      <c r="O560" s="11"/>
      <c r="P560" s="11"/>
      <c r="Q560" s="11"/>
    </row>
    <row r="561" ht="15.75" customHeight="1">
      <c r="A561" s="8"/>
      <c r="B561" s="9"/>
      <c r="C561" s="9"/>
      <c r="D561" s="10"/>
      <c r="E561" s="10"/>
      <c r="F561" s="10"/>
      <c r="G561" s="10"/>
      <c r="H561" s="10"/>
      <c r="I561" s="10"/>
      <c r="J561" s="10"/>
      <c r="K561" s="11"/>
      <c r="L561" s="5"/>
      <c r="M561" s="11"/>
      <c r="N561" s="11"/>
      <c r="O561" s="11"/>
      <c r="P561" s="11"/>
      <c r="Q561" s="11"/>
    </row>
    <row r="562" ht="15.75" customHeight="1">
      <c r="A562" s="8"/>
      <c r="B562" s="9"/>
      <c r="C562" s="9"/>
      <c r="D562" s="10"/>
      <c r="E562" s="10"/>
      <c r="F562" s="10"/>
      <c r="G562" s="10"/>
      <c r="H562" s="10"/>
      <c r="I562" s="10"/>
      <c r="J562" s="10"/>
      <c r="K562" s="11"/>
      <c r="L562" s="5"/>
      <c r="M562" s="11"/>
      <c r="N562" s="11"/>
      <c r="O562" s="11"/>
      <c r="P562" s="11"/>
      <c r="Q562" s="11"/>
    </row>
    <row r="563" ht="15.75" customHeight="1">
      <c r="A563" s="8"/>
      <c r="B563" s="9"/>
      <c r="C563" s="9"/>
      <c r="D563" s="10"/>
      <c r="E563" s="10"/>
      <c r="F563" s="10"/>
      <c r="G563" s="10"/>
      <c r="H563" s="10"/>
      <c r="I563" s="10"/>
      <c r="J563" s="10"/>
      <c r="K563" s="11"/>
      <c r="L563" s="5"/>
      <c r="M563" s="11"/>
      <c r="N563" s="11"/>
      <c r="O563" s="11"/>
      <c r="P563" s="11"/>
      <c r="Q563" s="11"/>
    </row>
    <row r="564" ht="15.75" customHeight="1">
      <c r="A564" s="8"/>
      <c r="B564" s="9"/>
      <c r="C564" s="9"/>
      <c r="D564" s="10"/>
      <c r="E564" s="10"/>
      <c r="F564" s="10"/>
      <c r="G564" s="10"/>
      <c r="H564" s="10"/>
      <c r="I564" s="10"/>
      <c r="J564" s="10"/>
      <c r="K564" s="11"/>
      <c r="L564" s="5"/>
      <c r="M564" s="11"/>
      <c r="N564" s="11"/>
      <c r="O564" s="11"/>
      <c r="P564" s="11"/>
      <c r="Q564" s="11"/>
    </row>
    <row r="565" ht="15.75" customHeight="1">
      <c r="A565" s="8"/>
      <c r="B565" s="9"/>
      <c r="C565" s="9"/>
      <c r="D565" s="10"/>
      <c r="E565" s="10"/>
      <c r="F565" s="10"/>
      <c r="G565" s="10"/>
      <c r="H565" s="10"/>
      <c r="I565" s="10"/>
      <c r="J565" s="10"/>
      <c r="K565" s="11"/>
      <c r="L565" s="5"/>
      <c r="M565" s="11"/>
      <c r="N565" s="11"/>
      <c r="O565" s="11"/>
      <c r="P565" s="11"/>
      <c r="Q565" s="11"/>
    </row>
    <row r="566" ht="15.75" customHeight="1">
      <c r="A566" s="8"/>
      <c r="B566" s="9"/>
      <c r="C566" s="9"/>
      <c r="D566" s="10"/>
      <c r="E566" s="10"/>
      <c r="F566" s="10"/>
      <c r="G566" s="10"/>
      <c r="H566" s="10"/>
      <c r="I566" s="10"/>
      <c r="J566" s="10"/>
      <c r="K566" s="11"/>
      <c r="L566" s="5"/>
      <c r="M566" s="11"/>
      <c r="N566" s="11"/>
      <c r="O566" s="11"/>
      <c r="P566" s="11"/>
      <c r="Q566" s="11"/>
    </row>
    <row r="567" ht="15.75" customHeight="1">
      <c r="A567" s="8"/>
      <c r="B567" s="9"/>
      <c r="C567" s="9"/>
      <c r="D567" s="10"/>
      <c r="E567" s="10"/>
      <c r="F567" s="10"/>
      <c r="G567" s="10"/>
      <c r="H567" s="10"/>
      <c r="I567" s="10"/>
      <c r="J567" s="10"/>
      <c r="K567" s="11"/>
      <c r="L567" s="5"/>
      <c r="M567" s="11"/>
      <c r="N567" s="11"/>
      <c r="O567" s="11"/>
      <c r="P567" s="11"/>
      <c r="Q567" s="11"/>
    </row>
    <row r="568" ht="15.75" customHeight="1">
      <c r="A568" s="8"/>
      <c r="B568" s="9"/>
      <c r="C568" s="9"/>
      <c r="D568" s="10"/>
      <c r="E568" s="10"/>
      <c r="F568" s="10"/>
      <c r="G568" s="10"/>
      <c r="H568" s="10"/>
      <c r="I568" s="10"/>
      <c r="J568" s="10"/>
      <c r="K568" s="11"/>
      <c r="L568" s="5"/>
      <c r="M568" s="11"/>
      <c r="N568" s="11"/>
      <c r="O568" s="11"/>
      <c r="P568" s="11"/>
      <c r="Q568" s="11"/>
    </row>
    <row r="569" ht="15.75" customHeight="1">
      <c r="A569" s="8"/>
      <c r="B569" s="9"/>
      <c r="C569" s="9"/>
      <c r="D569" s="10"/>
      <c r="E569" s="10"/>
      <c r="F569" s="10"/>
      <c r="G569" s="10"/>
      <c r="H569" s="10"/>
      <c r="I569" s="10"/>
      <c r="J569" s="10"/>
      <c r="K569" s="11"/>
      <c r="L569" s="5"/>
      <c r="M569" s="11"/>
      <c r="N569" s="11"/>
      <c r="O569" s="11"/>
      <c r="P569" s="11"/>
      <c r="Q569" s="11"/>
    </row>
    <row r="570" ht="15.75" customHeight="1">
      <c r="A570" s="8"/>
      <c r="B570" s="9"/>
      <c r="C570" s="9"/>
      <c r="D570" s="10"/>
      <c r="E570" s="10"/>
      <c r="F570" s="10"/>
      <c r="G570" s="10"/>
      <c r="H570" s="10"/>
      <c r="I570" s="10"/>
      <c r="J570" s="10"/>
      <c r="K570" s="11"/>
      <c r="L570" s="5"/>
      <c r="M570" s="11"/>
      <c r="N570" s="11"/>
      <c r="O570" s="11"/>
      <c r="P570" s="11"/>
      <c r="Q570" s="11"/>
    </row>
    <row r="571" ht="15.75" customHeight="1">
      <c r="A571" s="8"/>
      <c r="B571" s="9"/>
      <c r="C571" s="9"/>
      <c r="D571" s="10"/>
      <c r="E571" s="10"/>
      <c r="F571" s="10"/>
      <c r="G571" s="10"/>
      <c r="H571" s="10"/>
      <c r="I571" s="10"/>
      <c r="J571" s="10"/>
      <c r="K571" s="11"/>
      <c r="L571" s="5"/>
      <c r="M571" s="11"/>
      <c r="N571" s="11"/>
      <c r="O571" s="11"/>
      <c r="P571" s="11"/>
      <c r="Q571" s="11"/>
    </row>
    <row r="572" ht="15.75" customHeight="1">
      <c r="A572" s="8"/>
      <c r="B572" s="9"/>
      <c r="C572" s="9"/>
      <c r="D572" s="10"/>
      <c r="E572" s="10"/>
      <c r="F572" s="10"/>
      <c r="G572" s="10"/>
      <c r="H572" s="10"/>
      <c r="I572" s="10"/>
      <c r="J572" s="10"/>
      <c r="K572" s="11"/>
      <c r="L572" s="5"/>
      <c r="M572" s="11"/>
      <c r="N572" s="11"/>
      <c r="O572" s="11"/>
      <c r="P572" s="11"/>
      <c r="Q572" s="11"/>
    </row>
    <row r="573" ht="15.75" customHeight="1">
      <c r="A573" s="8"/>
      <c r="B573" s="9"/>
      <c r="C573" s="9"/>
      <c r="D573" s="10"/>
      <c r="E573" s="10"/>
      <c r="F573" s="10"/>
      <c r="G573" s="10"/>
      <c r="H573" s="10"/>
      <c r="I573" s="10"/>
      <c r="J573" s="10"/>
      <c r="K573" s="11"/>
      <c r="L573" s="5"/>
      <c r="M573" s="11"/>
      <c r="N573" s="11"/>
      <c r="O573" s="11"/>
      <c r="P573" s="11"/>
      <c r="Q573" s="11"/>
    </row>
    <row r="574" ht="15.75" customHeight="1">
      <c r="A574" s="8"/>
      <c r="B574" s="9"/>
      <c r="C574" s="9"/>
      <c r="D574" s="10"/>
      <c r="E574" s="10"/>
      <c r="F574" s="10"/>
      <c r="G574" s="10"/>
      <c r="H574" s="10"/>
      <c r="I574" s="10"/>
      <c r="J574" s="10"/>
      <c r="K574" s="11"/>
      <c r="L574" s="5"/>
      <c r="M574" s="11"/>
      <c r="N574" s="11"/>
      <c r="O574" s="11"/>
      <c r="P574" s="11"/>
      <c r="Q574" s="11"/>
    </row>
    <row r="575" ht="15.75" customHeight="1">
      <c r="A575" s="8"/>
      <c r="B575" s="9"/>
      <c r="C575" s="9"/>
      <c r="D575" s="10"/>
      <c r="E575" s="10"/>
      <c r="F575" s="10"/>
      <c r="G575" s="10"/>
      <c r="H575" s="10"/>
      <c r="I575" s="10"/>
      <c r="J575" s="10"/>
      <c r="K575" s="11"/>
      <c r="L575" s="5"/>
      <c r="M575" s="11"/>
      <c r="N575" s="11"/>
      <c r="O575" s="11"/>
      <c r="P575" s="11"/>
      <c r="Q575" s="11"/>
    </row>
    <row r="576" ht="15.75" customHeight="1">
      <c r="A576" s="8"/>
      <c r="B576" s="9"/>
      <c r="C576" s="9"/>
      <c r="D576" s="10"/>
      <c r="E576" s="10"/>
      <c r="F576" s="10"/>
      <c r="G576" s="10"/>
      <c r="H576" s="10"/>
      <c r="I576" s="10"/>
      <c r="J576" s="10"/>
      <c r="K576" s="11"/>
      <c r="L576" s="5"/>
      <c r="M576" s="11"/>
      <c r="N576" s="11"/>
      <c r="O576" s="11"/>
      <c r="P576" s="11"/>
      <c r="Q576" s="11"/>
    </row>
    <row r="577" ht="15.75" customHeight="1">
      <c r="A577" s="8"/>
      <c r="B577" s="9"/>
      <c r="C577" s="9"/>
      <c r="D577" s="10"/>
      <c r="E577" s="10"/>
      <c r="F577" s="10"/>
      <c r="G577" s="10"/>
      <c r="H577" s="10"/>
      <c r="I577" s="10"/>
      <c r="J577" s="10"/>
      <c r="K577" s="11"/>
      <c r="L577" s="5"/>
      <c r="M577" s="11"/>
      <c r="N577" s="11"/>
      <c r="O577" s="11"/>
      <c r="P577" s="11"/>
      <c r="Q577" s="11"/>
    </row>
    <row r="578" ht="15.75" customHeight="1">
      <c r="A578" s="8"/>
      <c r="B578" s="9"/>
      <c r="C578" s="9"/>
      <c r="D578" s="10"/>
      <c r="E578" s="10"/>
      <c r="F578" s="10"/>
      <c r="G578" s="10"/>
      <c r="H578" s="10"/>
      <c r="I578" s="10"/>
      <c r="J578" s="10"/>
      <c r="K578" s="11"/>
      <c r="L578" s="5"/>
      <c r="M578" s="11"/>
      <c r="N578" s="11"/>
      <c r="O578" s="11"/>
      <c r="P578" s="11"/>
      <c r="Q578" s="11"/>
    </row>
    <row r="579" ht="15.75" customHeight="1">
      <c r="A579" s="8"/>
      <c r="B579" s="9"/>
      <c r="C579" s="9"/>
      <c r="D579" s="10"/>
      <c r="E579" s="10"/>
      <c r="F579" s="10"/>
      <c r="G579" s="10"/>
      <c r="H579" s="10"/>
      <c r="I579" s="10"/>
      <c r="J579" s="10"/>
      <c r="K579" s="11"/>
      <c r="L579" s="5"/>
      <c r="M579" s="11"/>
      <c r="N579" s="11"/>
      <c r="O579" s="11"/>
      <c r="P579" s="11"/>
      <c r="Q579" s="11"/>
    </row>
    <row r="580" ht="15.75" customHeight="1">
      <c r="A580" s="8"/>
      <c r="B580" s="9"/>
      <c r="C580" s="9"/>
      <c r="D580" s="10"/>
      <c r="E580" s="10"/>
      <c r="F580" s="10"/>
      <c r="G580" s="10"/>
      <c r="H580" s="10"/>
      <c r="I580" s="10"/>
      <c r="J580" s="10"/>
      <c r="K580" s="11"/>
      <c r="L580" s="5"/>
      <c r="M580" s="11"/>
      <c r="N580" s="11"/>
      <c r="O580" s="11"/>
      <c r="P580" s="11"/>
      <c r="Q580" s="11"/>
    </row>
    <row r="581" ht="15.75" customHeight="1">
      <c r="A581" s="8"/>
      <c r="B581" s="9"/>
      <c r="C581" s="9"/>
      <c r="D581" s="10"/>
      <c r="E581" s="10"/>
      <c r="F581" s="10"/>
      <c r="G581" s="10"/>
      <c r="H581" s="10"/>
      <c r="I581" s="10"/>
      <c r="J581" s="10"/>
      <c r="K581" s="11"/>
      <c r="L581" s="5"/>
      <c r="M581" s="11"/>
      <c r="N581" s="11"/>
      <c r="O581" s="11"/>
      <c r="P581" s="11"/>
      <c r="Q581" s="11"/>
    </row>
    <row r="582" ht="15.75" customHeight="1">
      <c r="A582" s="8"/>
      <c r="B582" s="9"/>
      <c r="C582" s="9"/>
      <c r="D582" s="10"/>
      <c r="E582" s="10"/>
      <c r="F582" s="10"/>
      <c r="G582" s="10"/>
      <c r="H582" s="10"/>
      <c r="I582" s="10"/>
      <c r="J582" s="10"/>
      <c r="K582" s="11"/>
      <c r="L582" s="5"/>
      <c r="M582" s="11"/>
      <c r="N582" s="11"/>
      <c r="O582" s="11"/>
      <c r="P582" s="11"/>
      <c r="Q582" s="11"/>
    </row>
    <row r="583" ht="15.75" customHeight="1">
      <c r="A583" s="8"/>
      <c r="B583" s="9"/>
      <c r="C583" s="9"/>
      <c r="D583" s="10"/>
      <c r="E583" s="10"/>
      <c r="F583" s="10"/>
      <c r="G583" s="10"/>
      <c r="H583" s="10"/>
      <c r="I583" s="10"/>
      <c r="J583" s="10"/>
      <c r="K583" s="11"/>
      <c r="L583" s="5"/>
      <c r="M583" s="11"/>
      <c r="N583" s="11"/>
      <c r="O583" s="11"/>
      <c r="P583" s="11"/>
      <c r="Q583" s="11"/>
    </row>
    <row r="584" ht="15.75" customHeight="1">
      <c r="A584" s="8"/>
      <c r="B584" s="9"/>
      <c r="C584" s="9"/>
      <c r="D584" s="10"/>
      <c r="E584" s="10"/>
      <c r="F584" s="10"/>
      <c r="G584" s="10"/>
      <c r="H584" s="10"/>
      <c r="I584" s="10"/>
      <c r="J584" s="10"/>
      <c r="K584" s="11"/>
      <c r="L584" s="5"/>
      <c r="M584" s="11"/>
      <c r="N584" s="11"/>
      <c r="O584" s="11"/>
      <c r="P584" s="11"/>
      <c r="Q584" s="11"/>
    </row>
    <row r="585" ht="15.75" customHeight="1">
      <c r="A585" s="8"/>
      <c r="B585" s="9"/>
      <c r="C585" s="9"/>
      <c r="D585" s="10"/>
      <c r="E585" s="10"/>
      <c r="F585" s="10"/>
      <c r="G585" s="10"/>
      <c r="H585" s="10"/>
      <c r="I585" s="10"/>
      <c r="J585" s="10"/>
      <c r="K585" s="11"/>
      <c r="L585" s="5"/>
      <c r="M585" s="11"/>
      <c r="N585" s="11"/>
      <c r="O585" s="11"/>
      <c r="P585" s="11"/>
      <c r="Q585" s="11"/>
    </row>
    <row r="586" ht="15.75" customHeight="1">
      <c r="A586" s="8"/>
      <c r="B586" s="9"/>
      <c r="C586" s="9"/>
      <c r="D586" s="10"/>
      <c r="E586" s="10"/>
      <c r="F586" s="10"/>
      <c r="G586" s="10"/>
      <c r="H586" s="10"/>
      <c r="I586" s="10"/>
      <c r="J586" s="10"/>
      <c r="K586" s="11"/>
      <c r="L586" s="5"/>
      <c r="M586" s="11"/>
      <c r="N586" s="11"/>
      <c r="O586" s="11"/>
      <c r="P586" s="11"/>
      <c r="Q586" s="11"/>
    </row>
    <row r="587" ht="15.75" customHeight="1">
      <c r="A587" s="8"/>
      <c r="B587" s="9"/>
      <c r="C587" s="9"/>
      <c r="D587" s="10"/>
      <c r="E587" s="10"/>
      <c r="F587" s="10"/>
      <c r="G587" s="10"/>
      <c r="H587" s="10"/>
      <c r="I587" s="10"/>
      <c r="J587" s="10"/>
      <c r="K587" s="11"/>
      <c r="L587" s="5"/>
      <c r="M587" s="11"/>
      <c r="N587" s="11"/>
      <c r="O587" s="11"/>
      <c r="P587" s="11"/>
      <c r="Q587" s="11"/>
    </row>
    <row r="588" ht="15.75" customHeight="1">
      <c r="A588" s="8"/>
      <c r="B588" s="9"/>
      <c r="C588" s="9"/>
      <c r="D588" s="10"/>
      <c r="E588" s="10"/>
      <c r="F588" s="10"/>
      <c r="G588" s="10"/>
      <c r="H588" s="10"/>
      <c r="I588" s="10"/>
      <c r="J588" s="10"/>
      <c r="K588" s="11"/>
      <c r="L588" s="5"/>
      <c r="M588" s="11"/>
      <c r="N588" s="11"/>
      <c r="O588" s="11"/>
      <c r="P588" s="11"/>
      <c r="Q588" s="11"/>
    </row>
    <row r="589" ht="15.75" customHeight="1">
      <c r="A589" s="8"/>
      <c r="B589" s="9"/>
      <c r="C589" s="9"/>
      <c r="D589" s="10"/>
      <c r="E589" s="10"/>
      <c r="F589" s="10"/>
      <c r="G589" s="10"/>
      <c r="H589" s="10"/>
      <c r="I589" s="10"/>
      <c r="J589" s="10"/>
      <c r="K589" s="11"/>
      <c r="L589" s="5"/>
      <c r="M589" s="11"/>
      <c r="N589" s="11"/>
      <c r="O589" s="11"/>
      <c r="P589" s="11"/>
      <c r="Q589" s="11"/>
    </row>
    <row r="590" ht="15.75" customHeight="1">
      <c r="A590" s="8"/>
      <c r="B590" s="9"/>
      <c r="C590" s="9"/>
      <c r="D590" s="10"/>
      <c r="E590" s="10"/>
      <c r="F590" s="10"/>
      <c r="G590" s="10"/>
      <c r="H590" s="10"/>
      <c r="I590" s="10"/>
      <c r="J590" s="10"/>
      <c r="K590" s="11"/>
      <c r="L590" s="5"/>
      <c r="M590" s="11"/>
      <c r="N590" s="11"/>
      <c r="O590" s="11"/>
      <c r="P590" s="11"/>
      <c r="Q590" s="11"/>
    </row>
    <row r="591" ht="15.75" customHeight="1">
      <c r="A591" s="8"/>
      <c r="B591" s="9"/>
      <c r="C591" s="9"/>
      <c r="D591" s="10"/>
      <c r="E591" s="10"/>
      <c r="F591" s="10"/>
      <c r="G591" s="10"/>
      <c r="H591" s="10"/>
      <c r="I591" s="10"/>
      <c r="J591" s="10"/>
      <c r="K591" s="11"/>
      <c r="L591" s="5"/>
      <c r="M591" s="11"/>
      <c r="N591" s="11"/>
      <c r="O591" s="11"/>
      <c r="P591" s="11"/>
      <c r="Q591" s="11"/>
    </row>
    <row r="592" ht="15.75" customHeight="1">
      <c r="A592" s="8"/>
      <c r="B592" s="9"/>
      <c r="C592" s="9"/>
      <c r="D592" s="10"/>
      <c r="E592" s="10"/>
      <c r="F592" s="10"/>
      <c r="G592" s="10"/>
      <c r="H592" s="10"/>
      <c r="I592" s="10"/>
      <c r="J592" s="10"/>
      <c r="K592" s="11"/>
      <c r="L592" s="5"/>
      <c r="M592" s="11"/>
      <c r="N592" s="11"/>
      <c r="O592" s="11"/>
      <c r="P592" s="11"/>
      <c r="Q592" s="11"/>
    </row>
    <row r="593" ht="15.75" customHeight="1">
      <c r="A593" s="8"/>
      <c r="B593" s="9"/>
      <c r="C593" s="9"/>
      <c r="D593" s="10"/>
      <c r="E593" s="10"/>
      <c r="F593" s="10"/>
      <c r="G593" s="10"/>
      <c r="H593" s="10"/>
      <c r="I593" s="10"/>
      <c r="J593" s="10"/>
      <c r="K593" s="11"/>
      <c r="L593" s="5"/>
      <c r="M593" s="11"/>
      <c r="N593" s="11"/>
      <c r="O593" s="11"/>
      <c r="P593" s="11"/>
      <c r="Q593" s="11"/>
    </row>
    <row r="594" ht="15.75" customHeight="1">
      <c r="A594" s="8"/>
      <c r="B594" s="9"/>
      <c r="C594" s="9"/>
      <c r="D594" s="10"/>
      <c r="E594" s="10"/>
      <c r="F594" s="10"/>
      <c r="G594" s="10"/>
      <c r="H594" s="10"/>
      <c r="I594" s="10"/>
      <c r="J594" s="10"/>
      <c r="K594" s="11"/>
      <c r="L594" s="5"/>
      <c r="M594" s="11"/>
      <c r="N594" s="11"/>
      <c r="O594" s="11"/>
      <c r="P594" s="11"/>
      <c r="Q594" s="11"/>
    </row>
    <row r="595" ht="15.75" customHeight="1">
      <c r="A595" s="8"/>
      <c r="B595" s="9"/>
      <c r="C595" s="9"/>
      <c r="D595" s="10"/>
      <c r="E595" s="10"/>
      <c r="F595" s="10"/>
      <c r="G595" s="10"/>
      <c r="H595" s="10"/>
      <c r="I595" s="10"/>
      <c r="J595" s="10"/>
      <c r="K595" s="11"/>
      <c r="L595" s="5"/>
      <c r="M595" s="11"/>
      <c r="N595" s="11"/>
      <c r="O595" s="11"/>
      <c r="P595" s="11"/>
      <c r="Q595" s="11"/>
    </row>
    <row r="596" ht="15.75" customHeight="1">
      <c r="A596" s="8"/>
      <c r="B596" s="9"/>
      <c r="C596" s="9"/>
      <c r="D596" s="10"/>
      <c r="E596" s="10"/>
      <c r="F596" s="10"/>
      <c r="G596" s="10"/>
      <c r="H596" s="10"/>
      <c r="I596" s="10"/>
      <c r="J596" s="10"/>
      <c r="K596" s="11"/>
      <c r="L596" s="5"/>
      <c r="M596" s="11"/>
      <c r="N596" s="11"/>
      <c r="O596" s="11"/>
      <c r="P596" s="11"/>
      <c r="Q596" s="11"/>
    </row>
    <row r="597" ht="15.75" customHeight="1">
      <c r="A597" s="8"/>
      <c r="B597" s="9"/>
      <c r="C597" s="9"/>
      <c r="D597" s="10"/>
      <c r="E597" s="10"/>
      <c r="F597" s="10"/>
      <c r="G597" s="10"/>
      <c r="H597" s="10"/>
      <c r="I597" s="10"/>
      <c r="J597" s="10"/>
      <c r="K597" s="11"/>
      <c r="L597" s="5"/>
      <c r="M597" s="11"/>
      <c r="N597" s="11"/>
      <c r="O597" s="11"/>
      <c r="P597" s="11"/>
      <c r="Q597" s="11"/>
    </row>
    <row r="598" ht="15.75" customHeight="1">
      <c r="A598" s="8"/>
      <c r="B598" s="9"/>
      <c r="C598" s="9"/>
      <c r="D598" s="10"/>
      <c r="E598" s="10"/>
      <c r="F598" s="10"/>
      <c r="G598" s="10"/>
      <c r="H598" s="10"/>
      <c r="I598" s="10"/>
      <c r="J598" s="10"/>
      <c r="K598" s="11"/>
      <c r="L598" s="5"/>
      <c r="M598" s="11"/>
      <c r="N598" s="11"/>
      <c r="O598" s="11"/>
      <c r="P598" s="11"/>
      <c r="Q598" s="11"/>
    </row>
    <row r="599" ht="15.75" customHeight="1">
      <c r="A599" s="8"/>
      <c r="B599" s="9"/>
      <c r="C599" s="9"/>
      <c r="D599" s="10"/>
      <c r="E599" s="10"/>
      <c r="F599" s="10"/>
      <c r="G599" s="10"/>
      <c r="H599" s="10"/>
      <c r="I599" s="10"/>
      <c r="J599" s="10"/>
      <c r="K599" s="11"/>
      <c r="L599" s="5"/>
      <c r="M599" s="11"/>
      <c r="N599" s="11"/>
      <c r="O599" s="11"/>
      <c r="P599" s="11"/>
      <c r="Q599" s="11"/>
    </row>
    <row r="600" ht="15.75" customHeight="1">
      <c r="A600" s="8"/>
      <c r="B600" s="9"/>
      <c r="C600" s="9"/>
      <c r="D600" s="10"/>
      <c r="E600" s="10"/>
      <c r="F600" s="10"/>
      <c r="G600" s="10"/>
      <c r="H600" s="10"/>
      <c r="I600" s="10"/>
      <c r="J600" s="10"/>
      <c r="K600" s="11"/>
      <c r="L600" s="5"/>
      <c r="M600" s="11"/>
      <c r="N600" s="11"/>
      <c r="O600" s="11"/>
      <c r="P600" s="11"/>
      <c r="Q600" s="11"/>
    </row>
    <row r="601" ht="15.75" customHeight="1">
      <c r="A601" s="8"/>
      <c r="B601" s="9"/>
      <c r="C601" s="9"/>
      <c r="D601" s="10"/>
      <c r="E601" s="10"/>
      <c r="F601" s="10"/>
      <c r="G601" s="10"/>
      <c r="H601" s="10"/>
      <c r="I601" s="10"/>
      <c r="J601" s="10"/>
      <c r="K601" s="11"/>
      <c r="L601" s="5"/>
      <c r="M601" s="11"/>
      <c r="N601" s="11"/>
      <c r="O601" s="11"/>
      <c r="P601" s="11"/>
      <c r="Q601" s="11"/>
    </row>
    <row r="602" ht="15.75" customHeight="1">
      <c r="A602" s="8"/>
      <c r="B602" s="9"/>
      <c r="C602" s="9"/>
      <c r="D602" s="10"/>
      <c r="E602" s="10"/>
      <c r="F602" s="10"/>
      <c r="G602" s="10"/>
      <c r="H602" s="10"/>
      <c r="I602" s="10"/>
      <c r="J602" s="10"/>
      <c r="K602" s="11"/>
      <c r="L602" s="5"/>
      <c r="M602" s="11"/>
      <c r="N602" s="11"/>
      <c r="O602" s="11"/>
      <c r="P602" s="11"/>
      <c r="Q602" s="11"/>
    </row>
    <row r="603" ht="15.75" customHeight="1">
      <c r="A603" s="8"/>
      <c r="B603" s="9"/>
      <c r="C603" s="9"/>
      <c r="D603" s="10"/>
      <c r="E603" s="10"/>
      <c r="F603" s="10"/>
      <c r="G603" s="10"/>
      <c r="H603" s="10"/>
      <c r="I603" s="10"/>
      <c r="J603" s="10"/>
      <c r="K603" s="11"/>
      <c r="L603" s="5"/>
      <c r="M603" s="11"/>
      <c r="N603" s="11"/>
      <c r="O603" s="11"/>
      <c r="P603" s="11"/>
      <c r="Q603" s="11"/>
    </row>
    <row r="604" ht="15.75" customHeight="1">
      <c r="A604" s="8"/>
      <c r="B604" s="9"/>
      <c r="C604" s="9"/>
      <c r="D604" s="10"/>
      <c r="E604" s="10"/>
      <c r="F604" s="10"/>
      <c r="G604" s="10"/>
      <c r="H604" s="10"/>
      <c r="I604" s="10"/>
      <c r="J604" s="10"/>
      <c r="K604" s="11"/>
      <c r="L604" s="5"/>
      <c r="M604" s="11"/>
      <c r="N604" s="11"/>
      <c r="O604" s="11"/>
      <c r="P604" s="11"/>
      <c r="Q604" s="11"/>
    </row>
    <row r="605" ht="15.75" customHeight="1">
      <c r="A605" s="8"/>
      <c r="B605" s="9"/>
      <c r="C605" s="9"/>
      <c r="D605" s="10"/>
      <c r="E605" s="10"/>
      <c r="F605" s="10"/>
      <c r="G605" s="10"/>
      <c r="H605" s="10"/>
      <c r="I605" s="10"/>
      <c r="J605" s="10"/>
      <c r="K605" s="11"/>
      <c r="L605" s="5"/>
      <c r="M605" s="11"/>
      <c r="N605" s="11"/>
      <c r="O605" s="11"/>
      <c r="P605" s="11"/>
      <c r="Q605" s="11"/>
    </row>
    <row r="606" ht="15.75" customHeight="1">
      <c r="A606" s="8"/>
      <c r="B606" s="9"/>
      <c r="C606" s="9"/>
      <c r="D606" s="10"/>
      <c r="E606" s="10"/>
      <c r="F606" s="10"/>
      <c r="G606" s="10"/>
      <c r="H606" s="10"/>
      <c r="I606" s="10"/>
      <c r="J606" s="10"/>
      <c r="K606" s="11"/>
      <c r="L606" s="5"/>
      <c r="M606" s="11"/>
      <c r="N606" s="11"/>
      <c r="O606" s="11"/>
      <c r="P606" s="11"/>
      <c r="Q606" s="11"/>
    </row>
    <row r="607" ht="15.75" customHeight="1">
      <c r="A607" s="8"/>
      <c r="B607" s="9"/>
      <c r="C607" s="9"/>
      <c r="D607" s="10"/>
      <c r="E607" s="10"/>
      <c r="F607" s="10"/>
      <c r="G607" s="10"/>
      <c r="H607" s="10"/>
      <c r="I607" s="10"/>
      <c r="J607" s="10"/>
      <c r="K607" s="11"/>
      <c r="L607" s="5"/>
      <c r="M607" s="11"/>
      <c r="N607" s="11"/>
      <c r="O607" s="11"/>
      <c r="P607" s="11"/>
      <c r="Q607" s="11"/>
    </row>
    <row r="608" ht="15.75" customHeight="1">
      <c r="A608" s="8"/>
      <c r="B608" s="9"/>
      <c r="C608" s="9"/>
      <c r="D608" s="10"/>
      <c r="E608" s="10"/>
      <c r="F608" s="10"/>
      <c r="G608" s="10"/>
      <c r="H608" s="10"/>
      <c r="I608" s="10"/>
      <c r="J608" s="10"/>
      <c r="K608" s="11"/>
      <c r="L608" s="5"/>
      <c r="M608" s="11"/>
      <c r="N608" s="11"/>
      <c r="O608" s="11"/>
      <c r="P608" s="11"/>
      <c r="Q608" s="11"/>
    </row>
    <row r="609" ht="15.75" customHeight="1">
      <c r="A609" s="8"/>
      <c r="B609" s="9"/>
      <c r="C609" s="9"/>
      <c r="D609" s="10"/>
      <c r="E609" s="10"/>
      <c r="F609" s="10"/>
      <c r="G609" s="10"/>
      <c r="H609" s="10"/>
      <c r="I609" s="10"/>
      <c r="J609" s="10"/>
      <c r="K609" s="11"/>
      <c r="L609" s="5"/>
      <c r="M609" s="11"/>
      <c r="N609" s="11"/>
      <c r="O609" s="11"/>
      <c r="P609" s="11"/>
      <c r="Q609" s="11"/>
    </row>
    <row r="610" ht="15.75" customHeight="1">
      <c r="A610" s="8"/>
      <c r="B610" s="9"/>
      <c r="C610" s="9"/>
      <c r="D610" s="10"/>
      <c r="E610" s="10"/>
      <c r="F610" s="10"/>
      <c r="G610" s="10"/>
      <c r="H610" s="10"/>
      <c r="I610" s="10"/>
      <c r="J610" s="10"/>
      <c r="K610" s="11"/>
      <c r="L610" s="5"/>
      <c r="M610" s="11"/>
      <c r="N610" s="11"/>
      <c r="O610" s="11"/>
      <c r="P610" s="11"/>
      <c r="Q610" s="11"/>
    </row>
    <row r="611" ht="15.75" customHeight="1">
      <c r="A611" s="8"/>
      <c r="B611" s="9"/>
      <c r="C611" s="9"/>
      <c r="D611" s="10"/>
      <c r="E611" s="10"/>
      <c r="F611" s="10"/>
      <c r="G611" s="10"/>
      <c r="H611" s="10"/>
      <c r="I611" s="10"/>
      <c r="J611" s="10"/>
      <c r="K611" s="11"/>
      <c r="L611" s="5"/>
      <c r="M611" s="11"/>
      <c r="N611" s="11"/>
      <c r="O611" s="11"/>
      <c r="P611" s="11"/>
      <c r="Q611" s="11"/>
    </row>
    <row r="612" ht="15.75" customHeight="1">
      <c r="A612" s="8"/>
      <c r="B612" s="9"/>
      <c r="C612" s="9"/>
      <c r="D612" s="10"/>
      <c r="E612" s="10"/>
      <c r="F612" s="10"/>
      <c r="G612" s="10"/>
      <c r="H612" s="10"/>
      <c r="I612" s="10"/>
      <c r="J612" s="10"/>
      <c r="K612" s="11"/>
      <c r="L612" s="5"/>
      <c r="M612" s="11"/>
      <c r="N612" s="11"/>
      <c r="O612" s="11"/>
      <c r="P612" s="11"/>
      <c r="Q612" s="11"/>
    </row>
    <row r="613" ht="15.75" customHeight="1">
      <c r="A613" s="8"/>
      <c r="B613" s="9"/>
      <c r="C613" s="9"/>
      <c r="D613" s="10"/>
      <c r="E613" s="10"/>
      <c r="F613" s="10"/>
      <c r="G613" s="10"/>
      <c r="H613" s="10"/>
      <c r="I613" s="10"/>
      <c r="J613" s="10"/>
      <c r="K613" s="11"/>
      <c r="L613" s="5"/>
      <c r="M613" s="11"/>
      <c r="N613" s="11"/>
      <c r="O613" s="11"/>
      <c r="P613" s="11"/>
      <c r="Q613" s="11"/>
    </row>
    <row r="614" ht="15.75" customHeight="1">
      <c r="A614" s="8"/>
      <c r="B614" s="9"/>
      <c r="C614" s="9"/>
      <c r="D614" s="10"/>
      <c r="E614" s="10"/>
      <c r="F614" s="10"/>
      <c r="G614" s="10"/>
      <c r="H614" s="10"/>
      <c r="I614" s="10"/>
      <c r="J614" s="10"/>
      <c r="K614" s="11"/>
      <c r="L614" s="5"/>
      <c r="M614" s="11"/>
      <c r="N614" s="11"/>
      <c r="O614" s="11"/>
      <c r="P614" s="11"/>
      <c r="Q614" s="11"/>
    </row>
    <row r="615" ht="15.75" customHeight="1">
      <c r="A615" s="8"/>
      <c r="B615" s="9"/>
      <c r="C615" s="9"/>
      <c r="D615" s="10"/>
      <c r="E615" s="10"/>
      <c r="F615" s="10"/>
      <c r="G615" s="10"/>
      <c r="H615" s="10"/>
      <c r="I615" s="10"/>
      <c r="J615" s="10"/>
      <c r="K615" s="11"/>
      <c r="L615" s="5"/>
      <c r="M615" s="11"/>
      <c r="N615" s="11"/>
      <c r="O615" s="11"/>
      <c r="P615" s="11"/>
      <c r="Q615" s="11"/>
    </row>
    <row r="616" ht="15.75" customHeight="1">
      <c r="A616" s="8"/>
      <c r="B616" s="9"/>
      <c r="C616" s="9"/>
      <c r="D616" s="10"/>
      <c r="E616" s="10"/>
      <c r="F616" s="10"/>
      <c r="G616" s="10"/>
      <c r="H616" s="10"/>
      <c r="I616" s="10"/>
      <c r="J616" s="10"/>
      <c r="K616" s="11"/>
      <c r="L616" s="5"/>
      <c r="M616" s="11"/>
      <c r="N616" s="11"/>
      <c r="O616" s="11"/>
      <c r="P616" s="11"/>
      <c r="Q616" s="11"/>
    </row>
    <row r="617" ht="15.75" customHeight="1">
      <c r="A617" s="8"/>
      <c r="B617" s="9"/>
      <c r="C617" s="9"/>
      <c r="D617" s="10"/>
      <c r="E617" s="10"/>
      <c r="F617" s="10"/>
      <c r="G617" s="10"/>
      <c r="H617" s="10"/>
      <c r="I617" s="10"/>
      <c r="J617" s="10"/>
      <c r="K617" s="11"/>
      <c r="L617" s="5"/>
      <c r="M617" s="11"/>
      <c r="N617" s="11"/>
      <c r="O617" s="11"/>
      <c r="P617" s="11"/>
      <c r="Q617" s="11"/>
    </row>
    <row r="618" ht="15.75" customHeight="1">
      <c r="A618" s="8"/>
      <c r="B618" s="9"/>
      <c r="C618" s="9"/>
      <c r="D618" s="10"/>
      <c r="E618" s="10"/>
      <c r="F618" s="10"/>
      <c r="G618" s="10"/>
      <c r="H618" s="10"/>
      <c r="I618" s="10"/>
      <c r="J618" s="10"/>
      <c r="K618" s="11"/>
      <c r="L618" s="5"/>
      <c r="M618" s="11"/>
      <c r="N618" s="11"/>
      <c r="O618" s="11"/>
      <c r="P618" s="11"/>
      <c r="Q618" s="11"/>
    </row>
    <row r="619" ht="15.75" customHeight="1">
      <c r="A619" s="8"/>
      <c r="B619" s="9"/>
      <c r="C619" s="9"/>
      <c r="D619" s="10"/>
      <c r="E619" s="10"/>
      <c r="F619" s="10"/>
      <c r="G619" s="10"/>
      <c r="H619" s="10"/>
      <c r="I619" s="10"/>
      <c r="J619" s="10"/>
      <c r="K619" s="11"/>
      <c r="L619" s="5"/>
      <c r="M619" s="11"/>
      <c r="N619" s="11"/>
      <c r="O619" s="11"/>
      <c r="P619" s="11"/>
      <c r="Q619" s="11"/>
    </row>
    <row r="620" ht="15.75" customHeight="1">
      <c r="A620" s="8"/>
      <c r="B620" s="9"/>
      <c r="C620" s="9"/>
      <c r="D620" s="10"/>
      <c r="E620" s="10"/>
      <c r="F620" s="10"/>
      <c r="G620" s="10"/>
      <c r="H620" s="10"/>
      <c r="I620" s="10"/>
      <c r="J620" s="10"/>
      <c r="K620" s="11"/>
      <c r="L620" s="5"/>
      <c r="M620" s="11"/>
      <c r="N620" s="11"/>
      <c r="O620" s="11"/>
      <c r="P620" s="11"/>
      <c r="Q620" s="11"/>
    </row>
    <row r="621" ht="15.75" customHeight="1">
      <c r="A621" s="8"/>
      <c r="B621" s="9"/>
      <c r="C621" s="9"/>
      <c r="D621" s="10"/>
      <c r="E621" s="10"/>
      <c r="F621" s="10"/>
      <c r="G621" s="10"/>
      <c r="H621" s="10"/>
      <c r="I621" s="10"/>
      <c r="J621" s="10"/>
      <c r="K621" s="11"/>
      <c r="L621" s="5"/>
      <c r="M621" s="11"/>
      <c r="N621" s="11"/>
      <c r="O621" s="11"/>
      <c r="P621" s="11"/>
      <c r="Q621" s="11"/>
    </row>
    <row r="622" ht="15.75" customHeight="1">
      <c r="A622" s="8"/>
      <c r="B622" s="9"/>
      <c r="C622" s="9"/>
      <c r="D622" s="10"/>
      <c r="E622" s="10"/>
      <c r="F622" s="10"/>
      <c r="G622" s="10"/>
      <c r="H622" s="10"/>
      <c r="I622" s="10"/>
      <c r="J622" s="10"/>
      <c r="K622" s="11"/>
      <c r="L622" s="5"/>
      <c r="M622" s="11"/>
      <c r="N622" s="11"/>
      <c r="O622" s="11"/>
      <c r="P622" s="11"/>
      <c r="Q622" s="11"/>
    </row>
    <row r="623" ht="15.75" customHeight="1">
      <c r="A623" s="8"/>
      <c r="B623" s="9"/>
      <c r="C623" s="9"/>
      <c r="D623" s="10"/>
      <c r="E623" s="10"/>
      <c r="F623" s="10"/>
      <c r="G623" s="10"/>
      <c r="H623" s="10"/>
      <c r="I623" s="10"/>
      <c r="J623" s="10"/>
      <c r="K623" s="11"/>
      <c r="L623" s="5"/>
      <c r="M623" s="11"/>
      <c r="N623" s="11"/>
      <c r="O623" s="11"/>
      <c r="P623" s="11"/>
      <c r="Q623" s="11"/>
    </row>
    <row r="624" ht="15.75" customHeight="1">
      <c r="A624" s="8"/>
      <c r="B624" s="9"/>
      <c r="C624" s="9"/>
      <c r="D624" s="10"/>
      <c r="E624" s="10"/>
      <c r="F624" s="10"/>
      <c r="G624" s="10"/>
      <c r="H624" s="10"/>
      <c r="I624" s="10"/>
      <c r="J624" s="10"/>
      <c r="K624" s="11"/>
      <c r="L624" s="5"/>
      <c r="M624" s="11"/>
      <c r="N624" s="11"/>
      <c r="O624" s="11"/>
      <c r="P624" s="11"/>
      <c r="Q624" s="11"/>
    </row>
    <row r="625" ht="15.75" customHeight="1">
      <c r="A625" s="8"/>
      <c r="B625" s="9"/>
      <c r="C625" s="9"/>
      <c r="D625" s="10"/>
      <c r="E625" s="10"/>
      <c r="F625" s="10"/>
      <c r="G625" s="10"/>
      <c r="H625" s="10"/>
      <c r="I625" s="10"/>
      <c r="J625" s="10"/>
      <c r="K625" s="11"/>
      <c r="L625" s="5"/>
      <c r="M625" s="11"/>
      <c r="N625" s="11"/>
      <c r="O625" s="11"/>
      <c r="P625" s="11"/>
      <c r="Q625" s="11"/>
    </row>
    <row r="626" ht="15.75" customHeight="1">
      <c r="A626" s="8"/>
      <c r="B626" s="9"/>
      <c r="C626" s="9"/>
      <c r="D626" s="10"/>
      <c r="E626" s="10"/>
      <c r="F626" s="10"/>
      <c r="G626" s="10"/>
      <c r="H626" s="10"/>
      <c r="I626" s="10"/>
      <c r="J626" s="10"/>
      <c r="K626" s="11"/>
      <c r="L626" s="5"/>
      <c r="M626" s="11"/>
      <c r="N626" s="11"/>
      <c r="O626" s="11"/>
      <c r="P626" s="11"/>
      <c r="Q626" s="11"/>
    </row>
    <row r="627" ht="15.75" customHeight="1">
      <c r="A627" s="8"/>
      <c r="B627" s="9"/>
      <c r="C627" s="9"/>
      <c r="D627" s="10"/>
      <c r="E627" s="10"/>
      <c r="F627" s="10"/>
      <c r="G627" s="10"/>
      <c r="H627" s="10"/>
      <c r="I627" s="10"/>
      <c r="J627" s="10"/>
      <c r="K627" s="11"/>
      <c r="L627" s="5"/>
      <c r="M627" s="11"/>
      <c r="N627" s="11"/>
      <c r="O627" s="11"/>
      <c r="P627" s="11"/>
      <c r="Q627" s="11"/>
    </row>
    <row r="628" ht="15.75" customHeight="1">
      <c r="A628" s="8"/>
      <c r="B628" s="9"/>
      <c r="C628" s="9"/>
      <c r="D628" s="10"/>
      <c r="E628" s="10"/>
      <c r="F628" s="10"/>
      <c r="G628" s="10"/>
      <c r="H628" s="10"/>
      <c r="I628" s="10"/>
      <c r="J628" s="10"/>
      <c r="K628" s="11"/>
      <c r="L628" s="5"/>
      <c r="M628" s="11"/>
      <c r="N628" s="11"/>
      <c r="O628" s="11"/>
      <c r="P628" s="11"/>
      <c r="Q628" s="11"/>
    </row>
    <row r="629" ht="15.75" customHeight="1">
      <c r="A629" s="8"/>
      <c r="B629" s="9"/>
      <c r="C629" s="9"/>
      <c r="D629" s="10"/>
      <c r="E629" s="10"/>
      <c r="F629" s="10"/>
      <c r="G629" s="10"/>
      <c r="H629" s="10"/>
      <c r="I629" s="10"/>
      <c r="J629" s="10"/>
      <c r="K629" s="11"/>
      <c r="L629" s="5"/>
      <c r="M629" s="11"/>
      <c r="N629" s="11"/>
      <c r="O629" s="11"/>
      <c r="P629" s="11"/>
      <c r="Q629" s="11"/>
    </row>
    <row r="630" ht="15.75" customHeight="1">
      <c r="A630" s="8"/>
      <c r="B630" s="9"/>
      <c r="C630" s="9"/>
      <c r="D630" s="10"/>
      <c r="E630" s="10"/>
      <c r="F630" s="10"/>
      <c r="G630" s="10"/>
      <c r="H630" s="10"/>
      <c r="I630" s="10"/>
      <c r="J630" s="10"/>
      <c r="K630" s="11"/>
      <c r="L630" s="5"/>
      <c r="M630" s="11"/>
      <c r="N630" s="11"/>
      <c r="O630" s="11"/>
      <c r="P630" s="11"/>
      <c r="Q630" s="11"/>
    </row>
    <row r="631" ht="15.75" customHeight="1">
      <c r="A631" s="8"/>
      <c r="B631" s="9"/>
      <c r="C631" s="9"/>
      <c r="D631" s="10"/>
      <c r="E631" s="10"/>
      <c r="F631" s="10"/>
      <c r="G631" s="10"/>
      <c r="H631" s="10"/>
      <c r="I631" s="10"/>
      <c r="J631" s="10"/>
      <c r="K631" s="11"/>
      <c r="L631" s="5"/>
      <c r="M631" s="11"/>
      <c r="N631" s="11"/>
      <c r="O631" s="11"/>
      <c r="P631" s="11"/>
      <c r="Q631" s="11"/>
    </row>
    <row r="632" ht="15.75" customHeight="1">
      <c r="A632" s="8"/>
      <c r="B632" s="9"/>
      <c r="C632" s="9"/>
      <c r="D632" s="10"/>
      <c r="E632" s="10"/>
      <c r="F632" s="10"/>
      <c r="G632" s="10"/>
      <c r="H632" s="10"/>
      <c r="I632" s="10"/>
      <c r="J632" s="10"/>
      <c r="K632" s="11"/>
      <c r="L632" s="5"/>
      <c r="M632" s="11"/>
      <c r="N632" s="11"/>
      <c r="O632" s="11"/>
      <c r="P632" s="11"/>
      <c r="Q632" s="11"/>
    </row>
    <row r="633" ht="15.75" customHeight="1">
      <c r="A633" s="8"/>
      <c r="B633" s="9"/>
      <c r="C633" s="9"/>
      <c r="D633" s="10"/>
      <c r="E633" s="10"/>
      <c r="F633" s="10"/>
      <c r="G633" s="10"/>
      <c r="H633" s="10"/>
      <c r="I633" s="10"/>
      <c r="J633" s="10"/>
      <c r="K633" s="11"/>
      <c r="L633" s="5"/>
      <c r="M633" s="11"/>
      <c r="N633" s="11"/>
      <c r="O633" s="11"/>
      <c r="P633" s="11"/>
      <c r="Q633" s="11"/>
    </row>
    <row r="634" ht="15.75" customHeight="1">
      <c r="A634" s="8"/>
      <c r="B634" s="9"/>
      <c r="C634" s="9"/>
      <c r="D634" s="10"/>
      <c r="E634" s="10"/>
      <c r="F634" s="10"/>
      <c r="G634" s="10"/>
      <c r="H634" s="10"/>
      <c r="I634" s="10"/>
      <c r="J634" s="10"/>
      <c r="K634" s="11"/>
      <c r="L634" s="5"/>
      <c r="M634" s="11"/>
      <c r="N634" s="11"/>
      <c r="O634" s="11"/>
      <c r="P634" s="11"/>
      <c r="Q634" s="11"/>
    </row>
    <row r="635" ht="15.75" customHeight="1">
      <c r="A635" s="8"/>
      <c r="B635" s="9"/>
      <c r="C635" s="9"/>
      <c r="D635" s="10"/>
      <c r="E635" s="10"/>
      <c r="F635" s="10"/>
      <c r="G635" s="10"/>
      <c r="H635" s="10"/>
      <c r="I635" s="10"/>
      <c r="J635" s="10"/>
      <c r="K635" s="11"/>
      <c r="L635" s="5"/>
      <c r="M635" s="11"/>
      <c r="N635" s="11"/>
      <c r="O635" s="11"/>
      <c r="P635" s="11"/>
      <c r="Q635" s="11"/>
    </row>
    <row r="636" ht="15.75" customHeight="1">
      <c r="A636" s="8"/>
      <c r="B636" s="9"/>
      <c r="C636" s="9"/>
      <c r="D636" s="10"/>
      <c r="E636" s="10"/>
      <c r="F636" s="10"/>
      <c r="G636" s="10"/>
      <c r="H636" s="10"/>
      <c r="I636" s="10"/>
      <c r="J636" s="10"/>
      <c r="K636" s="11"/>
      <c r="L636" s="5"/>
      <c r="M636" s="11"/>
      <c r="N636" s="11"/>
      <c r="O636" s="11"/>
      <c r="P636" s="11"/>
      <c r="Q636" s="11"/>
    </row>
    <row r="637" ht="15.75" customHeight="1">
      <c r="A637" s="8"/>
      <c r="B637" s="9"/>
      <c r="C637" s="9"/>
      <c r="D637" s="10"/>
      <c r="E637" s="10"/>
      <c r="F637" s="10"/>
      <c r="G637" s="10"/>
      <c r="H637" s="10"/>
      <c r="I637" s="10"/>
      <c r="J637" s="10"/>
      <c r="K637" s="11"/>
      <c r="L637" s="5"/>
      <c r="M637" s="11"/>
      <c r="N637" s="11"/>
      <c r="O637" s="11"/>
      <c r="P637" s="11"/>
      <c r="Q637" s="11"/>
    </row>
    <row r="638" ht="15.75" customHeight="1">
      <c r="A638" s="8"/>
      <c r="B638" s="9"/>
      <c r="C638" s="9"/>
      <c r="D638" s="10"/>
      <c r="E638" s="10"/>
      <c r="F638" s="10"/>
      <c r="G638" s="10"/>
      <c r="H638" s="10"/>
      <c r="I638" s="10"/>
      <c r="J638" s="10"/>
      <c r="K638" s="11"/>
      <c r="L638" s="5"/>
      <c r="M638" s="11"/>
      <c r="N638" s="11"/>
      <c r="O638" s="11"/>
      <c r="P638" s="11"/>
      <c r="Q638" s="11"/>
    </row>
    <row r="639" ht="15.75" customHeight="1">
      <c r="A639" s="8"/>
      <c r="B639" s="9"/>
      <c r="C639" s="9"/>
      <c r="D639" s="10"/>
      <c r="E639" s="10"/>
      <c r="F639" s="10"/>
      <c r="G639" s="10"/>
      <c r="H639" s="10"/>
      <c r="I639" s="10"/>
      <c r="J639" s="10"/>
      <c r="K639" s="11"/>
      <c r="L639" s="5"/>
      <c r="M639" s="11"/>
      <c r="N639" s="11"/>
      <c r="O639" s="11"/>
      <c r="P639" s="11"/>
      <c r="Q639" s="11"/>
    </row>
    <row r="640" ht="15.75" customHeight="1">
      <c r="A640" s="8"/>
      <c r="B640" s="9"/>
      <c r="C640" s="9"/>
      <c r="D640" s="10"/>
      <c r="E640" s="10"/>
      <c r="F640" s="10"/>
      <c r="G640" s="10"/>
      <c r="H640" s="10"/>
      <c r="I640" s="10"/>
      <c r="J640" s="10"/>
      <c r="K640" s="11"/>
      <c r="L640" s="5"/>
      <c r="M640" s="11"/>
      <c r="N640" s="11"/>
      <c r="O640" s="11"/>
      <c r="P640" s="11"/>
      <c r="Q640" s="11"/>
    </row>
    <row r="641" ht="15.75" customHeight="1">
      <c r="A641" s="8"/>
      <c r="B641" s="9"/>
      <c r="C641" s="9"/>
      <c r="D641" s="10"/>
      <c r="E641" s="10"/>
      <c r="F641" s="10"/>
      <c r="G641" s="10"/>
      <c r="H641" s="10"/>
      <c r="I641" s="10"/>
      <c r="J641" s="10"/>
      <c r="K641" s="11"/>
      <c r="L641" s="5"/>
      <c r="M641" s="11"/>
      <c r="N641" s="11"/>
      <c r="O641" s="11"/>
      <c r="P641" s="11"/>
      <c r="Q641" s="11"/>
    </row>
    <row r="642" ht="15.75" customHeight="1">
      <c r="A642" s="8"/>
      <c r="B642" s="9"/>
      <c r="C642" s="9"/>
      <c r="D642" s="10"/>
      <c r="E642" s="10"/>
      <c r="F642" s="10"/>
      <c r="G642" s="10"/>
      <c r="H642" s="10"/>
      <c r="I642" s="10"/>
      <c r="J642" s="10"/>
      <c r="K642" s="11"/>
      <c r="L642" s="5"/>
      <c r="M642" s="11"/>
      <c r="N642" s="11"/>
      <c r="O642" s="11"/>
      <c r="P642" s="11"/>
      <c r="Q642" s="11"/>
    </row>
    <row r="643" ht="15.75" customHeight="1">
      <c r="A643" s="8"/>
      <c r="B643" s="9"/>
      <c r="C643" s="9"/>
      <c r="D643" s="10"/>
      <c r="E643" s="10"/>
      <c r="F643" s="10"/>
      <c r="G643" s="10"/>
      <c r="H643" s="10"/>
      <c r="I643" s="10"/>
      <c r="J643" s="10"/>
      <c r="K643" s="11"/>
      <c r="L643" s="5"/>
      <c r="M643" s="11"/>
      <c r="N643" s="11"/>
      <c r="O643" s="11"/>
      <c r="P643" s="11"/>
      <c r="Q643" s="11"/>
    </row>
    <row r="644" ht="15.75" customHeight="1">
      <c r="A644" s="8"/>
      <c r="B644" s="9"/>
      <c r="C644" s="9"/>
      <c r="D644" s="10"/>
      <c r="E644" s="10"/>
      <c r="F644" s="10"/>
      <c r="G644" s="10"/>
      <c r="H644" s="10"/>
      <c r="I644" s="10"/>
      <c r="J644" s="10"/>
      <c r="K644" s="11"/>
      <c r="L644" s="5"/>
      <c r="M644" s="11"/>
      <c r="N644" s="11"/>
      <c r="O644" s="11"/>
      <c r="P644" s="11"/>
      <c r="Q644" s="11"/>
    </row>
    <row r="645" ht="15.75" customHeight="1">
      <c r="A645" s="8"/>
      <c r="B645" s="9"/>
      <c r="C645" s="9"/>
      <c r="D645" s="10"/>
      <c r="E645" s="10"/>
      <c r="F645" s="10"/>
      <c r="G645" s="10"/>
      <c r="H645" s="10"/>
      <c r="I645" s="10"/>
      <c r="J645" s="10"/>
      <c r="K645" s="11"/>
      <c r="L645" s="5"/>
      <c r="M645" s="11"/>
      <c r="N645" s="11"/>
      <c r="O645" s="11"/>
      <c r="P645" s="11"/>
      <c r="Q645" s="11"/>
    </row>
    <row r="646" ht="15.75" customHeight="1">
      <c r="A646" s="8"/>
      <c r="B646" s="9"/>
      <c r="C646" s="9"/>
      <c r="D646" s="10"/>
      <c r="E646" s="10"/>
      <c r="F646" s="10"/>
      <c r="G646" s="10"/>
      <c r="H646" s="10"/>
      <c r="I646" s="10"/>
      <c r="J646" s="10"/>
      <c r="K646" s="11"/>
      <c r="L646" s="5"/>
      <c r="M646" s="11"/>
      <c r="N646" s="11"/>
      <c r="O646" s="11"/>
      <c r="P646" s="11"/>
      <c r="Q646" s="11"/>
    </row>
    <row r="647" ht="15.75" customHeight="1">
      <c r="A647" s="8"/>
      <c r="B647" s="9"/>
      <c r="C647" s="9"/>
      <c r="D647" s="10"/>
      <c r="E647" s="10"/>
      <c r="F647" s="10"/>
      <c r="G647" s="10"/>
      <c r="H647" s="10"/>
      <c r="I647" s="10"/>
      <c r="J647" s="10"/>
      <c r="K647" s="11"/>
      <c r="L647" s="5"/>
      <c r="M647" s="11"/>
      <c r="N647" s="11"/>
      <c r="O647" s="11"/>
      <c r="P647" s="11"/>
      <c r="Q647" s="11"/>
    </row>
    <row r="648" ht="15.75" customHeight="1">
      <c r="A648" s="8"/>
      <c r="B648" s="9"/>
      <c r="C648" s="9"/>
      <c r="D648" s="10"/>
      <c r="E648" s="10"/>
      <c r="F648" s="10"/>
      <c r="G648" s="10"/>
      <c r="H648" s="10"/>
      <c r="I648" s="10"/>
      <c r="J648" s="10"/>
      <c r="K648" s="11"/>
      <c r="L648" s="5"/>
      <c r="M648" s="11"/>
      <c r="N648" s="11"/>
      <c r="O648" s="11"/>
      <c r="P648" s="11"/>
      <c r="Q648" s="11"/>
    </row>
    <row r="649" ht="15.75" customHeight="1">
      <c r="A649" s="8"/>
      <c r="B649" s="9"/>
      <c r="C649" s="9"/>
      <c r="D649" s="10"/>
      <c r="E649" s="10"/>
      <c r="F649" s="10"/>
      <c r="G649" s="10"/>
      <c r="H649" s="10"/>
      <c r="I649" s="10"/>
      <c r="J649" s="10"/>
      <c r="K649" s="11"/>
      <c r="L649" s="5"/>
      <c r="M649" s="11"/>
      <c r="N649" s="11"/>
      <c r="O649" s="11"/>
      <c r="P649" s="11"/>
      <c r="Q649" s="11"/>
    </row>
    <row r="650" ht="15.75" customHeight="1">
      <c r="A650" s="8"/>
      <c r="B650" s="9"/>
      <c r="C650" s="9"/>
      <c r="D650" s="10"/>
      <c r="E650" s="10"/>
      <c r="F650" s="10"/>
      <c r="G650" s="10"/>
      <c r="H650" s="10"/>
      <c r="I650" s="10"/>
      <c r="J650" s="10"/>
      <c r="K650" s="11"/>
      <c r="L650" s="5"/>
      <c r="M650" s="11"/>
      <c r="N650" s="11"/>
      <c r="O650" s="11"/>
      <c r="P650" s="11"/>
      <c r="Q650" s="11"/>
    </row>
    <row r="651" ht="15.75" customHeight="1">
      <c r="A651" s="8"/>
      <c r="B651" s="9"/>
      <c r="C651" s="9"/>
      <c r="D651" s="10"/>
      <c r="E651" s="10"/>
      <c r="F651" s="10"/>
      <c r="G651" s="10"/>
      <c r="H651" s="10"/>
      <c r="I651" s="10"/>
      <c r="J651" s="10"/>
      <c r="K651" s="11"/>
      <c r="L651" s="5"/>
      <c r="M651" s="11"/>
      <c r="N651" s="11"/>
      <c r="O651" s="11"/>
      <c r="P651" s="11"/>
      <c r="Q651" s="11"/>
    </row>
    <row r="652" ht="15.75" customHeight="1">
      <c r="A652" s="8"/>
      <c r="B652" s="9"/>
      <c r="C652" s="9"/>
      <c r="D652" s="10"/>
      <c r="E652" s="10"/>
      <c r="F652" s="10"/>
      <c r="G652" s="10"/>
      <c r="H652" s="10"/>
      <c r="I652" s="10"/>
      <c r="J652" s="10"/>
      <c r="K652" s="11"/>
      <c r="L652" s="5"/>
      <c r="M652" s="11"/>
      <c r="N652" s="11"/>
      <c r="O652" s="11"/>
      <c r="P652" s="11"/>
      <c r="Q652" s="11"/>
    </row>
    <row r="653" ht="15.75" customHeight="1">
      <c r="A653" s="8"/>
      <c r="B653" s="9"/>
      <c r="C653" s="9"/>
      <c r="D653" s="10"/>
      <c r="E653" s="10"/>
      <c r="F653" s="10"/>
      <c r="G653" s="10"/>
      <c r="H653" s="10"/>
      <c r="I653" s="10"/>
      <c r="J653" s="10"/>
      <c r="K653" s="11"/>
      <c r="L653" s="5"/>
      <c r="M653" s="11"/>
      <c r="N653" s="11"/>
      <c r="O653" s="11"/>
      <c r="P653" s="11"/>
      <c r="Q653" s="11"/>
    </row>
    <row r="654" ht="15.75" customHeight="1">
      <c r="A654" s="8"/>
      <c r="B654" s="9"/>
      <c r="C654" s="9"/>
      <c r="D654" s="10"/>
      <c r="E654" s="10"/>
      <c r="F654" s="10"/>
      <c r="G654" s="10"/>
      <c r="H654" s="10"/>
      <c r="I654" s="10"/>
      <c r="J654" s="10"/>
      <c r="K654" s="11"/>
      <c r="L654" s="5"/>
      <c r="M654" s="11"/>
      <c r="N654" s="11"/>
      <c r="O654" s="11"/>
      <c r="P654" s="11"/>
      <c r="Q654" s="11"/>
    </row>
    <row r="655" ht="15.75" customHeight="1">
      <c r="D655" s="27"/>
      <c r="E655" s="27"/>
      <c r="F655" s="27"/>
      <c r="G655" s="27"/>
      <c r="H655" s="27"/>
      <c r="I655" s="27"/>
      <c r="J655" s="27"/>
      <c r="L655" s="27"/>
    </row>
    <row r="656" ht="15.75" customHeight="1">
      <c r="D656" s="27"/>
      <c r="E656" s="27"/>
      <c r="F656" s="27"/>
      <c r="G656" s="27"/>
      <c r="H656" s="27"/>
      <c r="I656" s="27"/>
      <c r="J656" s="27"/>
      <c r="L656" s="27"/>
    </row>
    <row r="657" ht="15.75" customHeight="1">
      <c r="D657" s="27"/>
      <c r="E657" s="27"/>
      <c r="F657" s="27"/>
      <c r="G657" s="27"/>
      <c r="H657" s="27"/>
      <c r="I657" s="27"/>
      <c r="J657" s="27"/>
      <c r="L657" s="27"/>
    </row>
    <row r="658" ht="15.75" customHeight="1">
      <c r="D658" s="27"/>
      <c r="E658" s="27"/>
      <c r="F658" s="27"/>
      <c r="G658" s="27"/>
      <c r="H658" s="27"/>
      <c r="I658" s="27"/>
      <c r="J658" s="27"/>
      <c r="L658" s="27"/>
    </row>
    <row r="659" ht="15.75" customHeight="1">
      <c r="D659" s="27"/>
      <c r="E659" s="27"/>
      <c r="F659" s="27"/>
      <c r="G659" s="27"/>
      <c r="H659" s="27"/>
      <c r="I659" s="27"/>
      <c r="J659" s="27"/>
      <c r="L659" s="27"/>
    </row>
    <row r="660" ht="15.75" customHeight="1">
      <c r="D660" s="27"/>
      <c r="E660" s="27"/>
      <c r="F660" s="27"/>
      <c r="G660" s="27"/>
      <c r="H660" s="27"/>
      <c r="I660" s="27"/>
      <c r="J660" s="27"/>
      <c r="L660" s="27"/>
    </row>
    <row r="661" ht="15.75" customHeight="1">
      <c r="D661" s="27"/>
      <c r="E661" s="27"/>
      <c r="F661" s="27"/>
      <c r="G661" s="27"/>
      <c r="H661" s="27"/>
      <c r="I661" s="27"/>
      <c r="J661" s="27"/>
      <c r="L661" s="27"/>
    </row>
    <row r="662" ht="15.75" customHeight="1">
      <c r="D662" s="27"/>
      <c r="E662" s="27"/>
      <c r="F662" s="27"/>
      <c r="G662" s="27"/>
      <c r="H662" s="27"/>
      <c r="I662" s="27"/>
      <c r="J662" s="27"/>
      <c r="L662" s="27"/>
    </row>
    <row r="663" ht="15.75" customHeight="1">
      <c r="D663" s="27"/>
      <c r="E663" s="27"/>
      <c r="F663" s="27"/>
      <c r="G663" s="27"/>
      <c r="H663" s="27"/>
      <c r="I663" s="27"/>
      <c r="J663" s="27"/>
      <c r="L663" s="27"/>
    </row>
    <row r="664" ht="15.75" customHeight="1">
      <c r="D664" s="27"/>
      <c r="E664" s="27"/>
      <c r="F664" s="27"/>
      <c r="G664" s="27"/>
      <c r="H664" s="27"/>
      <c r="I664" s="27"/>
      <c r="J664" s="27"/>
      <c r="L664" s="27"/>
    </row>
    <row r="665" ht="15.75" customHeight="1">
      <c r="D665" s="27"/>
      <c r="E665" s="27"/>
      <c r="F665" s="27"/>
      <c r="G665" s="27"/>
      <c r="H665" s="27"/>
      <c r="I665" s="27"/>
      <c r="J665" s="27"/>
      <c r="L665" s="27"/>
    </row>
    <row r="666" ht="15.75" customHeight="1">
      <c r="D666" s="27"/>
      <c r="E666" s="27"/>
      <c r="F666" s="27"/>
      <c r="G666" s="27"/>
      <c r="H666" s="27"/>
      <c r="I666" s="27"/>
      <c r="J666" s="27"/>
      <c r="L666" s="27"/>
    </row>
    <row r="667" ht="15.75" customHeight="1">
      <c r="D667" s="27"/>
      <c r="E667" s="27"/>
      <c r="F667" s="27"/>
      <c r="G667" s="27"/>
      <c r="H667" s="27"/>
      <c r="I667" s="27"/>
      <c r="J667" s="27"/>
      <c r="L667" s="27"/>
    </row>
    <row r="668" ht="15.75" customHeight="1">
      <c r="D668" s="27"/>
      <c r="E668" s="27"/>
      <c r="F668" s="27"/>
      <c r="G668" s="27"/>
      <c r="H668" s="27"/>
      <c r="I668" s="27"/>
      <c r="J668" s="27"/>
      <c r="L668" s="27"/>
    </row>
    <row r="669" ht="15.75" customHeight="1">
      <c r="D669" s="27"/>
      <c r="E669" s="27"/>
      <c r="F669" s="27"/>
      <c r="G669" s="27"/>
      <c r="H669" s="27"/>
      <c r="I669" s="27"/>
      <c r="J669" s="27"/>
      <c r="L669" s="27"/>
    </row>
    <row r="670" ht="15.75" customHeight="1">
      <c r="D670" s="27"/>
      <c r="E670" s="27"/>
      <c r="F670" s="27"/>
      <c r="G670" s="27"/>
      <c r="H670" s="27"/>
      <c r="I670" s="27"/>
      <c r="J670" s="27"/>
      <c r="L670" s="27"/>
    </row>
    <row r="671" ht="15.75" customHeight="1">
      <c r="D671" s="27"/>
      <c r="E671" s="27"/>
      <c r="F671" s="27"/>
      <c r="G671" s="27"/>
      <c r="H671" s="27"/>
      <c r="I671" s="27"/>
      <c r="J671" s="27"/>
      <c r="L671" s="27"/>
    </row>
    <row r="672" ht="15.75" customHeight="1">
      <c r="D672" s="27"/>
      <c r="E672" s="27"/>
      <c r="F672" s="27"/>
      <c r="G672" s="27"/>
      <c r="H672" s="27"/>
      <c r="I672" s="27"/>
      <c r="J672" s="27"/>
      <c r="L672" s="27"/>
    </row>
    <row r="673" ht="15.75" customHeight="1">
      <c r="D673" s="27"/>
      <c r="E673" s="27"/>
      <c r="F673" s="27"/>
      <c r="G673" s="27"/>
      <c r="H673" s="27"/>
      <c r="I673" s="27"/>
      <c r="J673" s="27"/>
      <c r="L673" s="27"/>
    </row>
    <row r="674" ht="15.75" customHeight="1">
      <c r="D674" s="27"/>
      <c r="E674" s="27"/>
      <c r="F674" s="27"/>
      <c r="G674" s="27"/>
      <c r="H674" s="27"/>
      <c r="I674" s="27"/>
      <c r="J674" s="27"/>
      <c r="L674" s="27"/>
    </row>
    <row r="675" ht="15.75" customHeight="1">
      <c r="D675" s="27"/>
      <c r="E675" s="27"/>
      <c r="F675" s="27"/>
      <c r="G675" s="27"/>
      <c r="H675" s="27"/>
      <c r="I675" s="27"/>
      <c r="J675" s="27"/>
      <c r="L675" s="27"/>
    </row>
    <row r="676" ht="15.75" customHeight="1">
      <c r="D676" s="27"/>
      <c r="E676" s="27"/>
      <c r="F676" s="27"/>
      <c r="G676" s="27"/>
      <c r="H676" s="27"/>
      <c r="I676" s="27"/>
      <c r="J676" s="27"/>
      <c r="L676" s="27"/>
    </row>
    <row r="677" ht="15.75" customHeight="1">
      <c r="D677" s="27"/>
      <c r="E677" s="27"/>
      <c r="F677" s="27"/>
      <c r="G677" s="27"/>
      <c r="H677" s="27"/>
      <c r="I677" s="27"/>
      <c r="J677" s="27"/>
      <c r="L677" s="27"/>
    </row>
    <row r="678" ht="15.75" customHeight="1">
      <c r="D678" s="27"/>
      <c r="E678" s="27"/>
      <c r="F678" s="27"/>
      <c r="G678" s="27"/>
      <c r="H678" s="27"/>
      <c r="I678" s="27"/>
      <c r="J678" s="27"/>
      <c r="L678" s="27"/>
    </row>
    <row r="679" ht="15.75" customHeight="1">
      <c r="D679" s="27"/>
      <c r="E679" s="27"/>
      <c r="F679" s="27"/>
      <c r="G679" s="27"/>
      <c r="H679" s="27"/>
      <c r="I679" s="27"/>
      <c r="J679" s="27"/>
      <c r="L679" s="27"/>
    </row>
    <row r="680" ht="15.75" customHeight="1">
      <c r="D680" s="27"/>
      <c r="E680" s="27"/>
      <c r="F680" s="27"/>
      <c r="G680" s="27"/>
      <c r="H680" s="27"/>
      <c r="I680" s="27"/>
      <c r="J680" s="27"/>
      <c r="L680" s="27"/>
    </row>
    <row r="681" ht="15.75" customHeight="1">
      <c r="D681" s="27"/>
      <c r="E681" s="27"/>
      <c r="F681" s="27"/>
      <c r="G681" s="27"/>
      <c r="H681" s="27"/>
      <c r="I681" s="27"/>
      <c r="J681" s="27"/>
      <c r="L681" s="27"/>
    </row>
    <row r="682" ht="15.75" customHeight="1">
      <c r="D682" s="27"/>
      <c r="E682" s="27"/>
      <c r="F682" s="27"/>
      <c r="G682" s="27"/>
      <c r="H682" s="27"/>
      <c r="I682" s="27"/>
      <c r="J682" s="27"/>
      <c r="L682" s="27"/>
    </row>
    <row r="683" ht="15.75" customHeight="1">
      <c r="D683" s="27"/>
      <c r="E683" s="27"/>
      <c r="F683" s="27"/>
      <c r="G683" s="27"/>
      <c r="H683" s="27"/>
      <c r="I683" s="27"/>
      <c r="J683" s="27"/>
      <c r="L683" s="27"/>
    </row>
    <row r="684" ht="15.75" customHeight="1">
      <c r="D684" s="27"/>
      <c r="E684" s="27"/>
      <c r="F684" s="27"/>
      <c r="G684" s="27"/>
      <c r="H684" s="27"/>
      <c r="I684" s="27"/>
      <c r="J684" s="27"/>
      <c r="L684" s="27"/>
    </row>
    <row r="685" ht="15.75" customHeight="1">
      <c r="D685" s="27"/>
      <c r="E685" s="27"/>
      <c r="F685" s="27"/>
      <c r="G685" s="27"/>
      <c r="H685" s="27"/>
      <c r="I685" s="27"/>
      <c r="J685" s="27"/>
      <c r="L685" s="27"/>
    </row>
    <row r="686" ht="15.75" customHeight="1">
      <c r="D686" s="27"/>
      <c r="E686" s="27"/>
      <c r="F686" s="27"/>
      <c r="G686" s="27"/>
      <c r="H686" s="27"/>
      <c r="I686" s="27"/>
      <c r="J686" s="27"/>
      <c r="L686" s="27"/>
    </row>
    <row r="687" ht="15.75" customHeight="1">
      <c r="D687" s="27"/>
      <c r="E687" s="27"/>
      <c r="F687" s="27"/>
      <c r="G687" s="27"/>
      <c r="H687" s="27"/>
      <c r="I687" s="27"/>
      <c r="J687" s="27"/>
      <c r="L687" s="27"/>
    </row>
    <row r="688" ht="15.75" customHeight="1">
      <c r="D688" s="27"/>
      <c r="E688" s="27"/>
      <c r="F688" s="27"/>
      <c r="G688" s="27"/>
      <c r="H688" s="27"/>
      <c r="I688" s="27"/>
      <c r="J688" s="27"/>
      <c r="L688" s="27"/>
    </row>
    <row r="689" ht="15.75" customHeight="1">
      <c r="D689" s="27"/>
      <c r="E689" s="27"/>
      <c r="F689" s="27"/>
      <c r="G689" s="27"/>
      <c r="H689" s="27"/>
      <c r="I689" s="27"/>
      <c r="J689" s="27"/>
      <c r="L689" s="27"/>
    </row>
    <row r="690" ht="15.75" customHeight="1">
      <c r="D690" s="27"/>
      <c r="E690" s="27"/>
      <c r="F690" s="27"/>
      <c r="G690" s="27"/>
      <c r="H690" s="27"/>
      <c r="I690" s="27"/>
      <c r="J690" s="27"/>
      <c r="L690" s="27"/>
    </row>
    <row r="691" ht="15.75" customHeight="1">
      <c r="D691" s="27"/>
      <c r="E691" s="27"/>
      <c r="F691" s="27"/>
      <c r="G691" s="27"/>
      <c r="H691" s="27"/>
      <c r="I691" s="27"/>
      <c r="J691" s="27"/>
      <c r="L691" s="27"/>
    </row>
    <row r="692" ht="15.75" customHeight="1">
      <c r="D692" s="27"/>
      <c r="E692" s="27"/>
      <c r="F692" s="27"/>
      <c r="G692" s="27"/>
      <c r="H692" s="27"/>
      <c r="I692" s="27"/>
      <c r="J692" s="27"/>
      <c r="L692" s="27"/>
    </row>
    <row r="693" ht="15.75" customHeight="1">
      <c r="D693" s="27"/>
      <c r="E693" s="27"/>
      <c r="F693" s="27"/>
      <c r="G693" s="27"/>
      <c r="H693" s="27"/>
      <c r="I693" s="27"/>
      <c r="J693" s="27"/>
      <c r="L693" s="27"/>
    </row>
    <row r="694" ht="15.75" customHeight="1">
      <c r="D694" s="27"/>
      <c r="E694" s="27"/>
      <c r="F694" s="27"/>
      <c r="G694" s="27"/>
      <c r="H694" s="27"/>
      <c r="I694" s="27"/>
      <c r="J694" s="27"/>
      <c r="L694" s="27"/>
    </row>
    <row r="695" ht="15.75" customHeight="1">
      <c r="D695" s="27"/>
      <c r="E695" s="27"/>
      <c r="F695" s="27"/>
      <c r="G695" s="27"/>
      <c r="H695" s="27"/>
      <c r="I695" s="27"/>
      <c r="J695" s="27"/>
      <c r="L695" s="27"/>
    </row>
    <row r="696" ht="15.75" customHeight="1">
      <c r="D696" s="27"/>
      <c r="E696" s="27"/>
      <c r="F696" s="27"/>
      <c r="G696" s="27"/>
      <c r="H696" s="27"/>
      <c r="I696" s="27"/>
      <c r="J696" s="27"/>
      <c r="L696" s="27"/>
    </row>
    <row r="697" ht="15.75" customHeight="1">
      <c r="D697" s="27"/>
      <c r="E697" s="27"/>
      <c r="F697" s="27"/>
      <c r="G697" s="27"/>
      <c r="H697" s="27"/>
      <c r="I697" s="27"/>
      <c r="J697" s="27"/>
      <c r="L697" s="27"/>
    </row>
    <row r="698" ht="15.75" customHeight="1">
      <c r="D698" s="27"/>
      <c r="E698" s="27"/>
      <c r="F698" s="27"/>
      <c r="G698" s="27"/>
      <c r="H698" s="27"/>
      <c r="I698" s="27"/>
      <c r="J698" s="27"/>
      <c r="L698" s="27"/>
    </row>
    <row r="699" ht="15.75" customHeight="1">
      <c r="D699" s="27"/>
      <c r="E699" s="27"/>
      <c r="F699" s="27"/>
      <c r="G699" s="27"/>
      <c r="H699" s="27"/>
      <c r="I699" s="27"/>
      <c r="J699" s="27"/>
      <c r="L699" s="27"/>
    </row>
    <row r="700" ht="15.75" customHeight="1">
      <c r="D700" s="27"/>
      <c r="E700" s="27"/>
      <c r="F700" s="27"/>
      <c r="G700" s="27"/>
      <c r="H700" s="27"/>
      <c r="I700" s="27"/>
      <c r="J700" s="27"/>
      <c r="L700" s="27"/>
    </row>
    <row r="701" ht="15.75" customHeight="1">
      <c r="D701" s="27"/>
      <c r="E701" s="27"/>
      <c r="F701" s="27"/>
      <c r="G701" s="27"/>
      <c r="H701" s="27"/>
      <c r="I701" s="27"/>
      <c r="J701" s="27"/>
      <c r="L701" s="27"/>
    </row>
    <row r="702" ht="15.75" customHeight="1">
      <c r="D702" s="27"/>
      <c r="E702" s="27"/>
      <c r="F702" s="27"/>
      <c r="G702" s="27"/>
      <c r="H702" s="27"/>
      <c r="I702" s="27"/>
      <c r="J702" s="27"/>
      <c r="L702" s="27"/>
    </row>
    <row r="703" ht="15.75" customHeight="1">
      <c r="D703" s="27"/>
      <c r="E703" s="27"/>
      <c r="F703" s="27"/>
      <c r="G703" s="27"/>
      <c r="H703" s="27"/>
      <c r="I703" s="27"/>
      <c r="J703" s="27"/>
      <c r="L703" s="27"/>
    </row>
    <row r="704" ht="15.75" customHeight="1">
      <c r="D704" s="27"/>
      <c r="E704" s="27"/>
      <c r="F704" s="27"/>
      <c r="G704" s="27"/>
      <c r="H704" s="27"/>
      <c r="I704" s="27"/>
      <c r="J704" s="27"/>
      <c r="L704" s="27"/>
    </row>
    <row r="705" ht="15.75" customHeight="1">
      <c r="D705" s="27"/>
      <c r="E705" s="27"/>
      <c r="F705" s="27"/>
      <c r="G705" s="27"/>
      <c r="H705" s="27"/>
      <c r="I705" s="27"/>
      <c r="J705" s="27"/>
      <c r="L705" s="27"/>
    </row>
    <row r="706" ht="15.75" customHeight="1">
      <c r="D706" s="27"/>
      <c r="E706" s="27"/>
      <c r="F706" s="27"/>
      <c r="G706" s="27"/>
      <c r="H706" s="27"/>
      <c r="I706" s="27"/>
      <c r="J706" s="27"/>
      <c r="L706" s="27"/>
    </row>
    <row r="707" ht="15.75" customHeight="1">
      <c r="D707" s="27"/>
      <c r="E707" s="27"/>
      <c r="F707" s="27"/>
      <c r="G707" s="27"/>
      <c r="H707" s="27"/>
      <c r="I707" s="27"/>
      <c r="J707" s="27"/>
      <c r="L707" s="27"/>
    </row>
    <row r="708" ht="15.75" customHeight="1">
      <c r="D708" s="27"/>
      <c r="E708" s="27"/>
      <c r="F708" s="27"/>
      <c r="G708" s="27"/>
      <c r="H708" s="27"/>
      <c r="I708" s="27"/>
      <c r="J708" s="27"/>
      <c r="L708" s="27"/>
    </row>
    <row r="709" ht="15.75" customHeight="1">
      <c r="D709" s="27"/>
      <c r="E709" s="27"/>
      <c r="F709" s="27"/>
      <c r="G709" s="27"/>
      <c r="H709" s="27"/>
      <c r="I709" s="27"/>
      <c r="J709" s="27"/>
      <c r="L709" s="27"/>
    </row>
    <row r="710" ht="15.75" customHeight="1">
      <c r="D710" s="27"/>
      <c r="E710" s="27"/>
      <c r="F710" s="27"/>
      <c r="G710" s="27"/>
      <c r="H710" s="27"/>
      <c r="I710" s="27"/>
      <c r="J710" s="27"/>
      <c r="L710" s="27"/>
    </row>
    <row r="711" ht="15.75" customHeight="1">
      <c r="D711" s="27"/>
      <c r="E711" s="27"/>
      <c r="F711" s="27"/>
      <c r="G711" s="27"/>
      <c r="H711" s="27"/>
      <c r="I711" s="27"/>
      <c r="J711" s="27"/>
      <c r="L711" s="27"/>
    </row>
    <row r="712" ht="15.75" customHeight="1">
      <c r="D712" s="27"/>
      <c r="E712" s="27"/>
      <c r="F712" s="27"/>
      <c r="G712" s="27"/>
      <c r="H712" s="27"/>
      <c r="I712" s="27"/>
      <c r="J712" s="27"/>
      <c r="L712" s="27"/>
    </row>
    <row r="713" ht="15.75" customHeight="1">
      <c r="D713" s="27"/>
      <c r="E713" s="27"/>
      <c r="F713" s="27"/>
      <c r="G713" s="27"/>
      <c r="H713" s="27"/>
      <c r="I713" s="27"/>
      <c r="J713" s="27"/>
      <c r="L713" s="27"/>
    </row>
    <row r="714" ht="15.75" customHeight="1">
      <c r="D714" s="27"/>
      <c r="E714" s="27"/>
      <c r="F714" s="27"/>
      <c r="G714" s="27"/>
      <c r="H714" s="27"/>
      <c r="I714" s="27"/>
      <c r="J714" s="27"/>
      <c r="L714" s="27"/>
    </row>
    <row r="715" ht="15.75" customHeight="1">
      <c r="D715" s="27"/>
      <c r="E715" s="27"/>
      <c r="F715" s="27"/>
      <c r="G715" s="27"/>
      <c r="H715" s="27"/>
      <c r="I715" s="27"/>
      <c r="J715" s="27"/>
      <c r="L715" s="27"/>
    </row>
    <row r="716" ht="15.75" customHeight="1">
      <c r="D716" s="27"/>
      <c r="E716" s="27"/>
      <c r="F716" s="27"/>
      <c r="G716" s="27"/>
      <c r="H716" s="27"/>
      <c r="I716" s="27"/>
      <c r="J716" s="27"/>
      <c r="L716" s="27"/>
    </row>
    <row r="717" ht="15.75" customHeight="1">
      <c r="D717" s="27"/>
      <c r="E717" s="27"/>
      <c r="F717" s="27"/>
      <c r="G717" s="27"/>
      <c r="H717" s="27"/>
      <c r="I717" s="27"/>
      <c r="J717" s="27"/>
      <c r="L717" s="27"/>
    </row>
    <row r="718" ht="15.75" customHeight="1">
      <c r="D718" s="27"/>
      <c r="E718" s="27"/>
      <c r="F718" s="27"/>
      <c r="G718" s="27"/>
      <c r="H718" s="27"/>
      <c r="I718" s="27"/>
      <c r="J718" s="27"/>
      <c r="L718" s="27"/>
    </row>
    <row r="719" ht="15.75" customHeight="1">
      <c r="D719" s="27"/>
      <c r="E719" s="27"/>
      <c r="F719" s="27"/>
      <c r="G719" s="27"/>
      <c r="H719" s="27"/>
      <c r="I719" s="27"/>
      <c r="J719" s="27"/>
      <c r="L719" s="27"/>
    </row>
    <row r="720" ht="15.75" customHeight="1">
      <c r="D720" s="27"/>
      <c r="E720" s="27"/>
      <c r="F720" s="27"/>
      <c r="G720" s="27"/>
      <c r="H720" s="27"/>
      <c r="I720" s="27"/>
      <c r="J720" s="27"/>
      <c r="L720" s="27"/>
    </row>
    <row r="721" ht="15.75" customHeight="1">
      <c r="D721" s="27"/>
      <c r="E721" s="27"/>
      <c r="F721" s="27"/>
      <c r="G721" s="27"/>
      <c r="H721" s="27"/>
      <c r="I721" s="27"/>
      <c r="J721" s="27"/>
      <c r="L721" s="27"/>
    </row>
    <row r="722" ht="15.75" customHeight="1">
      <c r="D722" s="27"/>
      <c r="E722" s="27"/>
      <c r="F722" s="27"/>
      <c r="G722" s="27"/>
      <c r="H722" s="27"/>
      <c r="I722" s="27"/>
      <c r="J722" s="27"/>
      <c r="L722" s="27"/>
    </row>
    <row r="723" ht="15.75" customHeight="1">
      <c r="D723" s="27"/>
      <c r="E723" s="27"/>
      <c r="F723" s="27"/>
      <c r="G723" s="27"/>
      <c r="H723" s="27"/>
      <c r="I723" s="27"/>
      <c r="J723" s="27"/>
      <c r="L723" s="27"/>
    </row>
    <row r="724" ht="15.75" customHeight="1">
      <c r="D724" s="27"/>
      <c r="E724" s="27"/>
      <c r="F724" s="27"/>
      <c r="G724" s="27"/>
      <c r="H724" s="27"/>
      <c r="I724" s="27"/>
      <c r="J724" s="27"/>
      <c r="L724" s="27"/>
    </row>
    <row r="725" ht="15.75" customHeight="1">
      <c r="D725" s="27"/>
      <c r="E725" s="27"/>
      <c r="F725" s="27"/>
      <c r="G725" s="27"/>
      <c r="H725" s="27"/>
      <c r="I725" s="27"/>
      <c r="J725" s="27"/>
      <c r="L725" s="27"/>
    </row>
    <row r="726" ht="15.75" customHeight="1">
      <c r="D726" s="27"/>
      <c r="E726" s="27"/>
      <c r="F726" s="27"/>
      <c r="G726" s="27"/>
      <c r="H726" s="27"/>
      <c r="I726" s="27"/>
      <c r="J726" s="27"/>
      <c r="L726" s="27"/>
    </row>
    <row r="727" ht="15.75" customHeight="1">
      <c r="D727" s="27"/>
      <c r="E727" s="27"/>
      <c r="F727" s="27"/>
      <c r="G727" s="27"/>
      <c r="H727" s="27"/>
      <c r="I727" s="27"/>
      <c r="J727" s="27"/>
      <c r="L727" s="27"/>
    </row>
    <row r="728" ht="15.75" customHeight="1">
      <c r="D728" s="27"/>
      <c r="E728" s="27"/>
      <c r="F728" s="27"/>
      <c r="G728" s="27"/>
      <c r="H728" s="27"/>
      <c r="I728" s="27"/>
      <c r="J728" s="27"/>
      <c r="L728" s="27"/>
    </row>
    <row r="729" ht="15.75" customHeight="1">
      <c r="D729" s="27"/>
      <c r="E729" s="27"/>
      <c r="F729" s="27"/>
      <c r="G729" s="27"/>
      <c r="H729" s="27"/>
      <c r="I729" s="27"/>
      <c r="J729" s="27"/>
      <c r="L729" s="27"/>
    </row>
    <row r="730" ht="15.75" customHeight="1">
      <c r="D730" s="27"/>
      <c r="E730" s="27"/>
      <c r="F730" s="27"/>
      <c r="G730" s="27"/>
      <c r="H730" s="27"/>
      <c r="I730" s="27"/>
      <c r="J730" s="27"/>
      <c r="L730" s="27"/>
    </row>
    <row r="731" ht="15.75" customHeight="1">
      <c r="D731" s="27"/>
      <c r="E731" s="27"/>
      <c r="F731" s="27"/>
      <c r="G731" s="27"/>
      <c r="H731" s="27"/>
      <c r="I731" s="27"/>
      <c r="J731" s="27"/>
      <c r="L731" s="27"/>
    </row>
    <row r="732" ht="15.75" customHeight="1">
      <c r="D732" s="27"/>
      <c r="E732" s="27"/>
      <c r="F732" s="27"/>
      <c r="G732" s="27"/>
      <c r="H732" s="27"/>
      <c r="I732" s="27"/>
      <c r="J732" s="27"/>
      <c r="L732" s="27"/>
    </row>
    <row r="733" ht="15.75" customHeight="1">
      <c r="D733" s="27"/>
      <c r="E733" s="27"/>
      <c r="F733" s="27"/>
      <c r="G733" s="27"/>
      <c r="H733" s="27"/>
      <c r="I733" s="27"/>
      <c r="J733" s="27"/>
      <c r="L733" s="27"/>
    </row>
    <row r="734" ht="15.75" customHeight="1">
      <c r="D734" s="27"/>
      <c r="E734" s="27"/>
      <c r="F734" s="27"/>
      <c r="G734" s="27"/>
      <c r="H734" s="27"/>
      <c r="I734" s="27"/>
      <c r="J734" s="27"/>
      <c r="L734" s="27"/>
    </row>
    <row r="735" ht="15.75" customHeight="1">
      <c r="D735" s="27"/>
      <c r="E735" s="27"/>
      <c r="F735" s="27"/>
      <c r="G735" s="27"/>
      <c r="H735" s="27"/>
      <c r="I735" s="27"/>
      <c r="J735" s="27"/>
      <c r="L735" s="27"/>
    </row>
    <row r="736" ht="15.75" customHeight="1">
      <c r="D736" s="27"/>
      <c r="E736" s="27"/>
      <c r="F736" s="27"/>
      <c r="G736" s="27"/>
      <c r="H736" s="27"/>
      <c r="I736" s="27"/>
      <c r="J736" s="27"/>
      <c r="L736" s="27"/>
    </row>
    <row r="737" ht="15.75" customHeight="1">
      <c r="D737" s="27"/>
      <c r="E737" s="27"/>
      <c r="F737" s="27"/>
      <c r="G737" s="27"/>
      <c r="H737" s="27"/>
      <c r="I737" s="27"/>
      <c r="J737" s="27"/>
      <c r="L737" s="27"/>
    </row>
    <row r="738" ht="15.75" customHeight="1">
      <c r="D738" s="27"/>
      <c r="E738" s="27"/>
      <c r="F738" s="27"/>
      <c r="G738" s="27"/>
      <c r="H738" s="27"/>
      <c r="I738" s="27"/>
      <c r="J738" s="27"/>
      <c r="L738" s="27"/>
    </row>
    <row r="739" ht="15.75" customHeight="1">
      <c r="D739" s="27"/>
      <c r="E739" s="27"/>
      <c r="F739" s="27"/>
      <c r="G739" s="27"/>
      <c r="H739" s="27"/>
      <c r="I739" s="27"/>
      <c r="J739" s="27"/>
      <c r="L739" s="27"/>
    </row>
    <row r="740" ht="15.75" customHeight="1">
      <c r="D740" s="27"/>
      <c r="E740" s="27"/>
      <c r="F740" s="27"/>
      <c r="G740" s="27"/>
      <c r="H740" s="27"/>
      <c r="I740" s="27"/>
      <c r="J740" s="27"/>
      <c r="L740" s="27"/>
    </row>
    <row r="741" ht="15.75" customHeight="1">
      <c r="D741" s="27"/>
      <c r="E741" s="27"/>
      <c r="F741" s="27"/>
      <c r="G741" s="27"/>
      <c r="H741" s="27"/>
      <c r="I741" s="27"/>
      <c r="J741" s="27"/>
      <c r="L741" s="27"/>
    </row>
    <row r="742" ht="15.75" customHeight="1">
      <c r="D742" s="27"/>
      <c r="E742" s="27"/>
      <c r="F742" s="27"/>
      <c r="G742" s="27"/>
      <c r="H742" s="27"/>
      <c r="I742" s="27"/>
      <c r="J742" s="27"/>
      <c r="L742" s="27"/>
    </row>
    <row r="743" ht="15.75" customHeight="1">
      <c r="D743" s="27"/>
      <c r="E743" s="27"/>
      <c r="F743" s="27"/>
      <c r="G743" s="27"/>
      <c r="H743" s="27"/>
      <c r="I743" s="27"/>
      <c r="J743" s="27"/>
      <c r="L743" s="27"/>
    </row>
    <row r="744" ht="15.75" customHeight="1">
      <c r="D744" s="27"/>
      <c r="E744" s="27"/>
      <c r="F744" s="27"/>
      <c r="G744" s="27"/>
      <c r="H744" s="27"/>
      <c r="I744" s="27"/>
      <c r="J744" s="27"/>
      <c r="L744" s="27"/>
    </row>
    <row r="745" ht="15.75" customHeight="1">
      <c r="D745" s="27"/>
      <c r="E745" s="27"/>
      <c r="F745" s="27"/>
      <c r="G745" s="27"/>
      <c r="H745" s="27"/>
      <c r="I745" s="27"/>
      <c r="J745" s="27"/>
      <c r="L745" s="27"/>
    </row>
    <row r="746" ht="15.75" customHeight="1">
      <c r="D746" s="27"/>
      <c r="E746" s="27"/>
      <c r="F746" s="27"/>
      <c r="G746" s="27"/>
      <c r="H746" s="27"/>
      <c r="I746" s="27"/>
      <c r="J746" s="27"/>
      <c r="L746" s="27"/>
    </row>
    <row r="747" ht="15.75" customHeight="1">
      <c r="D747" s="27"/>
      <c r="E747" s="27"/>
      <c r="F747" s="27"/>
      <c r="G747" s="27"/>
      <c r="H747" s="27"/>
      <c r="I747" s="27"/>
      <c r="J747" s="27"/>
      <c r="L747" s="27"/>
    </row>
    <row r="748" ht="15.75" customHeight="1">
      <c r="D748" s="27"/>
      <c r="E748" s="27"/>
      <c r="F748" s="27"/>
      <c r="G748" s="27"/>
      <c r="H748" s="27"/>
      <c r="I748" s="27"/>
      <c r="J748" s="27"/>
      <c r="L748" s="27"/>
    </row>
    <row r="749" ht="15.75" customHeight="1">
      <c r="D749" s="27"/>
      <c r="E749" s="27"/>
      <c r="F749" s="27"/>
      <c r="G749" s="27"/>
      <c r="H749" s="27"/>
      <c r="I749" s="27"/>
      <c r="J749" s="27"/>
      <c r="L749" s="27"/>
    </row>
    <row r="750" ht="15.75" customHeight="1">
      <c r="D750" s="27"/>
      <c r="E750" s="27"/>
      <c r="F750" s="27"/>
      <c r="G750" s="27"/>
      <c r="H750" s="27"/>
      <c r="I750" s="27"/>
      <c r="J750" s="27"/>
      <c r="L750" s="27"/>
    </row>
    <row r="751" ht="15.75" customHeight="1">
      <c r="D751" s="27"/>
      <c r="E751" s="27"/>
      <c r="F751" s="27"/>
      <c r="G751" s="27"/>
      <c r="H751" s="27"/>
      <c r="I751" s="27"/>
      <c r="J751" s="27"/>
      <c r="L751" s="27"/>
    </row>
    <row r="752" ht="15.75" customHeight="1">
      <c r="D752" s="27"/>
      <c r="E752" s="27"/>
      <c r="F752" s="27"/>
      <c r="G752" s="27"/>
      <c r="H752" s="27"/>
      <c r="I752" s="27"/>
      <c r="J752" s="27"/>
      <c r="L752" s="27"/>
    </row>
    <row r="753" ht="15.75" customHeight="1">
      <c r="D753" s="27"/>
      <c r="E753" s="27"/>
      <c r="F753" s="27"/>
      <c r="G753" s="27"/>
      <c r="H753" s="27"/>
      <c r="I753" s="27"/>
      <c r="J753" s="27"/>
      <c r="L753" s="27"/>
    </row>
    <row r="754" ht="15.75" customHeight="1">
      <c r="D754" s="27"/>
      <c r="E754" s="27"/>
      <c r="F754" s="27"/>
      <c r="G754" s="27"/>
      <c r="H754" s="27"/>
      <c r="I754" s="27"/>
      <c r="J754" s="27"/>
      <c r="L754" s="27"/>
    </row>
    <row r="755" ht="15.75" customHeight="1">
      <c r="D755" s="27"/>
      <c r="E755" s="27"/>
      <c r="F755" s="27"/>
      <c r="G755" s="27"/>
      <c r="H755" s="27"/>
      <c r="I755" s="27"/>
      <c r="J755" s="27"/>
      <c r="L755" s="27"/>
    </row>
    <row r="756" ht="15.75" customHeight="1">
      <c r="D756" s="27"/>
      <c r="E756" s="27"/>
      <c r="F756" s="27"/>
      <c r="G756" s="27"/>
      <c r="H756" s="27"/>
      <c r="I756" s="27"/>
      <c r="J756" s="27"/>
      <c r="L756" s="27"/>
    </row>
    <row r="757" ht="15.75" customHeight="1">
      <c r="D757" s="27"/>
      <c r="E757" s="27"/>
      <c r="F757" s="27"/>
      <c r="G757" s="27"/>
      <c r="H757" s="27"/>
      <c r="I757" s="27"/>
      <c r="J757" s="27"/>
      <c r="L757" s="27"/>
    </row>
    <row r="758" ht="15.75" customHeight="1">
      <c r="D758" s="27"/>
      <c r="E758" s="27"/>
      <c r="F758" s="27"/>
      <c r="G758" s="27"/>
      <c r="H758" s="27"/>
      <c r="I758" s="27"/>
      <c r="J758" s="27"/>
      <c r="L758" s="27"/>
    </row>
    <row r="759" ht="15.75" customHeight="1">
      <c r="D759" s="27"/>
      <c r="E759" s="27"/>
      <c r="F759" s="27"/>
      <c r="G759" s="27"/>
      <c r="H759" s="27"/>
      <c r="I759" s="27"/>
      <c r="J759" s="27"/>
      <c r="L759" s="27"/>
    </row>
    <row r="760" ht="15.75" customHeight="1">
      <c r="D760" s="27"/>
      <c r="E760" s="27"/>
      <c r="F760" s="27"/>
      <c r="G760" s="27"/>
      <c r="H760" s="27"/>
      <c r="I760" s="27"/>
      <c r="J760" s="27"/>
      <c r="L760" s="27"/>
    </row>
    <row r="761" ht="15.75" customHeight="1">
      <c r="D761" s="27"/>
      <c r="E761" s="27"/>
      <c r="F761" s="27"/>
      <c r="G761" s="27"/>
      <c r="H761" s="27"/>
      <c r="I761" s="27"/>
      <c r="J761" s="27"/>
      <c r="L761" s="27"/>
    </row>
    <row r="762" ht="15.75" customHeight="1">
      <c r="D762" s="27"/>
      <c r="E762" s="27"/>
      <c r="F762" s="27"/>
      <c r="G762" s="27"/>
      <c r="H762" s="27"/>
      <c r="I762" s="27"/>
      <c r="J762" s="27"/>
      <c r="L762" s="27"/>
    </row>
    <row r="763" ht="15.75" customHeight="1">
      <c r="D763" s="27"/>
      <c r="E763" s="27"/>
      <c r="F763" s="27"/>
      <c r="G763" s="27"/>
      <c r="H763" s="27"/>
      <c r="I763" s="27"/>
      <c r="J763" s="27"/>
      <c r="L763" s="27"/>
    </row>
    <row r="764" ht="15.75" customHeight="1">
      <c r="D764" s="27"/>
      <c r="E764" s="27"/>
      <c r="F764" s="27"/>
      <c r="G764" s="27"/>
      <c r="H764" s="27"/>
      <c r="I764" s="27"/>
      <c r="J764" s="27"/>
      <c r="L764" s="27"/>
    </row>
    <row r="765" ht="15.75" customHeight="1">
      <c r="D765" s="27"/>
      <c r="E765" s="27"/>
      <c r="F765" s="27"/>
      <c r="G765" s="27"/>
      <c r="H765" s="27"/>
      <c r="I765" s="27"/>
      <c r="J765" s="27"/>
      <c r="L765" s="27"/>
    </row>
    <row r="766" ht="15.75" customHeight="1">
      <c r="D766" s="27"/>
      <c r="E766" s="27"/>
      <c r="F766" s="27"/>
      <c r="G766" s="27"/>
      <c r="H766" s="27"/>
      <c r="I766" s="27"/>
      <c r="J766" s="27"/>
      <c r="L766" s="27"/>
    </row>
    <row r="767" ht="15.75" customHeight="1">
      <c r="D767" s="27"/>
      <c r="E767" s="27"/>
      <c r="F767" s="27"/>
      <c r="G767" s="27"/>
      <c r="H767" s="27"/>
      <c r="I767" s="27"/>
      <c r="J767" s="27"/>
      <c r="L767" s="27"/>
    </row>
    <row r="768" ht="15.75" customHeight="1">
      <c r="D768" s="27"/>
      <c r="E768" s="27"/>
      <c r="F768" s="27"/>
      <c r="G768" s="27"/>
      <c r="H768" s="27"/>
      <c r="I768" s="27"/>
      <c r="J768" s="27"/>
      <c r="L768" s="27"/>
    </row>
    <row r="769" ht="15.75" customHeight="1">
      <c r="D769" s="27"/>
      <c r="E769" s="27"/>
      <c r="F769" s="27"/>
      <c r="G769" s="27"/>
      <c r="H769" s="27"/>
      <c r="I769" s="27"/>
      <c r="J769" s="27"/>
      <c r="L769" s="27"/>
    </row>
    <row r="770" ht="15.75" customHeight="1">
      <c r="D770" s="27"/>
      <c r="E770" s="27"/>
      <c r="F770" s="27"/>
      <c r="G770" s="27"/>
      <c r="H770" s="27"/>
      <c r="I770" s="27"/>
      <c r="J770" s="27"/>
      <c r="L770" s="27"/>
    </row>
    <row r="771" ht="15.75" customHeight="1">
      <c r="D771" s="27"/>
      <c r="E771" s="27"/>
      <c r="F771" s="27"/>
      <c r="G771" s="27"/>
      <c r="H771" s="27"/>
      <c r="I771" s="27"/>
      <c r="J771" s="27"/>
      <c r="L771" s="27"/>
    </row>
    <row r="772" ht="15.75" customHeight="1">
      <c r="D772" s="27"/>
      <c r="E772" s="27"/>
      <c r="F772" s="27"/>
      <c r="G772" s="27"/>
      <c r="H772" s="27"/>
      <c r="I772" s="27"/>
      <c r="J772" s="27"/>
      <c r="L772" s="27"/>
    </row>
    <row r="773" ht="15.75" customHeight="1">
      <c r="D773" s="27"/>
      <c r="E773" s="27"/>
      <c r="F773" s="27"/>
      <c r="G773" s="27"/>
      <c r="H773" s="27"/>
      <c r="I773" s="27"/>
      <c r="J773" s="27"/>
      <c r="L773" s="27"/>
    </row>
    <row r="774" ht="15.75" customHeight="1">
      <c r="D774" s="27"/>
      <c r="E774" s="27"/>
      <c r="F774" s="27"/>
      <c r="G774" s="27"/>
      <c r="H774" s="27"/>
      <c r="I774" s="27"/>
      <c r="J774" s="27"/>
      <c r="L774" s="27"/>
    </row>
    <row r="775" ht="15.75" customHeight="1">
      <c r="D775" s="27"/>
      <c r="E775" s="27"/>
      <c r="F775" s="27"/>
      <c r="G775" s="27"/>
      <c r="H775" s="27"/>
      <c r="I775" s="27"/>
      <c r="J775" s="27"/>
      <c r="L775" s="27"/>
    </row>
    <row r="776" ht="15.75" customHeight="1">
      <c r="D776" s="27"/>
      <c r="E776" s="27"/>
      <c r="F776" s="27"/>
      <c r="G776" s="27"/>
      <c r="H776" s="27"/>
      <c r="I776" s="27"/>
      <c r="J776" s="27"/>
      <c r="L776" s="27"/>
    </row>
    <row r="777" ht="15.75" customHeight="1">
      <c r="D777" s="27"/>
      <c r="E777" s="27"/>
      <c r="F777" s="27"/>
      <c r="G777" s="27"/>
      <c r="H777" s="27"/>
      <c r="I777" s="27"/>
      <c r="J777" s="27"/>
      <c r="L777" s="27"/>
    </row>
    <row r="778" ht="15.75" customHeight="1">
      <c r="D778" s="27"/>
      <c r="E778" s="27"/>
      <c r="F778" s="27"/>
      <c r="G778" s="27"/>
      <c r="H778" s="27"/>
      <c r="I778" s="27"/>
      <c r="J778" s="27"/>
      <c r="L778" s="27"/>
    </row>
    <row r="779" ht="15.75" customHeight="1">
      <c r="D779" s="27"/>
      <c r="E779" s="27"/>
      <c r="F779" s="27"/>
      <c r="G779" s="27"/>
      <c r="H779" s="27"/>
      <c r="I779" s="27"/>
      <c r="J779" s="27"/>
      <c r="L779" s="27"/>
    </row>
    <row r="780" ht="15.75" customHeight="1">
      <c r="D780" s="27"/>
      <c r="E780" s="27"/>
      <c r="F780" s="27"/>
      <c r="G780" s="27"/>
      <c r="H780" s="27"/>
      <c r="I780" s="27"/>
      <c r="J780" s="27"/>
      <c r="L780" s="27"/>
    </row>
    <row r="781" ht="15.75" customHeight="1">
      <c r="D781" s="27"/>
      <c r="E781" s="27"/>
      <c r="F781" s="27"/>
      <c r="G781" s="27"/>
      <c r="H781" s="27"/>
      <c r="I781" s="27"/>
      <c r="J781" s="27"/>
      <c r="L781" s="27"/>
    </row>
    <row r="782" ht="15.75" customHeight="1">
      <c r="D782" s="27"/>
      <c r="E782" s="27"/>
      <c r="F782" s="27"/>
      <c r="G782" s="27"/>
      <c r="H782" s="27"/>
      <c r="I782" s="27"/>
      <c r="J782" s="27"/>
      <c r="L782" s="27"/>
    </row>
    <row r="783" ht="15.75" customHeight="1">
      <c r="D783" s="27"/>
      <c r="E783" s="27"/>
      <c r="F783" s="27"/>
      <c r="G783" s="27"/>
      <c r="H783" s="27"/>
      <c r="I783" s="27"/>
      <c r="J783" s="27"/>
      <c r="L783" s="27"/>
    </row>
    <row r="784" ht="15.75" customHeight="1">
      <c r="D784" s="27"/>
      <c r="E784" s="27"/>
      <c r="F784" s="27"/>
      <c r="G784" s="27"/>
      <c r="H784" s="27"/>
      <c r="I784" s="27"/>
      <c r="J784" s="27"/>
      <c r="L784" s="27"/>
    </row>
    <row r="785" ht="15.75" customHeight="1">
      <c r="D785" s="27"/>
      <c r="E785" s="27"/>
      <c r="F785" s="27"/>
      <c r="G785" s="27"/>
      <c r="H785" s="27"/>
      <c r="I785" s="27"/>
      <c r="J785" s="27"/>
      <c r="L785" s="27"/>
    </row>
    <row r="786" ht="15.75" customHeight="1">
      <c r="D786" s="27"/>
      <c r="E786" s="27"/>
      <c r="F786" s="27"/>
      <c r="G786" s="27"/>
      <c r="H786" s="27"/>
      <c r="I786" s="27"/>
      <c r="J786" s="27"/>
      <c r="L786" s="27"/>
    </row>
    <row r="787" ht="15.75" customHeight="1">
      <c r="D787" s="27"/>
      <c r="E787" s="27"/>
      <c r="F787" s="27"/>
      <c r="G787" s="27"/>
      <c r="H787" s="27"/>
      <c r="I787" s="27"/>
      <c r="J787" s="27"/>
      <c r="L787" s="27"/>
    </row>
    <row r="788" ht="15.75" customHeight="1">
      <c r="D788" s="27"/>
      <c r="E788" s="27"/>
      <c r="F788" s="27"/>
      <c r="G788" s="27"/>
      <c r="H788" s="27"/>
      <c r="I788" s="27"/>
      <c r="J788" s="27"/>
      <c r="L788" s="27"/>
    </row>
    <row r="789" ht="15.75" customHeight="1">
      <c r="D789" s="27"/>
      <c r="E789" s="27"/>
      <c r="F789" s="27"/>
      <c r="G789" s="27"/>
      <c r="H789" s="27"/>
      <c r="I789" s="27"/>
      <c r="J789" s="27"/>
      <c r="L789" s="27"/>
    </row>
    <row r="790" ht="15.75" customHeight="1">
      <c r="D790" s="27"/>
      <c r="E790" s="27"/>
      <c r="F790" s="27"/>
      <c r="G790" s="27"/>
      <c r="H790" s="27"/>
      <c r="I790" s="27"/>
      <c r="J790" s="27"/>
      <c r="L790" s="27"/>
    </row>
    <row r="791" ht="15.75" customHeight="1">
      <c r="D791" s="27"/>
      <c r="E791" s="27"/>
      <c r="F791" s="27"/>
      <c r="G791" s="27"/>
      <c r="H791" s="27"/>
      <c r="I791" s="27"/>
      <c r="J791" s="27"/>
      <c r="L791" s="27"/>
    </row>
    <row r="792" ht="15.75" customHeight="1">
      <c r="D792" s="27"/>
      <c r="E792" s="27"/>
      <c r="F792" s="27"/>
      <c r="G792" s="27"/>
      <c r="H792" s="27"/>
      <c r="I792" s="27"/>
      <c r="J792" s="27"/>
      <c r="L792" s="27"/>
    </row>
    <row r="793" ht="15.75" customHeight="1">
      <c r="D793" s="27"/>
      <c r="E793" s="27"/>
      <c r="F793" s="27"/>
      <c r="G793" s="27"/>
      <c r="H793" s="27"/>
      <c r="I793" s="27"/>
      <c r="J793" s="27"/>
      <c r="L793" s="27"/>
    </row>
    <row r="794" ht="15.75" customHeight="1">
      <c r="D794" s="27"/>
      <c r="E794" s="27"/>
      <c r="F794" s="27"/>
      <c r="G794" s="27"/>
      <c r="H794" s="27"/>
      <c r="I794" s="27"/>
      <c r="J794" s="27"/>
      <c r="L794" s="27"/>
    </row>
    <row r="795" ht="15.75" customHeight="1">
      <c r="D795" s="27"/>
      <c r="E795" s="27"/>
      <c r="F795" s="27"/>
      <c r="G795" s="27"/>
      <c r="H795" s="27"/>
      <c r="I795" s="27"/>
      <c r="J795" s="27"/>
      <c r="L795" s="27"/>
    </row>
    <row r="796" ht="15.75" customHeight="1">
      <c r="D796" s="27"/>
      <c r="E796" s="27"/>
      <c r="F796" s="27"/>
      <c r="G796" s="27"/>
      <c r="H796" s="27"/>
      <c r="I796" s="27"/>
      <c r="J796" s="27"/>
      <c r="L796" s="27"/>
    </row>
    <row r="797" ht="15.75" customHeight="1">
      <c r="D797" s="27"/>
      <c r="E797" s="27"/>
      <c r="F797" s="27"/>
      <c r="G797" s="27"/>
      <c r="H797" s="27"/>
      <c r="I797" s="27"/>
      <c r="J797" s="27"/>
      <c r="L797" s="27"/>
    </row>
    <row r="798" ht="15.75" customHeight="1">
      <c r="D798" s="27"/>
      <c r="E798" s="27"/>
      <c r="F798" s="27"/>
      <c r="G798" s="27"/>
      <c r="H798" s="27"/>
      <c r="I798" s="27"/>
      <c r="J798" s="27"/>
      <c r="L798" s="27"/>
    </row>
    <row r="799" ht="15.75" customHeight="1">
      <c r="D799" s="27"/>
      <c r="E799" s="27"/>
      <c r="F799" s="27"/>
      <c r="G799" s="27"/>
      <c r="H799" s="27"/>
      <c r="I799" s="27"/>
      <c r="J799" s="27"/>
      <c r="L799" s="27"/>
    </row>
    <row r="800" ht="15.75" customHeight="1">
      <c r="D800" s="27"/>
      <c r="E800" s="27"/>
      <c r="F800" s="27"/>
      <c r="G800" s="27"/>
      <c r="H800" s="27"/>
      <c r="I800" s="27"/>
      <c r="J800" s="27"/>
      <c r="L800" s="27"/>
    </row>
    <row r="801" ht="15.75" customHeight="1">
      <c r="D801" s="27"/>
      <c r="E801" s="27"/>
      <c r="F801" s="27"/>
      <c r="G801" s="27"/>
      <c r="H801" s="27"/>
      <c r="I801" s="27"/>
      <c r="J801" s="27"/>
      <c r="L801" s="27"/>
    </row>
    <row r="802" ht="15.75" customHeight="1">
      <c r="D802" s="27"/>
      <c r="E802" s="27"/>
      <c r="F802" s="27"/>
      <c r="G802" s="27"/>
      <c r="H802" s="27"/>
      <c r="I802" s="27"/>
      <c r="J802" s="27"/>
      <c r="L802" s="27"/>
    </row>
    <row r="803" ht="15.75" customHeight="1">
      <c r="D803" s="27"/>
      <c r="E803" s="27"/>
      <c r="F803" s="27"/>
      <c r="G803" s="27"/>
      <c r="H803" s="27"/>
      <c r="I803" s="27"/>
      <c r="J803" s="27"/>
      <c r="L803" s="27"/>
    </row>
    <row r="804" ht="15.75" customHeight="1">
      <c r="D804" s="27"/>
      <c r="E804" s="27"/>
      <c r="F804" s="27"/>
      <c r="G804" s="27"/>
      <c r="H804" s="27"/>
      <c r="I804" s="27"/>
      <c r="J804" s="27"/>
      <c r="L804" s="27"/>
    </row>
    <row r="805" ht="15.75" customHeight="1">
      <c r="D805" s="27"/>
      <c r="E805" s="27"/>
      <c r="F805" s="27"/>
      <c r="G805" s="27"/>
      <c r="H805" s="27"/>
      <c r="I805" s="27"/>
      <c r="J805" s="27"/>
      <c r="L805" s="27"/>
    </row>
    <row r="806" ht="15.75" customHeight="1">
      <c r="D806" s="27"/>
      <c r="E806" s="27"/>
      <c r="F806" s="27"/>
      <c r="G806" s="27"/>
      <c r="H806" s="27"/>
      <c r="I806" s="27"/>
      <c r="J806" s="27"/>
      <c r="L806" s="27"/>
    </row>
    <row r="807" ht="15.75" customHeight="1">
      <c r="D807" s="27"/>
      <c r="E807" s="27"/>
      <c r="F807" s="27"/>
      <c r="G807" s="27"/>
      <c r="H807" s="27"/>
      <c r="I807" s="27"/>
      <c r="J807" s="27"/>
      <c r="L807" s="27"/>
    </row>
    <row r="808" ht="15.75" customHeight="1">
      <c r="D808" s="27"/>
      <c r="E808" s="27"/>
      <c r="F808" s="27"/>
      <c r="G808" s="27"/>
      <c r="H808" s="27"/>
      <c r="I808" s="27"/>
      <c r="J808" s="27"/>
      <c r="L808" s="27"/>
    </row>
    <row r="809" ht="15.75" customHeight="1">
      <c r="D809" s="27"/>
      <c r="E809" s="27"/>
      <c r="F809" s="27"/>
      <c r="G809" s="27"/>
      <c r="H809" s="27"/>
      <c r="I809" s="27"/>
      <c r="J809" s="27"/>
      <c r="L809" s="27"/>
    </row>
    <row r="810" ht="15.75" customHeight="1">
      <c r="D810" s="27"/>
      <c r="E810" s="27"/>
      <c r="F810" s="27"/>
      <c r="G810" s="27"/>
      <c r="H810" s="27"/>
      <c r="I810" s="27"/>
      <c r="J810" s="27"/>
      <c r="L810" s="27"/>
    </row>
    <row r="811" ht="15.75" customHeight="1">
      <c r="D811" s="27"/>
      <c r="E811" s="27"/>
      <c r="F811" s="27"/>
      <c r="G811" s="27"/>
      <c r="H811" s="27"/>
      <c r="I811" s="27"/>
      <c r="J811" s="27"/>
      <c r="L811" s="27"/>
    </row>
    <row r="812" ht="15.75" customHeight="1">
      <c r="D812" s="27"/>
      <c r="E812" s="27"/>
      <c r="F812" s="27"/>
      <c r="G812" s="27"/>
      <c r="H812" s="27"/>
      <c r="I812" s="27"/>
      <c r="J812" s="27"/>
      <c r="L812" s="27"/>
    </row>
    <row r="813" ht="15.75" customHeight="1">
      <c r="D813" s="27"/>
      <c r="E813" s="27"/>
      <c r="F813" s="27"/>
      <c r="G813" s="27"/>
      <c r="H813" s="27"/>
      <c r="I813" s="27"/>
      <c r="J813" s="27"/>
      <c r="L813" s="27"/>
    </row>
    <row r="814" ht="15.75" customHeight="1">
      <c r="D814" s="27"/>
      <c r="E814" s="27"/>
      <c r="F814" s="27"/>
      <c r="G814" s="27"/>
      <c r="H814" s="27"/>
      <c r="I814" s="27"/>
      <c r="J814" s="27"/>
      <c r="L814" s="27"/>
    </row>
    <row r="815" ht="15.75" customHeight="1">
      <c r="D815" s="27"/>
      <c r="E815" s="27"/>
      <c r="F815" s="27"/>
      <c r="G815" s="27"/>
      <c r="H815" s="27"/>
      <c r="I815" s="27"/>
      <c r="J815" s="27"/>
      <c r="L815" s="27"/>
    </row>
    <row r="816" ht="15.75" customHeight="1">
      <c r="D816" s="27"/>
      <c r="E816" s="27"/>
      <c r="F816" s="27"/>
      <c r="G816" s="27"/>
      <c r="H816" s="27"/>
      <c r="I816" s="27"/>
      <c r="J816" s="27"/>
      <c r="L816" s="27"/>
    </row>
    <row r="817" ht="15.75" customHeight="1">
      <c r="D817" s="27"/>
      <c r="E817" s="27"/>
      <c r="F817" s="27"/>
      <c r="G817" s="27"/>
      <c r="H817" s="27"/>
      <c r="I817" s="27"/>
      <c r="J817" s="27"/>
      <c r="L817" s="27"/>
    </row>
    <row r="818" ht="15.75" customHeight="1">
      <c r="D818" s="27"/>
      <c r="E818" s="27"/>
      <c r="F818" s="27"/>
      <c r="G818" s="27"/>
      <c r="H818" s="27"/>
      <c r="I818" s="27"/>
      <c r="J818" s="27"/>
      <c r="L818" s="27"/>
    </row>
    <row r="819" ht="15.75" customHeight="1">
      <c r="D819" s="27"/>
      <c r="E819" s="27"/>
      <c r="F819" s="27"/>
      <c r="G819" s="27"/>
      <c r="H819" s="27"/>
      <c r="I819" s="27"/>
      <c r="J819" s="27"/>
      <c r="L819" s="27"/>
    </row>
    <row r="820" ht="15.75" customHeight="1">
      <c r="D820" s="27"/>
      <c r="E820" s="27"/>
      <c r="F820" s="27"/>
      <c r="G820" s="27"/>
      <c r="H820" s="27"/>
      <c r="I820" s="27"/>
      <c r="J820" s="27"/>
      <c r="L820" s="27"/>
    </row>
    <row r="821" ht="15.75" customHeight="1">
      <c r="D821" s="27"/>
      <c r="E821" s="27"/>
      <c r="F821" s="27"/>
      <c r="G821" s="27"/>
      <c r="H821" s="27"/>
      <c r="I821" s="27"/>
      <c r="J821" s="27"/>
      <c r="L821" s="27"/>
    </row>
    <row r="822" ht="15.75" customHeight="1">
      <c r="D822" s="27"/>
      <c r="E822" s="27"/>
      <c r="F822" s="27"/>
      <c r="G822" s="27"/>
      <c r="H822" s="27"/>
      <c r="I822" s="27"/>
      <c r="J822" s="27"/>
      <c r="L822" s="27"/>
    </row>
    <row r="823" ht="15.75" customHeight="1">
      <c r="D823" s="27"/>
      <c r="E823" s="27"/>
      <c r="F823" s="27"/>
      <c r="G823" s="27"/>
      <c r="H823" s="27"/>
      <c r="I823" s="27"/>
      <c r="J823" s="27"/>
      <c r="L823" s="27"/>
    </row>
    <row r="824" ht="15.75" customHeight="1">
      <c r="D824" s="27"/>
      <c r="E824" s="27"/>
      <c r="F824" s="27"/>
      <c r="G824" s="27"/>
      <c r="H824" s="27"/>
      <c r="I824" s="27"/>
      <c r="J824" s="27"/>
      <c r="L824" s="27"/>
    </row>
    <row r="825" ht="15.75" customHeight="1">
      <c r="D825" s="27"/>
      <c r="E825" s="27"/>
      <c r="F825" s="27"/>
      <c r="G825" s="27"/>
      <c r="H825" s="27"/>
      <c r="I825" s="27"/>
      <c r="J825" s="27"/>
      <c r="L825" s="27"/>
    </row>
    <row r="826" ht="15.75" customHeight="1">
      <c r="D826" s="27"/>
      <c r="E826" s="27"/>
      <c r="F826" s="27"/>
      <c r="G826" s="27"/>
      <c r="H826" s="27"/>
      <c r="I826" s="27"/>
      <c r="J826" s="27"/>
      <c r="L826" s="27"/>
    </row>
    <row r="827" ht="15.75" customHeight="1">
      <c r="D827" s="27"/>
      <c r="E827" s="27"/>
      <c r="F827" s="27"/>
      <c r="G827" s="27"/>
      <c r="H827" s="27"/>
      <c r="I827" s="27"/>
      <c r="J827" s="27"/>
      <c r="L827" s="27"/>
    </row>
    <row r="828" ht="15.75" customHeight="1">
      <c r="D828" s="27"/>
      <c r="E828" s="27"/>
      <c r="F828" s="27"/>
      <c r="G828" s="27"/>
      <c r="H828" s="27"/>
      <c r="I828" s="27"/>
      <c r="J828" s="27"/>
      <c r="L828" s="27"/>
    </row>
    <row r="829" ht="15.75" customHeight="1">
      <c r="D829" s="27"/>
      <c r="E829" s="27"/>
      <c r="F829" s="27"/>
      <c r="G829" s="27"/>
      <c r="H829" s="27"/>
      <c r="I829" s="27"/>
      <c r="J829" s="27"/>
      <c r="L829" s="27"/>
    </row>
    <row r="830" ht="15.75" customHeight="1">
      <c r="D830" s="27"/>
      <c r="E830" s="27"/>
      <c r="F830" s="27"/>
      <c r="G830" s="27"/>
      <c r="H830" s="27"/>
      <c r="I830" s="27"/>
      <c r="J830" s="27"/>
      <c r="L830" s="27"/>
    </row>
    <row r="831" ht="15.75" customHeight="1">
      <c r="D831" s="27"/>
      <c r="E831" s="27"/>
      <c r="F831" s="27"/>
      <c r="G831" s="27"/>
      <c r="H831" s="27"/>
      <c r="I831" s="27"/>
      <c r="J831" s="27"/>
      <c r="L831" s="27"/>
    </row>
    <row r="832" ht="15.75" customHeight="1">
      <c r="D832" s="27"/>
      <c r="E832" s="27"/>
      <c r="F832" s="27"/>
      <c r="G832" s="27"/>
      <c r="H832" s="27"/>
      <c r="I832" s="27"/>
      <c r="J832" s="27"/>
      <c r="L832" s="27"/>
    </row>
    <row r="833" ht="15.75" customHeight="1">
      <c r="D833" s="27"/>
      <c r="E833" s="27"/>
      <c r="F833" s="27"/>
      <c r="G833" s="27"/>
      <c r="H833" s="27"/>
      <c r="I833" s="27"/>
      <c r="J833" s="27"/>
      <c r="L833" s="27"/>
    </row>
    <row r="834" ht="15.75" customHeight="1">
      <c r="D834" s="27"/>
      <c r="E834" s="27"/>
      <c r="F834" s="27"/>
      <c r="G834" s="27"/>
      <c r="H834" s="27"/>
      <c r="I834" s="27"/>
      <c r="J834" s="27"/>
      <c r="L834" s="27"/>
    </row>
    <row r="835" ht="15.75" customHeight="1">
      <c r="D835" s="27"/>
      <c r="E835" s="27"/>
      <c r="F835" s="27"/>
      <c r="G835" s="27"/>
      <c r="H835" s="27"/>
      <c r="I835" s="27"/>
      <c r="J835" s="27"/>
      <c r="L835" s="27"/>
    </row>
    <row r="836" ht="15.75" customHeight="1">
      <c r="D836" s="27"/>
      <c r="E836" s="27"/>
      <c r="F836" s="27"/>
      <c r="G836" s="27"/>
      <c r="H836" s="27"/>
      <c r="I836" s="27"/>
      <c r="J836" s="27"/>
      <c r="L836" s="27"/>
    </row>
    <row r="837" ht="15.75" customHeight="1">
      <c r="D837" s="27"/>
      <c r="E837" s="27"/>
      <c r="F837" s="27"/>
      <c r="G837" s="27"/>
      <c r="H837" s="27"/>
      <c r="I837" s="27"/>
      <c r="J837" s="27"/>
      <c r="L837" s="27"/>
    </row>
    <row r="838" ht="15.75" customHeight="1">
      <c r="D838" s="27"/>
      <c r="E838" s="27"/>
      <c r="F838" s="27"/>
      <c r="G838" s="27"/>
      <c r="H838" s="27"/>
      <c r="I838" s="27"/>
      <c r="J838" s="27"/>
      <c r="L838" s="27"/>
    </row>
    <row r="839" ht="15.75" customHeight="1">
      <c r="D839" s="27"/>
      <c r="E839" s="27"/>
      <c r="F839" s="27"/>
      <c r="G839" s="27"/>
      <c r="H839" s="27"/>
      <c r="I839" s="27"/>
      <c r="J839" s="27"/>
      <c r="L839" s="27"/>
    </row>
    <row r="840" ht="15.75" customHeight="1">
      <c r="D840" s="27"/>
      <c r="E840" s="27"/>
      <c r="F840" s="27"/>
      <c r="G840" s="27"/>
      <c r="H840" s="27"/>
      <c r="I840" s="27"/>
      <c r="J840" s="27"/>
      <c r="L840" s="27"/>
    </row>
    <row r="841" ht="15.75" customHeight="1">
      <c r="D841" s="27"/>
      <c r="E841" s="27"/>
      <c r="F841" s="27"/>
      <c r="G841" s="27"/>
      <c r="H841" s="27"/>
      <c r="I841" s="27"/>
      <c r="J841" s="27"/>
      <c r="L841" s="27"/>
    </row>
    <row r="842" ht="15.75" customHeight="1">
      <c r="D842" s="27"/>
      <c r="E842" s="27"/>
      <c r="F842" s="27"/>
      <c r="G842" s="27"/>
      <c r="H842" s="27"/>
      <c r="I842" s="27"/>
      <c r="J842" s="27"/>
      <c r="L842" s="27"/>
    </row>
    <row r="843" ht="15.75" customHeight="1">
      <c r="D843" s="27"/>
      <c r="E843" s="27"/>
      <c r="F843" s="27"/>
      <c r="G843" s="27"/>
      <c r="H843" s="27"/>
      <c r="I843" s="27"/>
      <c r="J843" s="27"/>
      <c r="L843" s="27"/>
    </row>
    <row r="844" ht="15.75" customHeight="1">
      <c r="D844" s="27"/>
      <c r="E844" s="27"/>
      <c r="F844" s="27"/>
      <c r="G844" s="27"/>
      <c r="H844" s="27"/>
      <c r="I844" s="27"/>
      <c r="J844" s="27"/>
      <c r="L844" s="27"/>
    </row>
    <row r="845" ht="15.75" customHeight="1">
      <c r="D845" s="27"/>
      <c r="E845" s="27"/>
      <c r="F845" s="27"/>
      <c r="G845" s="27"/>
      <c r="H845" s="27"/>
      <c r="I845" s="27"/>
      <c r="J845" s="27"/>
      <c r="L845" s="27"/>
    </row>
    <row r="846" ht="15.75" customHeight="1">
      <c r="D846" s="27"/>
      <c r="E846" s="27"/>
      <c r="F846" s="27"/>
      <c r="G846" s="27"/>
      <c r="H846" s="27"/>
      <c r="I846" s="27"/>
      <c r="J846" s="27"/>
      <c r="L846" s="27"/>
    </row>
    <row r="847" ht="15.75" customHeight="1">
      <c r="D847" s="27"/>
      <c r="E847" s="27"/>
      <c r="F847" s="27"/>
      <c r="G847" s="27"/>
      <c r="H847" s="27"/>
      <c r="I847" s="27"/>
      <c r="J847" s="27"/>
      <c r="L847" s="27"/>
    </row>
    <row r="848" ht="15.75" customHeight="1">
      <c r="D848" s="27"/>
      <c r="E848" s="27"/>
      <c r="F848" s="27"/>
      <c r="G848" s="27"/>
      <c r="H848" s="27"/>
      <c r="I848" s="27"/>
      <c r="J848" s="27"/>
      <c r="L848" s="27"/>
    </row>
    <row r="849" ht="15.75" customHeight="1">
      <c r="D849" s="27"/>
      <c r="E849" s="27"/>
      <c r="F849" s="27"/>
      <c r="G849" s="27"/>
      <c r="H849" s="27"/>
      <c r="I849" s="27"/>
      <c r="J849" s="27"/>
      <c r="L849" s="27"/>
    </row>
    <row r="850" ht="15.75" customHeight="1">
      <c r="D850" s="27"/>
      <c r="E850" s="27"/>
      <c r="F850" s="27"/>
      <c r="G850" s="27"/>
      <c r="H850" s="27"/>
      <c r="I850" s="27"/>
      <c r="J850" s="27"/>
      <c r="L850" s="27"/>
    </row>
    <row r="851" ht="15.75" customHeight="1">
      <c r="D851" s="27"/>
      <c r="E851" s="27"/>
      <c r="F851" s="27"/>
      <c r="G851" s="27"/>
      <c r="H851" s="27"/>
      <c r="I851" s="27"/>
      <c r="J851" s="27"/>
      <c r="L851" s="27"/>
    </row>
    <row r="852" ht="15.75" customHeight="1">
      <c r="D852" s="27"/>
      <c r="E852" s="27"/>
      <c r="F852" s="27"/>
      <c r="G852" s="27"/>
      <c r="H852" s="27"/>
      <c r="I852" s="27"/>
      <c r="J852" s="27"/>
      <c r="L852" s="27"/>
    </row>
    <row r="853" ht="15.75" customHeight="1">
      <c r="D853" s="27"/>
      <c r="E853" s="27"/>
      <c r="F853" s="27"/>
      <c r="G853" s="27"/>
      <c r="H853" s="27"/>
      <c r="I853" s="27"/>
      <c r="J853" s="27"/>
      <c r="L853" s="27"/>
    </row>
    <row r="854" ht="15.75" customHeight="1">
      <c r="D854" s="27"/>
      <c r="E854" s="27"/>
      <c r="F854" s="27"/>
      <c r="G854" s="27"/>
      <c r="H854" s="27"/>
      <c r="I854" s="27"/>
      <c r="J854" s="27"/>
      <c r="L854" s="27"/>
    </row>
    <row r="855" ht="15.75" customHeight="1">
      <c r="D855" s="27"/>
      <c r="E855" s="27"/>
      <c r="F855" s="27"/>
      <c r="G855" s="27"/>
      <c r="H855" s="27"/>
      <c r="I855" s="27"/>
      <c r="J855" s="27"/>
      <c r="L855" s="27"/>
    </row>
    <row r="856" ht="15.75" customHeight="1">
      <c r="D856" s="27"/>
      <c r="E856" s="27"/>
      <c r="F856" s="27"/>
      <c r="G856" s="27"/>
      <c r="H856" s="27"/>
      <c r="I856" s="27"/>
      <c r="J856" s="27"/>
      <c r="L856" s="27"/>
    </row>
    <row r="857" ht="15.75" customHeight="1">
      <c r="D857" s="27"/>
      <c r="E857" s="27"/>
      <c r="F857" s="27"/>
      <c r="G857" s="27"/>
      <c r="H857" s="27"/>
      <c r="I857" s="27"/>
      <c r="J857" s="27"/>
      <c r="L857" s="27"/>
    </row>
    <row r="858" ht="15.75" customHeight="1">
      <c r="D858" s="27"/>
      <c r="E858" s="27"/>
      <c r="F858" s="27"/>
      <c r="G858" s="27"/>
      <c r="H858" s="27"/>
      <c r="I858" s="27"/>
      <c r="J858" s="27"/>
      <c r="L858" s="27"/>
    </row>
    <row r="859" ht="15.75" customHeight="1">
      <c r="D859" s="27"/>
      <c r="E859" s="27"/>
      <c r="F859" s="27"/>
      <c r="G859" s="27"/>
      <c r="H859" s="27"/>
      <c r="I859" s="27"/>
      <c r="J859" s="27"/>
      <c r="L859" s="27"/>
    </row>
    <row r="860" ht="15.75" customHeight="1">
      <c r="D860" s="27"/>
      <c r="E860" s="27"/>
      <c r="F860" s="27"/>
      <c r="G860" s="27"/>
      <c r="H860" s="27"/>
      <c r="I860" s="27"/>
      <c r="J860" s="27"/>
      <c r="L860" s="27"/>
    </row>
    <row r="861" ht="15.75" customHeight="1">
      <c r="D861" s="27"/>
      <c r="E861" s="27"/>
      <c r="F861" s="27"/>
      <c r="G861" s="27"/>
      <c r="H861" s="27"/>
      <c r="I861" s="27"/>
      <c r="J861" s="27"/>
      <c r="L861" s="27"/>
    </row>
    <row r="862" ht="15.75" customHeight="1">
      <c r="D862" s="27"/>
      <c r="E862" s="27"/>
      <c r="F862" s="27"/>
      <c r="G862" s="27"/>
      <c r="H862" s="27"/>
      <c r="I862" s="27"/>
      <c r="J862" s="27"/>
      <c r="L862" s="27"/>
    </row>
    <row r="863" ht="15.75" customHeight="1">
      <c r="D863" s="27"/>
      <c r="E863" s="27"/>
      <c r="F863" s="27"/>
      <c r="G863" s="27"/>
      <c r="H863" s="27"/>
      <c r="I863" s="27"/>
      <c r="J863" s="27"/>
      <c r="L863" s="27"/>
    </row>
    <row r="864" ht="15.75" customHeight="1">
      <c r="D864" s="27"/>
      <c r="E864" s="27"/>
      <c r="F864" s="27"/>
      <c r="G864" s="27"/>
      <c r="H864" s="27"/>
      <c r="I864" s="27"/>
      <c r="J864" s="27"/>
      <c r="L864" s="27"/>
    </row>
    <row r="865" ht="15.75" customHeight="1">
      <c r="D865" s="27"/>
      <c r="E865" s="27"/>
      <c r="F865" s="27"/>
      <c r="G865" s="27"/>
      <c r="H865" s="27"/>
      <c r="I865" s="27"/>
      <c r="J865" s="27"/>
      <c r="L865" s="27"/>
    </row>
    <row r="866" ht="15.75" customHeight="1">
      <c r="D866" s="27"/>
      <c r="E866" s="27"/>
      <c r="F866" s="27"/>
      <c r="G866" s="27"/>
      <c r="H866" s="27"/>
      <c r="I866" s="27"/>
      <c r="J866" s="27"/>
      <c r="L866" s="27"/>
    </row>
    <row r="867" ht="15.75" customHeight="1">
      <c r="D867" s="27"/>
      <c r="E867" s="27"/>
      <c r="F867" s="27"/>
      <c r="G867" s="27"/>
      <c r="H867" s="27"/>
      <c r="I867" s="27"/>
      <c r="J867" s="27"/>
      <c r="L867" s="27"/>
    </row>
    <row r="868" ht="15.75" customHeight="1">
      <c r="D868" s="27"/>
      <c r="E868" s="27"/>
      <c r="F868" s="27"/>
      <c r="G868" s="27"/>
      <c r="H868" s="27"/>
      <c r="I868" s="27"/>
      <c r="J868" s="27"/>
      <c r="L868" s="27"/>
    </row>
    <row r="869" ht="15.75" customHeight="1">
      <c r="D869" s="27"/>
      <c r="E869" s="27"/>
      <c r="F869" s="27"/>
      <c r="G869" s="27"/>
      <c r="H869" s="27"/>
      <c r="I869" s="27"/>
      <c r="J869" s="27"/>
      <c r="L869" s="27"/>
    </row>
    <row r="870" ht="15.75" customHeight="1">
      <c r="D870" s="27"/>
      <c r="E870" s="27"/>
      <c r="F870" s="27"/>
      <c r="G870" s="27"/>
      <c r="H870" s="27"/>
      <c r="I870" s="27"/>
      <c r="J870" s="27"/>
      <c r="L870" s="27"/>
    </row>
    <row r="871" ht="15.75" customHeight="1">
      <c r="D871" s="27"/>
      <c r="E871" s="27"/>
      <c r="F871" s="27"/>
      <c r="G871" s="27"/>
      <c r="H871" s="27"/>
      <c r="I871" s="27"/>
      <c r="J871" s="27"/>
      <c r="L871" s="27"/>
    </row>
    <row r="872" ht="15.75" customHeight="1">
      <c r="D872" s="27"/>
      <c r="E872" s="27"/>
      <c r="F872" s="27"/>
      <c r="G872" s="27"/>
      <c r="H872" s="27"/>
      <c r="I872" s="27"/>
      <c r="J872" s="27"/>
      <c r="L872" s="27"/>
    </row>
    <row r="873" ht="15.75" customHeight="1">
      <c r="D873" s="27"/>
      <c r="E873" s="27"/>
      <c r="F873" s="27"/>
      <c r="G873" s="27"/>
      <c r="H873" s="27"/>
      <c r="I873" s="27"/>
      <c r="J873" s="27"/>
      <c r="L873" s="27"/>
    </row>
    <row r="874" ht="15.75" customHeight="1">
      <c r="D874" s="27"/>
      <c r="E874" s="27"/>
      <c r="F874" s="27"/>
      <c r="G874" s="27"/>
      <c r="H874" s="27"/>
      <c r="I874" s="27"/>
      <c r="J874" s="27"/>
      <c r="L874" s="27"/>
    </row>
    <row r="875" ht="15.75" customHeight="1">
      <c r="D875" s="27"/>
      <c r="E875" s="27"/>
      <c r="F875" s="27"/>
      <c r="G875" s="27"/>
      <c r="H875" s="27"/>
      <c r="I875" s="27"/>
      <c r="J875" s="27"/>
      <c r="L875" s="27"/>
    </row>
    <row r="876" ht="15.75" customHeight="1">
      <c r="D876" s="27"/>
      <c r="E876" s="27"/>
      <c r="F876" s="27"/>
      <c r="G876" s="27"/>
      <c r="H876" s="27"/>
      <c r="I876" s="27"/>
      <c r="J876" s="27"/>
      <c r="L876" s="27"/>
    </row>
    <row r="877" ht="15.75" customHeight="1">
      <c r="D877" s="27"/>
      <c r="E877" s="27"/>
      <c r="F877" s="27"/>
      <c r="G877" s="27"/>
      <c r="H877" s="27"/>
      <c r="I877" s="27"/>
      <c r="J877" s="27"/>
      <c r="L877" s="27"/>
    </row>
    <row r="878" ht="15.75" customHeight="1">
      <c r="D878" s="27"/>
      <c r="E878" s="27"/>
      <c r="F878" s="27"/>
      <c r="G878" s="27"/>
      <c r="H878" s="27"/>
      <c r="I878" s="27"/>
      <c r="J878" s="27"/>
      <c r="L878" s="27"/>
    </row>
    <row r="879" ht="15.75" customHeight="1">
      <c r="D879" s="27"/>
      <c r="E879" s="27"/>
      <c r="F879" s="27"/>
      <c r="G879" s="27"/>
      <c r="H879" s="27"/>
      <c r="I879" s="27"/>
      <c r="J879" s="27"/>
      <c r="L879" s="27"/>
    </row>
    <row r="880" ht="15.75" customHeight="1">
      <c r="D880" s="27"/>
      <c r="E880" s="27"/>
      <c r="F880" s="27"/>
      <c r="G880" s="27"/>
      <c r="H880" s="27"/>
      <c r="I880" s="27"/>
      <c r="J880" s="27"/>
      <c r="L880" s="27"/>
    </row>
    <row r="881" ht="15.75" customHeight="1">
      <c r="D881" s="27"/>
      <c r="E881" s="27"/>
      <c r="F881" s="27"/>
      <c r="G881" s="27"/>
      <c r="H881" s="27"/>
      <c r="I881" s="27"/>
      <c r="J881" s="27"/>
      <c r="L881" s="27"/>
    </row>
    <row r="882" ht="15.75" customHeight="1">
      <c r="D882" s="27"/>
      <c r="E882" s="27"/>
      <c r="F882" s="27"/>
      <c r="G882" s="27"/>
      <c r="H882" s="27"/>
      <c r="I882" s="27"/>
      <c r="J882" s="27"/>
      <c r="L882" s="27"/>
    </row>
    <row r="883" ht="15.75" customHeight="1">
      <c r="D883" s="27"/>
      <c r="E883" s="27"/>
      <c r="F883" s="27"/>
      <c r="G883" s="27"/>
      <c r="H883" s="27"/>
      <c r="I883" s="27"/>
      <c r="J883" s="27"/>
      <c r="L883" s="27"/>
    </row>
    <row r="884" ht="15.75" customHeight="1">
      <c r="D884" s="27"/>
      <c r="E884" s="27"/>
      <c r="F884" s="27"/>
      <c r="G884" s="27"/>
      <c r="H884" s="27"/>
      <c r="I884" s="27"/>
      <c r="J884" s="27"/>
      <c r="L884" s="27"/>
    </row>
    <row r="885" ht="15.75" customHeight="1">
      <c r="D885" s="27"/>
      <c r="E885" s="27"/>
      <c r="F885" s="27"/>
      <c r="G885" s="27"/>
      <c r="H885" s="27"/>
      <c r="I885" s="27"/>
      <c r="J885" s="27"/>
      <c r="L885" s="27"/>
    </row>
    <row r="886" ht="15.75" customHeight="1">
      <c r="D886" s="27"/>
      <c r="E886" s="27"/>
      <c r="F886" s="27"/>
      <c r="G886" s="27"/>
      <c r="H886" s="27"/>
      <c r="I886" s="27"/>
      <c r="J886" s="27"/>
      <c r="L886" s="27"/>
    </row>
    <row r="887" ht="15.75" customHeight="1">
      <c r="D887" s="27"/>
      <c r="E887" s="27"/>
      <c r="F887" s="27"/>
      <c r="G887" s="27"/>
      <c r="H887" s="27"/>
      <c r="I887" s="27"/>
      <c r="J887" s="27"/>
      <c r="L887" s="27"/>
    </row>
    <row r="888" ht="15.75" customHeight="1">
      <c r="D888" s="27"/>
      <c r="E888" s="27"/>
      <c r="F888" s="27"/>
      <c r="G888" s="27"/>
      <c r="H888" s="27"/>
      <c r="I888" s="27"/>
      <c r="J888" s="27"/>
      <c r="L888" s="27"/>
    </row>
    <row r="889" ht="15.75" customHeight="1">
      <c r="D889" s="27"/>
      <c r="E889" s="27"/>
      <c r="F889" s="27"/>
      <c r="G889" s="27"/>
      <c r="H889" s="27"/>
      <c r="I889" s="27"/>
      <c r="J889" s="27"/>
      <c r="L889" s="27"/>
    </row>
    <row r="890" ht="15.75" customHeight="1">
      <c r="D890" s="27"/>
      <c r="E890" s="27"/>
      <c r="F890" s="27"/>
      <c r="G890" s="27"/>
      <c r="H890" s="27"/>
      <c r="I890" s="27"/>
      <c r="J890" s="27"/>
      <c r="L890" s="27"/>
    </row>
    <row r="891" ht="15.75" customHeight="1">
      <c r="D891" s="27"/>
      <c r="E891" s="27"/>
      <c r="F891" s="27"/>
      <c r="G891" s="27"/>
      <c r="H891" s="27"/>
      <c r="I891" s="27"/>
      <c r="J891" s="27"/>
      <c r="L891" s="27"/>
    </row>
    <row r="892" ht="15.75" customHeight="1">
      <c r="D892" s="27"/>
      <c r="E892" s="27"/>
      <c r="F892" s="27"/>
      <c r="G892" s="27"/>
      <c r="H892" s="27"/>
      <c r="I892" s="27"/>
      <c r="J892" s="27"/>
      <c r="L892" s="27"/>
    </row>
    <row r="893" ht="15.75" customHeight="1">
      <c r="D893" s="27"/>
      <c r="E893" s="27"/>
      <c r="F893" s="27"/>
      <c r="G893" s="27"/>
      <c r="H893" s="27"/>
      <c r="I893" s="27"/>
      <c r="J893" s="27"/>
      <c r="L893" s="27"/>
    </row>
    <row r="894" ht="15.75" customHeight="1">
      <c r="D894" s="27"/>
      <c r="E894" s="27"/>
      <c r="F894" s="27"/>
      <c r="G894" s="27"/>
      <c r="H894" s="27"/>
      <c r="I894" s="27"/>
      <c r="J894" s="27"/>
      <c r="L894" s="27"/>
    </row>
    <row r="895" ht="15.75" customHeight="1">
      <c r="D895" s="27"/>
      <c r="E895" s="27"/>
      <c r="F895" s="27"/>
      <c r="G895" s="27"/>
      <c r="H895" s="27"/>
      <c r="I895" s="27"/>
      <c r="J895" s="27"/>
      <c r="L895" s="27"/>
    </row>
    <row r="896" ht="15.75" customHeight="1">
      <c r="D896" s="27"/>
      <c r="E896" s="27"/>
      <c r="F896" s="27"/>
      <c r="G896" s="27"/>
      <c r="H896" s="27"/>
      <c r="I896" s="27"/>
      <c r="J896" s="27"/>
      <c r="L896" s="27"/>
    </row>
    <row r="897" ht="15.75" customHeight="1">
      <c r="D897" s="27"/>
      <c r="E897" s="27"/>
      <c r="F897" s="27"/>
      <c r="G897" s="27"/>
      <c r="H897" s="27"/>
      <c r="I897" s="27"/>
      <c r="J897" s="27"/>
      <c r="L897" s="27"/>
    </row>
    <row r="898" ht="15.75" customHeight="1">
      <c r="D898" s="27"/>
      <c r="E898" s="27"/>
      <c r="F898" s="27"/>
      <c r="G898" s="27"/>
      <c r="H898" s="27"/>
      <c r="I898" s="27"/>
      <c r="J898" s="27"/>
      <c r="L898" s="27"/>
    </row>
    <row r="899" ht="15.75" customHeight="1">
      <c r="D899" s="27"/>
      <c r="E899" s="27"/>
      <c r="F899" s="27"/>
      <c r="G899" s="27"/>
      <c r="H899" s="27"/>
      <c r="I899" s="27"/>
      <c r="J899" s="27"/>
      <c r="L899" s="27"/>
    </row>
    <row r="900" ht="15.75" customHeight="1">
      <c r="D900" s="27"/>
      <c r="E900" s="27"/>
      <c r="F900" s="27"/>
      <c r="G900" s="27"/>
      <c r="H900" s="27"/>
      <c r="I900" s="27"/>
      <c r="J900" s="27"/>
      <c r="L900" s="27"/>
    </row>
    <row r="901" ht="15.75" customHeight="1">
      <c r="D901" s="27"/>
      <c r="E901" s="27"/>
      <c r="F901" s="27"/>
      <c r="G901" s="27"/>
      <c r="H901" s="27"/>
      <c r="I901" s="27"/>
      <c r="J901" s="27"/>
      <c r="L901" s="27"/>
    </row>
    <row r="902" ht="15.75" customHeight="1">
      <c r="D902" s="27"/>
      <c r="E902" s="27"/>
      <c r="F902" s="27"/>
      <c r="G902" s="27"/>
      <c r="H902" s="27"/>
      <c r="I902" s="27"/>
      <c r="J902" s="27"/>
      <c r="L902" s="27"/>
    </row>
    <row r="903" ht="15.75" customHeight="1">
      <c r="D903" s="27"/>
      <c r="E903" s="27"/>
      <c r="F903" s="27"/>
      <c r="G903" s="27"/>
      <c r="H903" s="27"/>
      <c r="I903" s="27"/>
      <c r="J903" s="27"/>
      <c r="L903" s="27"/>
    </row>
    <row r="904" ht="15.75" customHeight="1">
      <c r="D904" s="27"/>
      <c r="E904" s="27"/>
      <c r="F904" s="27"/>
      <c r="G904" s="27"/>
      <c r="H904" s="27"/>
      <c r="I904" s="27"/>
      <c r="J904" s="27"/>
      <c r="L904" s="27"/>
    </row>
    <row r="905" ht="15.75" customHeight="1">
      <c r="D905" s="27"/>
      <c r="E905" s="27"/>
      <c r="F905" s="27"/>
      <c r="G905" s="27"/>
      <c r="H905" s="27"/>
      <c r="I905" s="27"/>
      <c r="J905" s="27"/>
      <c r="L905" s="27"/>
    </row>
    <row r="906" ht="15.75" customHeight="1">
      <c r="D906" s="27"/>
      <c r="E906" s="27"/>
      <c r="F906" s="27"/>
      <c r="G906" s="27"/>
      <c r="H906" s="27"/>
      <c r="I906" s="27"/>
      <c r="J906" s="27"/>
      <c r="L906" s="27"/>
    </row>
    <row r="907" ht="15.75" customHeight="1">
      <c r="D907" s="27"/>
      <c r="E907" s="27"/>
      <c r="F907" s="27"/>
      <c r="G907" s="27"/>
      <c r="H907" s="27"/>
      <c r="I907" s="27"/>
      <c r="J907" s="27"/>
      <c r="L907" s="27"/>
    </row>
    <row r="908" ht="15.75" customHeight="1">
      <c r="D908" s="27"/>
      <c r="E908" s="27"/>
      <c r="F908" s="27"/>
      <c r="G908" s="27"/>
      <c r="H908" s="27"/>
      <c r="I908" s="27"/>
      <c r="J908" s="27"/>
      <c r="L908" s="27"/>
    </row>
    <row r="909" ht="15.75" customHeight="1">
      <c r="D909" s="27"/>
      <c r="E909" s="27"/>
      <c r="F909" s="27"/>
      <c r="G909" s="27"/>
      <c r="H909" s="27"/>
      <c r="I909" s="27"/>
      <c r="J909" s="27"/>
      <c r="L909" s="27"/>
    </row>
    <row r="910" ht="15.75" customHeight="1">
      <c r="D910" s="27"/>
      <c r="E910" s="27"/>
      <c r="F910" s="27"/>
      <c r="G910" s="27"/>
      <c r="H910" s="27"/>
      <c r="I910" s="27"/>
      <c r="J910" s="27"/>
      <c r="L910" s="27"/>
    </row>
    <row r="911" ht="15.75" customHeight="1">
      <c r="D911" s="27"/>
      <c r="E911" s="27"/>
      <c r="F911" s="27"/>
      <c r="G911" s="27"/>
      <c r="H911" s="27"/>
      <c r="I911" s="27"/>
      <c r="J911" s="27"/>
      <c r="L911" s="27"/>
    </row>
    <row r="912" ht="15.75" customHeight="1">
      <c r="D912" s="27"/>
      <c r="E912" s="27"/>
      <c r="F912" s="27"/>
      <c r="G912" s="27"/>
      <c r="H912" s="27"/>
      <c r="I912" s="27"/>
      <c r="J912" s="27"/>
      <c r="L912" s="27"/>
    </row>
    <row r="913" ht="15.75" customHeight="1">
      <c r="D913" s="27"/>
      <c r="E913" s="27"/>
      <c r="F913" s="27"/>
      <c r="G913" s="27"/>
      <c r="H913" s="27"/>
      <c r="I913" s="27"/>
      <c r="J913" s="27"/>
      <c r="L913" s="27"/>
    </row>
    <row r="914" ht="15.75" customHeight="1">
      <c r="D914" s="27"/>
      <c r="E914" s="27"/>
      <c r="F914" s="27"/>
      <c r="G914" s="27"/>
      <c r="H914" s="27"/>
      <c r="I914" s="27"/>
      <c r="J914" s="27"/>
      <c r="L914" s="27"/>
    </row>
    <row r="915" ht="15.75" customHeight="1">
      <c r="D915" s="27"/>
      <c r="E915" s="27"/>
      <c r="F915" s="27"/>
      <c r="G915" s="27"/>
      <c r="H915" s="27"/>
      <c r="I915" s="27"/>
      <c r="J915" s="27"/>
      <c r="L915" s="27"/>
    </row>
    <row r="916" ht="15.75" customHeight="1">
      <c r="D916" s="27"/>
      <c r="E916" s="27"/>
      <c r="F916" s="27"/>
      <c r="G916" s="27"/>
      <c r="H916" s="27"/>
      <c r="I916" s="27"/>
      <c r="J916" s="27"/>
      <c r="L916" s="27"/>
    </row>
    <row r="917" ht="15.75" customHeight="1">
      <c r="D917" s="27"/>
      <c r="E917" s="27"/>
      <c r="F917" s="27"/>
      <c r="G917" s="27"/>
      <c r="H917" s="27"/>
      <c r="I917" s="27"/>
      <c r="J917" s="27"/>
      <c r="L917" s="27"/>
    </row>
    <row r="918" ht="15.75" customHeight="1">
      <c r="D918" s="27"/>
      <c r="E918" s="27"/>
      <c r="F918" s="27"/>
      <c r="G918" s="27"/>
      <c r="H918" s="27"/>
      <c r="I918" s="27"/>
      <c r="J918" s="27"/>
      <c r="L918" s="27"/>
    </row>
    <row r="919" ht="15.75" customHeight="1">
      <c r="D919" s="27"/>
      <c r="E919" s="27"/>
      <c r="F919" s="27"/>
      <c r="G919" s="27"/>
      <c r="H919" s="27"/>
      <c r="I919" s="27"/>
      <c r="J919" s="27"/>
      <c r="L919" s="27"/>
    </row>
    <row r="920" ht="15.75" customHeight="1">
      <c r="D920" s="27"/>
      <c r="E920" s="27"/>
      <c r="F920" s="27"/>
      <c r="G920" s="27"/>
      <c r="H920" s="27"/>
      <c r="I920" s="27"/>
      <c r="J920" s="27"/>
      <c r="L920" s="27"/>
    </row>
    <row r="921" ht="15.75" customHeight="1">
      <c r="D921" s="27"/>
      <c r="E921" s="27"/>
      <c r="F921" s="27"/>
      <c r="G921" s="27"/>
      <c r="H921" s="27"/>
      <c r="I921" s="27"/>
      <c r="J921" s="27"/>
      <c r="L921" s="27"/>
    </row>
    <row r="922" ht="15.75" customHeight="1">
      <c r="D922" s="27"/>
      <c r="E922" s="27"/>
      <c r="F922" s="27"/>
      <c r="G922" s="27"/>
      <c r="H922" s="27"/>
      <c r="I922" s="27"/>
      <c r="J922" s="27"/>
      <c r="L922" s="27"/>
    </row>
    <row r="923" ht="15.75" customHeight="1">
      <c r="D923" s="27"/>
      <c r="E923" s="27"/>
      <c r="F923" s="27"/>
      <c r="G923" s="27"/>
      <c r="H923" s="27"/>
      <c r="I923" s="27"/>
      <c r="J923" s="27"/>
      <c r="L923" s="27"/>
    </row>
    <row r="924" ht="15.75" customHeight="1">
      <c r="D924" s="27"/>
      <c r="E924" s="27"/>
      <c r="F924" s="27"/>
      <c r="G924" s="27"/>
      <c r="H924" s="27"/>
      <c r="I924" s="27"/>
      <c r="J924" s="27"/>
      <c r="L924" s="27"/>
    </row>
    <row r="925" ht="15.75" customHeight="1">
      <c r="D925" s="27"/>
      <c r="E925" s="27"/>
      <c r="F925" s="27"/>
      <c r="G925" s="27"/>
      <c r="H925" s="27"/>
      <c r="I925" s="27"/>
      <c r="J925" s="27"/>
      <c r="L925" s="27"/>
    </row>
    <row r="926" ht="15.75" customHeight="1">
      <c r="D926" s="27"/>
      <c r="E926" s="27"/>
      <c r="F926" s="27"/>
      <c r="G926" s="27"/>
      <c r="H926" s="27"/>
      <c r="I926" s="27"/>
      <c r="J926" s="27"/>
      <c r="L926" s="27"/>
    </row>
    <row r="927" ht="15.75" customHeight="1">
      <c r="D927" s="27"/>
      <c r="E927" s="27"/>
      <c r="F927" s="27"/>
      <c r="G927" s="27"/>
      <c r="H927" s="27"/>
      <c r="I927" s="27"/>
      <c r="J927" s="27"/>
      <c r="L927" s="27"/>
    </row>
    <row r="928" ht="15.75" customHeight="1">
      <c r="D928" s="27"/>
      <c r="E928" s="27"/>
      <c r="F928" s="27"/>
      <c r="G928" s="27"/>
      <c r="H928" s="27"/>
      <c r="I928" s="27"/>
      <c r="J928" s="27"/>
      <c r="L928" s="27"/>
    </row>
    <row r="929" ht="15.75" customHeight="1">
      <c r="D929" s="27"/>
      <c r="E929" s="27"/>
      <c r="F929" s="27"/>
      <c r="G929" s="27"/>
      <c r="H929" s="27"/>
      <c r="I929" s="27"/>
      <c r="J929" s="27"/>
      <c r="L929" s="27"/>
    </row>
    <row r="930" ht="15.75" customHeight="1">
      <c r="D930" s="27"/>
      <c r="E930" s="27"/>
      <c r="F930" s="27"/>
      <c r="G930" s="27"/>
      <c r="H930" s="27"/>
      <c r="I930" s="27"/>
      <c r="J930" s="27"/>
      <c r="L930" s="27"/>
    </row>
    <row r="931" ht="15.75" customHeight="1">
      <c r="D931" s="27"/>
      <c r="E931" s="27"/>
      <c r="F931" s="27"/>
      <c r="G931" s="27"/>
      <c r="H931" s="27"/>
      <c r="I931" s="27"/>
      <c r="J931" s="27"/>
      <c r="L931" s="27"/>
    </row>
    <row r="932" ht="15.75" customHeight="1">
      <c r="D932" s="27"/>
      <c r="E932" s="27"/>
      <c r="F932" s="27"/>
      <c r="G932" s="27"/>
      <c r="H932" s="27"/>
      <c r="I932" s="27"/>
      <c r="J932" s="27"/>
      <c r="L932" s="27"/>
    </row>
    <row r="933" ht="15.75" customHeight="1">
      <c r="D933" s="27"/>
      <c r="E933" s="27"/>
      <c r="F933" s="27"/>
      <c r="G933" s="27"/>
      <c r="H933" s="27"/>
      <c r="I933" s="27"/>
      <c r="J933" s="27"/>
      <c r="L933" s="27"/>
    </row>
    <row r="934" ht="15.75" customHeight="1">
      <c r="D934" s="27"/>
      <c r="E934" s="27"/>
      <c r="F934" s="27"/>
      <c r="G934" s="27"/>
      <c r="H934" s="27"/>
      <c r="I934" s="27"/>
      <c r="J934" s="27"/>
      <c r="L934" s="27"/>
    </row>
    <row r="935" ht="15.75" customHeight="1">
      <c r="D935" s="27"/>
      <c r="E935" s="27"/>
      <c r="F935" s="27"/>
      <c r="G935" s="27"/>
      <c r="H935" s="27"/>
      <c r="I935" s="27"/>
      <c r="J935" s="27"/>
      <c r="L935" s="27"/>
    </row>
    <row r="936" ht="15.75" customHeight="1">
      <c r="D936" s="27"/>
      <c r="E936" s="27"/>
      <c r="F936" s="27"/>
      <c r="G936" s="27"/>
      <c r="H936" s="27"/>
      <c r="I936" s="27"/>
      <c r="J936" s="27"/>
      <c r="L936" s="27"/>
    </row>
    <row r="937" ht="15.75" customHeight="1">
      <c r="D937" s="27"/>
      <c r="E937" s="27"/>
      <c r="F937" s="27"/>
      <c r="G937" s="27"/>
      <c r="H937" s="27"/>
      <c r="I937" s="27"/>
      <c r="J937" s="27"/>
      <c r="L937" s="27"/>
    </row>
    <row r="938" ht="15.75" customHeight="1">
      <c r="D938" s="27"/>
      <c r="E938" s="27"/>
      <c r="F938" s="27"/>
      <c r="G938" s="27"/>
      <c r="H938" s="27"/>
      <c r="I938" s="27"/>
      <c r="J938" s="27"/>
      <c r="L938" s="27"/>
    </row>
    <row r="939" ht="15.75" customHeight="1">
      <c r="D939" s="27"/>
      <c r="E939" s="27"/>
      <c r="F939" s="27"/>
      <c r="G939" s="27"/>
      <c r="H939" s="27"/>
      <c r="I939" s="27"/>
      <c r="J939" s="27"/>
      <c r="L939" s="27"/>
    </row>
    <row r="940" ht="15.75" customHeight="1">
      <c r="D940" s="27"/>
      <c r="E940" s="27"/>
      <c r="F940" s="27"/>
      <c r="G940" s="27"/>
      <c r="H940" s="27"/>
      <c r="I940" s="27"/>
      <c r="J940" s="27"/>
      <c r="L940" s="27"/>
    </row>
    <row r="941" ht="15.75" customHeight="1">
      <c r="D941" s="27"/>
      <c r="E941" s="27"/>
      <c r="F941" s="27"/>
      <c r="G941" s="27"/>
      <c r="H941" s="27"/>
      <c r="I941" s="27"/>
      <c r="J941" s="27"/>
      <c r="L941" s="27"/>
    </row>
    <row r="942" ht="15.75" customHeight="1">
      <c r="D942" s="27"/>
      <c r="E942" s="27"/>
      <c r="F942" s="27"/>
      <c r="G942" s="27"/>
      <c r="H942" s="27"/>
      <c r="I942" s="27"/>
      <c r="J942" s="27"/>
      <c r="L942" s="27"/>
    </row>
    <row r="943" ht="15.75" customHeight="1">
      <c r="D943" s="27"/>
      <c r="E943" s="27"/>
      <c r="F943" s="27"/>
      <c r="G943" s="27"/>
      <c r="H943" s="27"/>
      <c r="I943" s="27"/>
      <c r="J943" s="27"/>
      <c r="L943" s="27"/>
    </row>
    <row r="944" ht="15.75" customHeight="1">
      <c r="D944" s="27"/>
      <c r="E944" s="27"/>
      <c r="F944" s="27"/>
      <c r="G944" s="27"/>
      <c r="H944" s="27"/>
      <c r="I944" s="27"/>
      <c r="J944" s="27"/>
      <c r="L944" s="27"/>
    </row>
    <row r="945" ht="15.75" customHeight="1">
      <c r="D945" s="27"/>
      <c r="E945" s="27"/>
      <c r="F945" s="27"/>
      <c r="G945" s="27"/>
      <c r="H945" s="27"/>
      <c r="I945" s="27"/>
      <c r="J945" s="27"/>
      <c r="L945" s="27"/>
    </row>
    <row r="946" ht="15.75" customHeight="1">
      <c r="D946" s="27"/>
      <c r="E946" s="27"/>
      <c r="F946" s="27"/>
      <c r="G946" s="27"/>
      <c r="H946" s="27"/>
      <c r="I946" s="27"/>
      <c r="J946" s="27"/>
      <c r="L946" s="27"/>
    </row>
    <row r="947" ht="15.75" customHeight="1">
      <c r="D947" s="27"/>
      <c r="E947" s="27"/>
      <c r="F947" s="27"/>
      <c r="G947" s="27"/>
      <c r="H947" s="27"/>
      <c r="I947" s="27"/>
      <c r="J947" s="27"/>
      <c r="L947" s="27"/>
    </row>
    <row r="948" ht="15.75" customHeight="1">
      <c r="D948" s="27"/>
      <c r="E948" s="27"/>
      <c r="F948" s="27"/>
      <c r="G948" s="27"/>
      <c r="H948" s="27"/>
      <c r="I948" s="27"/>
      <c r="J948" s="27"/>
      <c r="L948" s="27"/>
    </row>
    <row r="949" ht="15.75" customHeight="1">
      <c r="D949" s="27"/>
      <c r="E949" s="27"/>
      <c r="F949" s="27"/>
      <c r="G949" s="27"/>
      <c r="H949" s="27"/>
      <c r="I949" s="27"/>
      <c r="J949" s="27"/>
      <c r="L949" s="27"/>
    </row>
    <row r="950" ht="15.75" customHeight="1">
      <c r="D950" s="27"/>
      <c r="E950" s="27"/>
      <c r="F950" s="27"/>
      <c r="G950" s="27"/>
      <c r="H950" s="27"/>
      <c r="I950" s="27"/>
      <c r="J950" s="27"/>
      <c r="L950" s="27"/>
    </row>
    <row r="951" ht="15.75" customHeight="1">
      <c r="D951" s="27"/>
      <c r="E951" s="27"/>
      <c r="F951" s="27"/>
      <c r="G951" s="27"/>
      <c r="H951" s="27"/>
      <c r="I951" s="27"/>
      <c r="J951" s="27"/>
      <c r="L951" s="27"/>
    </row>
    <row r="952" ht="15.75" customHeight="1">
      <c r="D952" s="27"/>
      <c r="E952" s="27"/>
      <c r="F952" s="27"/>
      <c r="G952" s="27"/>
      <c r="H952" s="27"/>
      <c r="I952" s="27"/>
      <c r="J952" s="27"/>
      <c r="L952" s="27"/>
    </row>
    <row r="953" ht="15.75" customHeight="1">
      <c r="D953" s="27"/>
      <c r="E953" s="27"/>
      <c r="F953" s="27"/>
      <c r="G953" s="27"/>
      <c r="H953" s="27"/>
      <c r="I953" s="27"/>
      <c r="J953" s="27"/>
      <c r="L953" s="27"/>
    </row>
    <row r="954" ht="15.75" customHeight="1">
      <c r="D954" s="27"/>
      <c r="E954" s="27"/>
      <c r="F954" s="27"/>
      <c r="G954" s="27"/>
      <c r="H954" s="27"/>
      <c r="I954" s="27"/>
      <c r="J954" s="27"/>
      <c r="L954" s="27"/>
    </row>
    <row r="955" ht="15.75" customHeight="1">
      <c r="D955" s="27"/>
      <c r="E955" s="27"/>
      <c r="F955" s="27"/>
      <c r="G955" s="27"/>
      <c r="H955" s="27"/>
      <c r="I955" s="27"/>
      <c r="J955" s="27"/>
      <c r="L955" s="27"/>
    </row>
    <row r="956" ht="15.75" customHeight="1">
      <c r="D956" s="27"/>
      <c r="E956" s="27"/>
      <c r="F956" s="27"/>
      <c r="G956" s="27"/>
      <c r="H956" s="27"/>
      <c r="I956" s="27"/>
      <c r="J956" s="27"/>
      <c r="L956" s="27"/>
    </row>
    <row r="957" ht="15.75" customHeight="1">
      <c r="D957" s="27"/>
      <c r="E957" s="27"/>
      <c r="F957" s="27"/>
      <c r="G957" s="27"/>
      <c r="H957" s="27"/>
      <c r="I957" s="27"/>
      <c r="J957" s="27"/>
      <c r="L957" s="27"/>
    </row>
    <row r="958" ht="15.75" customHeight="1">
      <c r="D958" s="27"/>
      <c r="E958" s="27"/>
      <c r="F958" s="27"/>
      <c r="G958" s="27"/>
      <c r="H958" s="27"/>
      <c r="I958" s="27"/>
      <c r="J958" s="27"/>
      <c r="L958" s="27"/>
    </row>
    <row r="959" ht="15.75" customHeight="1">
      <c r="D959" s="27"/>
      <c r="E959" s="27"/>
      <c r="F959" s="27"/>
      <c r="G959" s="27"/>
      <c r="H959" s="27"/>
      <c r="I959" s="27"/>
      <c r="J959" s="27"/>
      <c r="L959" s="27"/>
    </row>
    <row r="960" ht="15.75" customHeight="1">
      <c r="D960" s="27"/>
      <c r="E960" s="27"/>
      <c r="F960" s="27"/>
      <c r="G960" s="27"/>
      <c r="H960" s="27"/>
      <c r="I960" s="27"/>
      <c r="J960" s="27"/>
      <c r="L960" s="27"/>
    </row>
    <row r="961" ht="15.75" customHeight="1">
      <c r="D961" s="27"/>
      <c r="E961" s="27"/>
      <c r="F961" s="27"/>
      <c r="G961" s="27"/>
      <c r="H961" s="27"/>
      <c r="I961" s="27"/>
      <c r="J961" s="27"/>
      <c r="L961" s="27"/>
    </row>
    <row r="962" ht="15.75" customHeight="1">
      <c r="D962" s="27"/>
      <c r="E962" s="27"/>
      <c r="F962" s="27"/>
      <c r="G962" s="27"/>
      <c r="H962" s="27"/>
      <c r="I962" s="27"/>
      <c r="J962" s="27"/>
      <c r="L962" s="27"/>
    </row>
    <row r="963" ht="15.75" customHeight="1">
      <c r="D963" s="27"/>
      <c r="E963" s="27"/>
      <c r="F963" s="27"/>
      <c r="G963" s="27"/>
      <c r="H963" s="27"/>
      <c r="I963" s="27"/>
      <c r="J963" s="27"/>
      <c r="L963" s="27"/>
    </row>
    <row r="964" ht="15.75" customHeight="1">
      <c r="D964" s="27"/>
      <c r="E964" s="27"/>
      <c r="F964" s="27"/>
      <c r="G964" s="27"/>
      <c r="H964" s="27"/>
      <c r="I964" s="27"/>
      <c r="J964" s="27"/>
      <c r="L964" s="27"/>
    </row>
    <row r="965" ht="15.75" customHeight="1">
      <c r="D965" s="27"/>
      <c r="E965" s="27"/>
      <c r="F965" s="27"/>
      <c r="G965" s="27"/>
      <c r="H965" s="27"/>
      <c r="I965" s="27"/>
      <c r="J965" s="27"/>
      <c r="L965" s="27"/>
    </row>
    <row r="966" ht="15.75" customHeight="1">
      <c r="D966" s="27"/>
      <c r="E966" s="27"/>
      <c r="F966" s="27"/>
      <c r="G966" s="27"/>
      <c r="H966" s="27"/>
      <c r="I966" s="27"/>
      <c r="J966" s="27"/>
      <c r="L966" s="27"/>
    </row>
    <row r="967" ht="15.75" customHeight="1">
      <c r="D967" s="27"/>
      <c r="E967" s="27"/>
      <c r="F967" s="27"/>
      <c r="G967" s="27"/>
      <c r="H967" s="27"/>
      <c r="I967" s="27"/>
      <c r="J967" s="27"/>
      <c r="L967" s="27"/>
    </row>
    <row r="968" ht="15.75" customHeight="1">
      <c r="D968" s="27"/>
      <c r="E968" s="27"/>
      <c r="F968" s="27"/>
      <c r="G968" s="27"/>
      <c r="H968" s="27"/>
      <c r="I968" s="27"/>
      <c r="J968" s="27"/>
      <c r="L968" s="27"/>
    </row>
    <row r="969" ht="15.75" customHeight="1">
      <c r="D969" s="27"/>
      <c r="E969" s="27"/>
      <c r="F969" s="27"/>
      <c r="G969" s="27"/>
      <c r="H969" s="27"/>
      <c r="I969" s="27"/>
      <c r="J969" s="27"/>
      <c r="L969" s="27"/>
    </row>
    <row r="970" ht="15.75" customHeight="1">
      <c r="D970" s="27"/>
      <c r="E970" s="27"/>
      <c r="F970" s="27"/>
      <c r="G970" s="27"/>
      <c r="H970" s="27"/>
      <c r="I970" s="27"/>
      <c r="J970" s="27"/>
      <c r="L970" s="27"/>
    </row>
    <row r="971" ht="15.75" customHeight="1">
      <c r="D971" s="27"/>
      <c r="E971" s="27"/>
      <c r="F971" s="27"/>
      <c r="G971" s="27"/>
      <c r="H971" s="27"/>
      <c r="I971" s="27"/>
      <c r="J971" s="27"/>
      <c r="L971" s="27"/>
    </row>
    <row r="972" ht="15.75" customHeight="1">
      <c r="D972" s="27"/>
      <c r="E972" s="27"/>
      <c r="F972" s="27"/>
      <c r="G972" s="27"/>
      <c r="H972" s="27"/>
      <c r="I972" s="27"/>
      <c r="J972" s="27"/>
      <c r="L972" s="27"/>
    </row>
    <row r="973" ht="15.75" customHeight="1">
      <c r="D973" s="27"/>
      <c r="E973" s="27"/>
      <c r="F973" s="27"/>
      <c r="G973" s="27"/>
      <c r="H973" s="27"/>
      <c r="I973" s="27"/>
      <c r="J973" s="27"/>
      <c r="L973" s="27"/>
    </row>
    <row r="974" ht="15.75" customHeight="1">
      <c r="D974" s="27"/>
      <c r="E974" s="27"/>
      <c r="F974" s="27"/>
      <c r="G974" s="27"/>
      <c r="H974" s="27"/>
      <c r="I974" s="27"/>
      <c r="J974" s="27"/>
      <c r="L974" s="27"/>
    </row>
    <row r="975" ht="15.75" customHeight="1">
      <c r="D975" s="27"/>
      <c r="E975" s="27"/>
      <c r="F975" s="27"/>
      <c r="G975" s="27"/>
      <c r="H975" s="27"/>
      <c r="I975" s="27"/>
      <c r="J975" s="27"/>
      <c r="L975" s="27"/>
    </row>
    <row r="976" ht="15.75" customHeight="1">
      <c r="D976" s="27"/>
      <c r="E976" s="27"/>
      <c r="F976" s="27"/>
      <c r="G976" s="27"/>
      <c r="H976" s="27"/>
      <c r="I976" s="27"/>
      <c r="J976" s="27"/>
      <c r="L976" s="27"/>
    </row>
    <row r="977" ht="15.75" customHeight="1">
      <c r="D977" s="27"/>
      <c r="E977" s="27"/>
      <c r="F977" s="27"/>
      <c r="G977" s="27"/>
      <c r="H977" s="27"/>
      <c r="I977" s="27"/>
      <c r="J977" s="27"/>
      <c r="L977" s="27"/>
    </row>
    <row r="978" ht="15.75" customHeight="1">
      <c r="D978" s="27"/>
      <c r="E978" s="27"/>
      <c r="F978" s="27"/>
      <c r="G978" s="27"/>
      <c r="H978" s="27"/>
      <c r="I978" s="27"/>
      <c r="J978" s="27"/>
      <c r="L978" s="27"/>
    </row>
    <row r="979" ht="15.75" customHeight="1">
      <c r="D979" s="27"/>
      <c r="E979" s="27"/>
      <c r="F979" s="27"/>
      <c r="G979" s="27"/>
      <c r="H979" s="27"/>
      <c r="I979" s="27"/>
      <c r="J979" s="27"/>
      <c r="L979" s="27"/>
    </row>
    <row r="980" ht="15.75" customHeight="1">
      <c r="D980" s="27"/>
      <c r="E980" s="27"/>
      <c r="F980" s="27"/>
      <c r="G980" s="27"/>
      <c r="H980" s="27"/>
      <c r="I980" s="27"/>
      <c r="J980" s="27"/>
      <c r="L980" s="27"/>
    </row>
    <row r="981" ht="15.75" customHeight="1">
      <c r="D981" s="27"/>
      <c r="E981" s="27"/>
      <c r="F981" s="27"/>
      <c r="G981" s="27"/>
      <c r="H981" s="27"/>
      <c r="I981" s="27"/>
      <c r="J981" s="27"/>
      <c r="L981" s="27"/>
    </row>
    <row r="982" ht="15.75" customHeight="1">
      <c r="D982" s="27"/>
      <c r="E982" s="27"/>
      <c r="F982" s="27"/>
      <c r="G982" s="27"/>
      <c r="H982" s="27"/>
      <c r="I982" s="27"/>
      <c r="J982" s="27"/>
      <c r="L982" s="27"/>
    </row>
    <row r="983" ht="15.75" customHeight="1">
      <c r="D983" s="27"/>
      <c r="E983" s="27"/>
      <c r="F983" s="27"/>
      <c r="G983" s="27"/>
      <c r="H983" s="27"/>
      <c r="I983" s="27"/>
      <c r="J983" s="27"/>
      <c r="L983" s="27"/>
    </row>
    <row r="984" ht="15.75" customHeight="1">
      <c r="D984" s="27"/>
      <c r="E984" s="27"/>
      <c r="F984" s="27"/>
      <c r="G984" s="27"/>
      <c r="H984" s="27"/>
      <c r="I984" s="27"/>
      <c r="J984" s="27"/>
      <c r="L984" s="27"/>
    </row>
    <row r="985" ht="15.75" customHeight="1">
      <c r="D985" s="27"/>
      <c r="E985" s="27"/>
      <c r="F985" s="27"/>
      <c r="G985" s="27"/>
      <c r="H985" s="27"/>
      <c r="I985" s="27"/>
      <c r="J985" s="27"/>
      <c r="L985" s="27"/>
    </row>
    <row r="986" ht="15.75" customHeight="1">
      <c r="D986" s="27"/>
      <c r="E986" s="27"/>
      <c r="F986" s="27"/>
      <c r="G986" s="27"/>
      <c r="H986" s="27"/>
      <c r="I986" s="27"/>
      <c r="J986" s="27"/>
      <c r="L986" s="27"/>
    </row>
    <row r="987" ht="15.75" customHeight="1">
      <c r="D987" s="27"/>
      <c r="E987" s="27"/>
      <c r="F987" s="27"/>
      <c r="G987" s="27"/>
      <c r="H987" s="27"/>
      <c r="I987" s="27"/>
      <c r="J987" s="27"/>
      <c r="L987" s="27"/>
    </row>
    <row r="988" ht="15.75" customHeight="1">
      <c r="D988" s="27"/>
      <c r="E988" s="27"/>
      <c r="F988" s="27"/>
      <c r="G988" s="27"/>
      <c r="H988" s="27"/>
      <c r="I988" s="27"/>
      <c r="J988" s="27"/>
      <c r="L988" s="27"/>
    </row>
    <row r="989" ht="15.75" customHeight="1">
      <c r="D989" s="27"/>
      <c r="E989" s="27"/>
      <c r="F989" s="27"/>
      <c r="G989" s="27"/>
      <c r="H989" s="27"/>
      <c r="I989" s="27"/>
      <c r="J989" s="27"/>
      <c r="L989" s="27"/>
    </row>
    <row r="990" ht="15.75" customHeight="1">
      <c r="D990" s="27"/>
      <c r="E990" s="27"/>
      <c r="F990" s="27"/>
      <c r="G990" s="27"/>
      <c r="H990" s="27"/>
      <c r="I990" s="27"/>
      <c r="J990" s="27"/>
      <c r="L990" s="27"/>
    </row>
    <row r="991" ht="15.75" customHeight="1">
      <c r="D991" s="27"/>
      <c r="E991" s="27"/>
      <c r="F991" s="27"/>
      <c r="G991" s="27"/>
      <c r="H991" s="27"/>
      <c r="I991" s="27"/>
      <c r="J991" s="27"/>
      <c r="L991" s="27"/>
    </row>
    <row r="992" ht="15.75" customHeight="1">
      <c r="D992" s="27"/>
      <c r="E992" s="27"/>
      <c r="F992" s="27"/>
      <c r="G992" s="27"/>
      <c r="H992" s="27"/>
      <c r="I992" s="27"/>
      <c r="J992" s="27"/>
      <c r="L992" s="27"/>
    </row>
    <row r="993" ht="15.75" customHeight="1">
      <c r="D993" s="27"/>
      <c r="E993" s="27"/>
      <c r="F993" s="27"/>
      <c r="G993" s="27"/>
      <c r="H993" s="27"/>
      <c r="I993" s="27"/>
      <c r="J993" s="27"/>
      <c r="L993" s="27"/>
    </row>
    <row r="994" ht="15.75" customHeight="1">
      <c r="D994" s="27"/>
      <c r="E994" s="27"/>
      <c r="F994" s="27"/>
      <c r="G994" s="27"/>
      <c r="H994" s="27"/>
      <c r="I994" s="27"/>
      <c r="J994" s="27"/>
      <c r="L994" s="27"/>
    </row>
    <row r="995" ht="15.75" customHeight="1">
      <c r="D995" s="27"/>
      <c r="E995" s="27"/>
      <c r="F995" s="27"/>
      <c r="G995" s="27"/>
      <c r="H995" s="27"/>
      <c r="I995" s="27"/>
      <c r="J995" s="27"/>
      <c r="L995" s="27"/>
    </row>
    <row r="996" ht="15.75" customHeight="1">
      <c r="D996" s="27"/>
      <c r="E996" s="27"/>
      <c r="F996" s="27"/>
      <c r="G996" s="27"/>
      <c r="H996" s="27"/>
      <c r="I996" s="27"/>
      <c r="J996" s="27"/>
      <c r="L996" s="27"/>
    </row>
    <row r="997" ht="15.75" customHeight="1">
      <c r="D997" s="27"/>
      <c r="E997" s="27"/>
      <c r="F997" s="27"/>
      <c r="G997" s="27"/>
      <c r="H997" s="27"/>
      <c r="I997" s="27"/>
      <c r="J997" s="27"/>
      <c r="L997" s="27"/>
    </row>
    <row r="998" ht="15.75" customHeight="1">
      <c r="D998" s="27"/>
      <c r="E998" s="27"/>
      <c r="F998" s="27"/>
      <c r="G998" s="27"/>
      <c r="H998" s="27"/>
      <c r="I998" s="27"/>
      <c r="J998" s="27"/>
      <c r="L998" s="27"/>
    </row>
    <row r="999" ht="15.75" customHeight="1">
      <c r="D999" s="27"/>
      <c r="E999" s="27"/>
      <c r="F999" s="27"/>
      <c r="G999" s="27"/>
      <c r="H999" s="27"/>
      <c r="I999" s="27"/>
      <c r="J999" s="27"/>
      <c r="L999" s="27"/>
    </row>
    <row r="1000" ht="15.75" customHeight="1">
      <c r="D1000" s="27"/>
      <c r="E1000" s="27"/>
      <c r="F1000" s="27"/>
      <c r="G1000" s="27"/>
      <c r="H1000" s="27"/>
      <c r="I1000" s="27"/>
      <c r="J1000" s="27"/>
      <c r="L1000" s="27"/>
    </row>
  </sheetData>
  <dataValidations>
    <dataValidation type="list" allowBlank="1" showErrorMessage="1" sqref="L3:L65 L67:L233 L235:L257 L259:L277 L279:L1000">
      <formula1>"In Progress,Delay with Client,Delay Resolved,High,Medium,Low,Awaiting Response,Completed,Temp. Hold"</formula1>
    </dataValidation>
    <dataValidation type="list" allowBlank="1" showErrorMessage="1" sqref="H3:H233 H235:H257 H259:H277 H279:H1000">
      <formula1>"Updates Made,Cross Trained,Not Applicable"</formula1>
    </dataValidation>
    <dataValidation type="list" allowBlank="1" showErrorMessage="1" sqref="I3:I233 I235:I257 I259:I277 I279:I1000">
      <formula1>"CL/PR Reviewed,Catch-Up Req."</formula1>
    </dataValidation>
    <dataValidation type="list" allowBlank="1" showErrorMessage="1" sqref="L66">
      <formula1>"In Progress,Delay with Client,Delay Resolved,High,Medium,Low,Awaiting Response,Completed,Temp. Hold,Posted query"</formula1>
    </dataValidation>
    <dataValidation type="list" allowBlank="1" showErrorMessage="1" sqref="D3:G233 J3:J233 D235:G257 J235:J257 D259:G277 J259:J277 D279:G1000 J279:J1000">
      <formula1>"Completed,Not Applicable,Inprocess"</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13"/>
    <col customWidth="1" min="2" max="2" width="15.25"/>
    <col customWidth="1" min="3" max="3" width="20.25"/>
    <col customWidth="1" min="4" max="4" width="13.88"/>
    <col customWidth="1" min="5" max="5" width="18.63"/>
    <col customWidth="1" min="6" max="6" width="47.63"/>
    <col customWidth="1" min="7" max="7" width="86.38"/>
    <col customWidth="1" min="8" max="8" width="84.75"/>
    <col customWidth="1" min="9" max="9" width="14.88"/>
    <col customWidth="1" hidden="1" min="10" max="10" width="19.13"/>
    <col customWidth="1" min="11" max="11" width="18.38"/>
  </cols>
  <sheetData>
    <row r="1" ht="15.75" customHeight="1">
      <c r="A1" s="28" t="s">
        <v>1021</v>
      </c>
      <c r="B1" s="29" t="s">
        <v>1022</v>
      </c>
      <c r="C1" s="28" t="s">
        <v>1023</v>
      </c>
      <c r="D1" s="28" t="s">
        <v>1024</v>
      </c>
      <c r="E1" s="29" t="s">
        <v>1025</v>
      </c>
      <c r="F1" s="29" t="s">
        <v>1026</v>
      </c>
      <c r="G1" s="28" t="s">
        <v>1027</v>
      </c>
      <c r="H1" s="28" t="s">
        <v>1028</v>
      </c>
      <c r="I1" s="30" t="s">
        <v>1029</v>
      </c>
      <c r="J1" s="30"/>
      <c r="K1" s="29" t="s">
        <v>1030</v>
      </c>
    </row>
    <row r="2" ht="15.75" hidden="1" customHeight="1">
      <c r="A2" s="22">
        <v>45794.0</v>
      </c>
      <c r="B2" s="10">
        <v>1.0</v>
      </c>
      <c r="C2" s="10" t="s">
        <v>1031</v>
      </c>
      <c r="D2" s="10" t="s">
        <v>1032</v>
      </c>
      <c r="E2" s="10" t="s">
        <v>1033</v>
      </c>
      <c r="F2" s="11" t="s">
        <v>1034</v>
      </c>
      <c r="G2" s="11" t="s">
        <v>1035</v>
      </c>
      <c r="H2" s="11" t="s">
        <v>1036</v>
      </c>
      <c r="J2" s="9"/>
      <c r="K2" s="31"/>
    </row>
    <row r="3" ht="15.75" hidden="1" customHeight="1">
      <c r="F3" s="11"/>
      <c r="G3" s="11"/>
      <c r="H3" s="11"/>
      <c r="J3" s="9"/>
      <c r="K3" s="31"/>
    </row>
    <row r="4" ht="15.75" hidden="1" customHeight="1">
      <c r="A4" s="32">
        <v>45800.0</v>
      </c>
      <c r="B4" s="10">
        <v>2.0</v>
      </c>
      <c r="C4" s="10" t="s">
        <v>1037</v>
      </c>
      <c r="E4" s="10" t="s">
        <v>1038</v>
      </c>
      <c r="F4" s="33" t="s">
        <v>1039</v>
      </c>
      <c r="G4" s="11"/>
      <c r="H4" s="11"/>
      <c r="J4" s="9"/>
      <c r="K4" s="31"/>
    </row>
    <row r="5" ht="15.75" hidden="1" customHeight="1">
      <c r="E5" s="10" t="s">
        <v>1038</v>
      </c>
      <c r="F5" s="33" t="s">
        <v>1040</v>
      </c>
      <c r="G5" s="11" t="s">
        <v>1041</v>
      </c>
      <c r="H5" s="11" t="s">
        <v>1036</v>
      </c>
      <c r="J5" s="9"/>
      <c r="K5" s="31"/>
    </row>
    <row r="6" ht="15.75" hidden="1" customHeight="1">
      <c r="A6" s="32">
        <v>45803.0</v>
      </c>
      <c r="B6" s="10">
        <v>3.0</v>
      </c>
      <c r="C6" s="10" t="s">
        <v>1037</v>
      </c>
      <c r="E6" s="10" t="s">
        <v>1042</v>
      </c>
      <c r="F6" s="34" t="s">
        <v>1043</v>
      </c>
      <c r="G6" s="11"/>
      <c r="H6" s="11"/>
      <c r="J6" s="9"/>
      <c r="K6" s="31"/>
    </row>
    <row r="7" ht="15.75" hidden="1" customHeight="1">
      <c r="F7" s="34"/>
      <c r="G7" s="11"/>
      <c r="H7" s="11"/>
      <c r="J7" s="9"/>
      <c r="K7" s="31"/>
    </row>
    <row r="8" ht="15.75" hidden="1" customHeight="1">
      <c r="A8" s="35">
        <v>45804.0</v>
      </c>
      <c r="B8" s="10">
        <v>1.0</v>
      </c>
      <c r="C8" s="10" t="s">
        <v>1044</v>
      </c>
      <c r="F8" s="36" t="s">
        <v>1045</v>
      </c>
      <c r="G8" s="11"/>
      <c r="H8" s="11"/>
      <c r="J8" s="9"/>
      <c r="K8" s="31"/>
    </row>
    <row r="9" ht="15.75" hidden="1" customHeight="1">
      <c r="A9" s="35">
        <v>45804.0</v>
      </c>
      <c r="B9" s="10">
        <v>2.0</v>
      </c>
      <c r="C9" s="10" t="s">
        <v>1046</v>
      </c>
      <c r="E9" s="10" t="s">
        <v>1047</v>
      </c>
      <c r="F9" s="11" t="s">
        <v>1048</v>
      </c>
      <c r="G9" s="11" t="s">
        <v>1049</v>
      </c>
      <c r="H9" s="11" t="s">
        <v>1036</v>
      </c>
      <c r="J9" s="9"/>
      <c r="K9" s="31"/>
    </row>
    <row r="10" ht="15.75" hidden="1" customHeight="1">
      <c r="B10" s="10">
        <v>3.0</v>
      </c>
      <c r="F10" s="11" t="s">
        <v>1045</v>
      </c>
      <c r="G10" s="11" t="s">
        <v>1050</v>
      </c>
      <c r="H10" s="11" t="s">
        <v>1036</v>
      </c>
      <c r="J10" s="9"/>
      <c r="K10" s="31"/>
    </row>
    <row r="11" ht="15.75" hidden="1" customHeight="1">
      <c r="A11" s="22">
        <v>45806.0</v>
      </c>
      <c r="B11" s="10">
        <v>1.0</v>
      </c>
      <c r="C11" s="10" t="s">
        <v>1051</v>
      </c>
      <c r="E11" s="10" t="s">
        <v>1038</v>
      </c>
      <c r="F11" s="11" t="s">
        <v>1052</v>
      </c>
      <c r="G11" s="11" t="s">
        <v>1053</v>
      </c>
      <c r="H11" s="11" t="s">
        <v>1036</v>
      </c>
      <c r="J11" s="9"/>
      <c r="K11" s="31"/>
    </row>
    <row r="12" ht="15.75" hidden="1" customHeight="1">
      <c r="A12" s="22">
        <v>45806.0</v>
      </c>
      <c r="B12" s="10">
        <v>2.0</v>
      </c>
      <c r="C12" s="10" t="s">
        <v>1051</v>
      </c>
      <c r="E12" s="10" t="s">
        <v>1038</v>
      </c>
      <c r="F12" s="11" t="s">
        <v>1054</v>
      </c>
      <c r="G12" s="11" t="s">
        <v>1055</v>
      </c>
      <c r="H12" s="11" t="s">
        <v>1036</v>
      </c>
      <c r="J12" s="9"/>
      <c r="K12" s="31"/>
    </row>
    <row r="13" ht="15.75" hidden="1" customHeight="1">
      <c r="A13" s="22">
        <v>45812.0</v>
      </c>
      <c r="B13" s="10">
        <v>1.0</v>
      </c>
      <c r="C13" s="10" t="s">
        <v>1044</v>
      </c>
      <c r="E13" s="10" t="s">
        <v>1056</v>
      </c>
      <c r="F13" s="11" t="s">
        <v>1057</v>
      </c>
      <c r="G13" s="11"/>
      <c r="H13" s="11"/>
      <c r="J13" s="9"/>
      <c r="K13" s="31"/>
    </row>
    <row r="14" ht="15.75" hidden="1" customHeight="1">
      <c r="B14" s="10">
        <v>2.0</v>
      </c>
      <c r="C14" s="10" t="s">
        <v>1044</v>
      </c>
      <c r="E14" s="10" t="s">
        <v>1056</v>
      </c>
      <c r="F14" s="34" t="s">
        <v>1058</v>
      </c>
      <c r="G14" s="11"/>
      <c r="H14" s="11"/>
      <c r="J14" s="9"/>
      <c r="K14" s="31"/>
    </row>
    <row r="15" ht="15.75" hidden="1" customHeight="1">
      <c r="B15" s="10">
        <v>3.0</v>
      </c>
      <c r="C15" s="10" t="s">
        <v>1044</v>
      </c>
      <c r="E15" s="10" t="s">
        <v>1056</v>
      </c>
      <c r="F15" s="11" t="s">
        <v>1059</v>
      </c>
      <c r="G15" s="11"/>
      <c r="H15" s="11"/>
      <c r="J15" s="9"/>
      <c r="K15" s="31"/>
    </row>
    <row r="16" ht="15.75" hidden="1" customHeight="1">
      <c r="B16" s="10">
        <v>4.0</v>
      </c>
      <c r="C16" s="10" t="s">
        <v>1060</v>
      </c>
      <c r="E16" s="10" t="s">
        <v>1056</v>
      </c>
      <c r="F16" s="34" t="s">
        <v>1061</v>
      </c>
      <c r="G16" s="11" t="s">
        <v>1062</v>
      </c>
      <c r="H16" s="11" t="s">
        <v>1063</v>
      </c>
      <c r="J16" s="9"/>
      <c r="K16" s="31"/>
    </row>
    <row r="17" ht="15.75" hidden="1" customHeight="1">
      <c r="B17" s="10">
        <v>5.0</v>
      </c>
      <c r="C17" s="10" t="s">
        <v>1064</v>
      </c>
      <c r="F17" s="34" t="s">
        <v>1065</v>
      </c>
      <c r="G17" s="11"/>
      <c r="H17" s="11" t="s">
        <v>1066</v>
      </c>
      <c r="J17" s="9"/>
      <c r="K17" s="31"/>
    </row>
    <row r="18" ht="15.75" hidden="1" customHeight="1">
      <c r="B18" s="10">
        <v>6.0</v>
      </c>
      <c r="C18" s="10" t="s">
        <v>1064</v>
      </c>
      <c r="E18" s="10" t="s">
        <v>1067</v>
      </c>
      <c r="F18" s="34" t="s">
        <v>1068</v>
      </c>
      <c r="G18" s="11"/>
      <c r="H18" s="11"/>
      <c r="J18" s="9"/>
      <c r="K18" s="31"/>
    </row>
    <row r="19" ht="15.75" hidden="1" customHeight="1">
      <c r="A19" s="32">
        <v>45813.0</v>
      </c>
      <c r="B19" s="10">
        <v>1.0</v>
      </c>
      <c r="C19" s="10" t="s">
        <v>1051</v>
      </c>
      <c r="F19" s="11" t="s">
        <v>1069</v>
      </c>
      <c r="G19" s="11" t="s">
        <v>1070</v>
      </c>
      <c r="H19" s="11" t="s">
        <v>1066</v>
      </c>
      <c r="J19" s="9"/>
      <c r="K19" s="31"/>
    </row>
    <row r="20" ht="15.75" hidden="1" customHeight="1">
      <c r="B20" s="10">
        <v>2.0</v>
      </c>
      <c r="C20" s="10" t="s">
        <v>1060</v>
      </c>
      <c r="F20" s="34" t="s">
        <v>1071</v>
      </c>
      <c r="G20" s="11"/>
      <c r="H20" s="11"/>
      <c r="J20" s="9"/>
      <c r="K20" s="31"/>
    </row>
    <row r="21" ht="15.75" hidden="1" customHeight="1">
      <c r="B21" s="10">
        <v>3.0</v>
      </c>
      <c r="C21" s="10" t="s">
        <v>1072</v>
      </c>
      <c r="F21" s="34" t="s">
        <v>1073</v>
      </c>
      <c r="G21" s="11"/>
      <c r="H21" s="11"/>
      <c r="J21" s="9"/>
      <c r="K21" s="31"/>
    </row>
    <row r="22" ht="15.75" hidden="1" customHeight="1">
      <c r="A22" s="22">
        <v>45814.0</v>
      </c>
      <c r="B22" s="10">
        <v>1.0</v>
      </c>
      <c r="C22" s="10" t="s">
        <v>1051</v>
      </c>
      <c r="F22" s="33" t="s">
        <v>1074</v>
      </c>
      <c r="G22" s="11" t="s">
        <v>1075</v>
      </c>
      <c r="H22" s="11"/>
      <c r="J22" s="9"/>
      <c r="K22" s="31"/>
    </row>
    <row r="23" ht="15.75" hidden="1" customHeight="1">
      <c r="B23" s="10">
        <v>2.0</v>
      </c>
      <c r="C23" s="10" t="s">
        <v>1076</v>
      </c>
      <c r="F23" s="33" t="s">
        <v>1077</v>
      </c>
      <c r="G23" s="34" t="s">
        <v>1078</v>
      </c>
      <c r="H23" s="11" t="s">
        <v>1066</v>
      </c>
      <c r="J23" s="9"/>
      <c r="K23" s="31"/>
    </row>
    <row r="24" ht="15.75" hidden="1" customHeight="1">
      <c r="B24" s="10">
        <v>3.0</v>
      </c>
      <c r="C24" s="10" t="s">
        <v>1079</v>
      </c>
      <c r="F24" s="34" t="s">
        <v>1080</v>
      </c>
      <c r="G24" s="11" t="s">
        <v>1081</v>
      </c>
      <c r="H24" s="11"/>
      <c r="J24" s="9"/>
      <c r="K24" s="31"/>
    </row>
    <row r="25" ht="15.75" hidden="1" customHeight="1">
      <c r="B25" s="10">
        <v>4.0</v>
      </c>
      <c r="F25" s="33" t="s">
        <v>1082</v>
      </c>
      <c r="G25" s="11"/>
      <c r="H25" s="11"/>
      <c r="J25" s="9"/>
      <c r="K25" s="31"/>
    </row>
    <row r="26" ht="15.75" hidden="1" customHeight="1">
      <c r="A26" s="8">
        <v>45815.0</v>
      </c>
      <c r="F26" s="11" t="s">
        <v>1083</v>
      </c>
      <c r="G26" s="11"/>
      <c r="H26" s="11"/>
      <c r="J26" s="9"/>
      <c r="K26" s="31"/>
    </row>
    <row r="27" ht="15.75" hidden="1" customHeight="1">
      <c r="A27" s="8">
        <v>45817.0</v>
      </c>
      <c r="B27" s="10">
        <v>1.0</v>
      </c>
      <c r="C27" s="10" t="s">
        <v>1084</v>
      </c>
      <c r="F27" s="11" t="s">
        <v>1085</v>
      </c>
      <c r="G27" s="11" t="s">
        <v>1086</v>
      </c>
      <c r="H27" s="11"/>
      <c r="J27" s="9"/>
      <c r="K27" s="31"/>
    </row>
    <row r="28" ht="15.75" hidden="1" customHeight="1">
      <c r="A28" s="8">
        <v>45818.0</v>
      </c>
      <c r="F28" s="11" t="s">
        <v>1083</v>
      </c>
      <c r="G28" s="11"/>
      <c r="H28" s="11"/>
      <c r="J28" s="9"/>
      <c r="K28" s="31"/>
    </row>
    <row r="29" ht="15.75" hidden="1" customHeight="1">
      <c r="A29" s="8">
        <v>45819.0</v>
      </c>
      <c r="F29" s="11" t="s">
        <v>1083</v>
      </c>
      <c r="G29" s="11"/>
      <c r="H29" s="11"/>
      <c r="J29" s="9"/>
      <c r="K29" s="31"/>
    </row>
    <row r="30" ht="15.75" hidden="1" customHeight="1">
      <c r="A30" s="8">
        <v>45820.0</v>
      </c>
      <c r="F30" s="11" t="s">
        <v>1083</v>
      </c>
      <c r="G30" s="11"/>
      <c r="H30" s="11"/>
      <c r="J30" s="9"/>
      <c r="K30" s="31"/>
    </row>
    <row r="31" ht="15.75" hidden="1" customHeight="1">
      <c r="A31" s="8">
        <v>45821.0</v>
      </c>
      <c r="F31" s="11" t="s">
        <v>1083</v>
      </c>
      <c r="G31" s="11"/>
      <c r="H31" s="11"/>
      <c r="J31" s="9"/>
      <c r="K31" s="31"/>
    </row>
    <row r="32" ht="15.75" hidden="1" customHeight="1">
      <c r="A32" s="8">
        <v>45824.0</v>
      </c>
      <c r="B32" s="10">
        <v>1.0</v>
      </c>
      <c r="C32" s="10" t="s">
        <v>1087</v>
      </c>
      <c r="F32" s="34" t="s">
        <v>1088</v>
      </c>
      <c r="G32" s="11" t="s">
        <v>1089</v>
      </c>
      <c r="H32" s="11" t="s">
        <v>1066</v>
      </c>
      <c r="J32" s="9"/>
      <c r="K32" s="31"/>
    </row>
    <row r="33" ht="15.75" hidden="1" customHeight="1">
      <c r="A33" s="8">
        <v>45826.0</v>
      </c>
      <c r="B33" s="10">
        <v>1.0</v>
      </c>
      <c r="C33" s="10" t="s">
        <v>1051</v>
      </c>
      <c r="F33" s="37" t="s">
        <v>1090</v>
      </c>
      <c r="G33" s="11" t="s">
        <v>1091</v>
      </c>
      <c r="H33" s="11"/>
      <c r="J33" s="9"/>
      <c r="K33" s="31"/>
    </row>
    <row r="34" ht="15.75" hidden="1" customHeight="1">
      <c r="A34" s="8"/>
      <c r="B34" s="10">
        <v>2.0</v>
      </c>
      <c r="C34" s="10" t="s">
        <v>1092</v>
      </c>
      <c r="F34" s="37" t="s">
        <v>1093</v>
      </c>
      <c r="G34" s="11" t="s">
        <v>1094</v>
      </c>
      <c r="H34" s="11"/>
      <c r="J34" s="9"/>
      <c r="K34" s="31"/>
    </row>
    <row r="35" ht="15.75" hidden="1" customHeight="1">
      <c r="A35" s="8"/>
      <c r="B35" s="10">
        <v>3.0</v>
      </c>
      <c r="C35" s="10" t="s">
        <v>1060</v>
      </c>
      <c r="F35" s="11" t="s">
        <v>1095</v>
      </c>
      <c r="G35" s="11" t="s">
        <v>1096</v>
      </c>
      <c r="H35" s="11"/>
      <c r="J35" s="9"/>
      <c r="K35" s="31"/>
    </row>
    <row r="36" ht="15.75" hidden="1" customHeight="1">
      <c r="A36" s="8">
        <v>45831.0</v>
      </c>
      <c r="C36" s="10" t="s">
        <v>1079</v>
      </c>
      <c r="E36" s="10" t="s">
        <v>1038</v>
      </c>
      <c r="F36" s="34" t="s">
        <v>1097</v>
      </c>
      <c r="G36" s="11"/>
      <c r="H36" s="11"/>
      <c r="J36" s="9"/>
      <c r="K36" s="31"/>
    </row>
    <row r="37" ht="15.75" hidden="1" customHeight="1">
      <c r="A37" s="8"/>
      <c r="F37" s="34" t="s">
        <v>1098</v>
      </c>
      <c r="G37" s="11"/>
      <c r="H37" s="11"/>
      <c r="J37" s="9"/>
      <c r="K37" s="31"/>
    </row>
    <row r="38" ht="15.75" hidden="1" customHeight="1">
      <c r="A38" s="8"/>
      <c r="F38" s="34" t="s">
        <v>1099</v>
      </c>
      <c r="G38" s="11"/>
      <c r="H38" s="11"/>
      <c r="J38" s="9"/>
      <c r="K38" s="31"/>
    </row>
    <row r="39" ht="15.75" hidden="1" customHeight="1">
      <c r="A39" s="8"/>
      <c r="F39" s="11" t="s">
        <v>1100</v>
      </c>
      <c r="G39" s="11"/>
      <c r="H39" s="11"/>
      <c r="J39" s="9"/>
      <c r="K39" s="31"/>
    </row>
    <row r="40" ht="15.75" hidden="1" customHeight="1">
      <c r="A40" s="8">
        <v>45832.0</v>
      </c>
      <c r="C40" s="10" t="s">
        <v>1064</v>
      </c>
      <c r="F40" s="11" t="s">
        <v>1101</v>
      </c>
      <c r="G40" s="11" t="s">
        <v>1102</v>
      </c>
      <c r="H40" s="11"/>
      <c r="J40" s="9"/>
      <c r="K40" s="31"/>
    </row>
    <row r="41" ht="15.75" hidden="1" customHeight="1">
      <c r="A41" s="8">
        <v>45835.0</v>
      </c>
      <c r="C41" s="10" t="s">
        <v>1037</v>
      </c>
      <c r="F41" s="11" t="s">
        <v>1103</v>
      </c>
      <c r="G41" s="11"/>
      <c r="H41" s="11"/>
      <c r="J41" s="9"/>
      <c r="K41" s="31"/>
    </row>
    <row r="42" ht="15.75" hidden="1" customHeight="1">
      <c r="A42" s="22">
        <v>45838.0</v>
      </c>
      <c r="C42" s="10" t="s">
        <v>1084</v>
      </c>
      <c r="F42" s="11" t="s">
        <v>1104</v>
      </c>
      <c r="G42" s="11"/>
      <c r="H42" s="11" t="s">
        <v>1066</v>
      </c>
      <c r="J42" s="9"/>
      <c r="K42" s="31"/>
    </row>
    <row r="43" ht="15.75" hidden="1" customHeight="1">
      <c r="C43" s="10" t="s">
        <v>1084</v>
      </c>
      <c r="F43" s="38" t="s">
        <v>1105</v>
      </c>
      <c r="G43" s="11"/>
      <c r="H43" s="11"/>
      <c r="J43" s="9"/>
      <c r="K43" s="31"/>
    </row>
    <row r="44" ht="15.75" hidden="1" customHeight="1">
      <c r="A44" s="22">
        <v>45839.0</v>
      </c>
      <c r="C44" s="10" t="s">
        <v>1106</v>
      </c>
      <c r="F44" s="11" t="s">
        <v>1107</v>
      </c>
      <c r="G44" s="11"/>
      <c r="H44" s="11"/>
      <c r="J44" s="9"/>
      <c r="K44" s="31"/>
    </row>
    <row r="45" ht="15.75" hidden="1" customHeight="1">
      <c r="C45" s="10" t="s">
        <v>1108</v>
      </c>
      <c r="F45" s="11" t="s">
        <v>1109</v>
      </c>
      <c r="G45" s="11"/>
      <c r="H45" s="11"/>
      <c r="J45" s="9"/>
      <c r="K45" s="31"/>
    </row>
    <row r="46" ht="15.75" hidden="1" customHeight="1">
      <c r="C46" s="10" t="s">
        <v>1110</v>
      </c>
      <c r="F46" s="11" t="s">
        <v>1111</v>
      </c>
      <c r="G46" s="11" t="s">
        <v>1112</v>
      </c>
      <c r="H46" s="11" t="s">
        <v>1066</v>
      </c>
      <c r="J46" s="9"/>
      <c r="K46" s="31"/>
    </row>
    <row r="47" ht="15.75" hidden="1" customHeight="1">
      <c r="C47" s="10" t="s">
        <v>1110</v>
      </c>
      <c r="F47" s="11" t="s">
        <v>1113</v>
      </c>
      <c r="G47" s="11"/>
      <c r="H47" s="11"/>
      <c r="J47" s="9"/>
      <c r="K47" s="31"/>
    </row>
    <row r="48" ht="15.75" hidden="1" customHeight="1">
      <c r="A48" s="22">
        <v>45841.0</v>
      </c>
      <c r="C48" s="10" t="s">
        <v>1051</v>
      </c>
      <c r="F48" s="33" t="s">
        <v>1114</v>
      </c>
      <c r="G48" s="11"/>
      <c r="H48" s="11"/>
      <c r="J48" s="9"/>
      <c r="K48" s="31"/>
    </row>
    <row r="49" ht="15.75" hidden="1" customHeight="1">
      <c r="C49" s="10" t="s">
        <v>1092</v>
      </c>
      <c r="E49" s="10" t="s">
        <v>1038</v>
      </c>
      <c r="F49" s="33" t="s">
        <v>1115</v>
      </c>
      <c r="G49" s="11"/>
      <c r="H49" s="11"/>
      <c r="J49" s="9"/>
      <c r="K49" s="31"/>
    </row>
    <row r="50" ht="15.75" hidden="1" customHeight="1">
      <c r="C50" s="10" t="s">
        <v>1092</v>
      </c>
      <c r="E50" s="10" t="s">
        <v>1038</v>
      </c>
      <c r="F50" s="33" t="s">
        <v>1116</v>
      </c>
      <c r="G50" s="11"/>
      <c r="H50" s="11"/>
      <c r="J50" s="9"/>
      <c r="K50" s="31"/>
    </row>
    <row r="51" ht="15.75" hidden="1" customHeight="1">
      <c r="C51" s="10" t="s">
        <v>1092</v>
      </c>
      <c r="E51" s="10" t="s">
        <v>1038</v>
      </c>
      <c r="F51" s="33" t="s">
        <v>1117</v>
      </c>
      <c r="G51" s="11"/>
      <c r="H51" s="11"/>
      <c r="J51" s="9"/>
      <c r="K51" s="31"/>
    </row>
    <row r="52" ht="15.75" hidden="1" customHeight="1">
      <c r="E52" s="10" t="s">
        <v>1038</v>
      </c>
      <c r="F52" s="34" t="s">
        <v>1118</v>
      </c>
      <c r="G52" s="11"/>
      <c r="H52" s="11"/>
      <c r="J52" s="9"/>
      <c r="K52" s="31"/>
    </row>
    <row r="53" ht="15.75" hidden="1" customHeight="1">
      <c r="A53" s="22">
        <v>45842.0</v>
      </c>
      <c r="C53" s="10" t="s">
        <v>1092</v>
      </c>
      <c r="F53" s="11" t="s">
        <v>1119</v>
      </c>
      <c r="G53" s="11"/>
      <c r="H53" s="11"/>
      <c r="J53" s="9"/>
      <c r="K53" s="31"/>
    </row>
    <row r="54" ht="15.75" hidden="1" customHeight="1">
      <c r="F54" s="11" t="s">
        <v>1120</v>
      </c>
      <c r="G54" s="11"/>
      <c r="H54" s="11"/>
      <c r="J54" s="9"/>
      <c r="K54" s="31"/>
    </row>
    <row r="55" ht="15.75" hidden="1" customHeight="1">
      <c r="C55" s="10" t="s">
        <v>1121</v>
      </c>
      <c r="F55" s="11" t="s">
        <v>1122</v>
      </c>
      <c r="G55" s="11" t="s">
        <v>1123</v>
      </c>
      <c r="H55" s="11"/>
      <c r="J55" s="9"/>
      <c r="K55" s="31"/>
    </row>
    <row r="56" ht="15.75" hidden="1" customHeight="1">
      <c r="F56" s="11" t="s">
        <v>1124</v>
      </c>
      <c r="G56" s="11" t="s">
        <v>1125</v>
      </c>
      <c r="H56" s="11"/>
      <c r="J56" s="9"/>
      <c r="K56" s="31"/>
    </row>
    <row r="57" ht="15.75" hidden="1" customHeight="1">
      <c r="C57" s="10" t="s">
        <v>1126</v>
      </c>
      <c r="E57" s="10" t="s">
        <v>1038</v>
      </c>
      <c r="F57" s="11" t="s">
        <v>1127</v>
      </c>
      <c r="G57" s="11" t="s">
        <v>1128</v>
      </c>
      <c r="H57" s="11"/>
      <c r="J57" s="9"/>
      <c r="K57" s="31"/>
    </row>
    <row r="58" ht="15.75" hidden="1" customHeight="1">
      <c r="C58" s="10" t="s">
        <v>1079</v>
      </c>
      <c r="F58" s="11" t="s">
        <v>1129</v>
      </c>
      <c r="G58" s="11"/>
      <c r="H58" s="11"/>
      <c r="J58" s="9"/>
      <c r="K58" s="31"/>
    </row>
    <row r="59" ht="15.75" hidden="1" customHeight="1">
      <c r="C59" s="10" t="s">
        <v>1079</v>
      </c>
      <c r="F59" s="11" t="s">
        <v>1130</v>
      </c>
      <c r="G59" s="11"/>
      <c r="H59" s="11"/>
      <c r="J59" s="9"/>
      <c r="K59" s="31"/>
    </row>
    <row r="60" ht="15.75" hidden="1" customHeight="1">
      <c r="C60" s="10" t="s">
        <v>1131</v>
      </c>
      <c r="F60" s="11" t="s">
        <v>1132</v>
      </c>
      <c r="G60" s="11"/>
      <c r="H60" s="11"/>
      <c r="J60" s="9"/>
      <c r="K60" s="31"/>
    </row>
    <row r="61" ht="15.75" hidden="1" customHeight="1">
      <c r="C61" s="10" t="s">
        <v>1133</v>
      </c>
      <c r="F61" s="11" t="s">
        <v>1134</v>
      </c>
      <c r="G61" s="11"/>
      <c r="H61" s="11"/>
      <c r="J61" s="9"/>
      <c r="K61" s="31"/>
    </row>
    <row r="62" ht="15.75" hidden="1" customHeight="1">
      <c r="A62" s="22"/>
      <c r="C62" s="10" t="s">
        <v>1121</v>
      </c>
      <c r="F62" s="11" t="s">
        <v>1135</v>
      </c>
      <c r="G62" s="11" t="s">
        <v>1136</v>
      </c>
      <c r="H62" s="11"/>
      <c r="J62" s="9"/>
      <c r="K62" s="31"/>
    </row>
    <row r="63" ht="15.75" hidden="1" customHeight="1">
      <c r="A63" s="22">
        <v>45845.0</v>
      </c>
      <c r="C63" s="10" t="s">
        <v>1137</v>
      </c>
      <c r="F63" s="11" t="s">
        <v>1138</v>
      </c>
      <c r="G63" s="11"/>
      <c r="H63" s="11"/>
      <c r="J63" s="9"/>
      <c r="K63" s="31"/>
    </row>
    <row r="64" ht="15.75" hidden="1" customHeight="1">
      <c r="C64" s="10" t="s">
        <v>1139</v>
      </c>
      <c r="F64" s="11" t="s">
        <v>1140</v>
      </c>
      <c r="G64" s="11"/>
      <c r="H64" s="11"/>
      <c r="J64" s="9"/>
      <c r="K64" s="31"/>
    </row>
    <row r="65" ht="15.75" hidden="1" customHeight="1">
      <c r="C65" s="10" t="s">
        <v>1139</v>
      </c>
      <c r="F65" s="11" t="s">
        <v>1141</v>
      </c>
      <c r="G65" s="11"/>
      <c r="H65" s="11"/>
      <c r="J65" s="9"/>
      <c r="K65" s="31"/>
    </row>
    <row r="66" ht="15.75" hidden="1" customHeight="1">
      <c r="C66" s="10" t="s">
        <v>1044</v>
      </c>
      <c r="F66" s="11" t="s">
        <v>1142</v>
      </c>
      <c r="G66" s="11" t="s">
        <v>1143</v>
      </c>
      <c r="H66" s="11"/>
      <c r="J66" s="9"/>
      <c r="K66" s="31"/>
    </row>
    <row r="67" ht="15.75" hidden="1" customHeight="1">
      <c r="A67" s="22">
        <v>45846.0</v>
      </c>
      <c r="C67" s="10" t="s">
        <v>1137</v>
      </c>
      <c r="F67" s="34" t="s">
        <v>1144</v>
      </c>
      <c r="G67" s="11"/>
      <c r="H67" s="11"/>
      <c r="J67" s="9"/>
      <c r="K67" s="31"/>
    </row>
    <row r="68" ht="15.75" hidden="1" customHeight="1">
      <c r="A68" s="22">
        <v>45847.0</v>
      </c>
      <c r="C68" s="10" t="s">
        <v>1064</v>
      </c>
      <c r="F68" s="11" t="s">
        <v>1145</v>
      </c>
      <c r="G68" s="11"/>
      <c r="H68" s="11"/>
      <c r="J68" s="9"/>
      <c r="K68" s="31"/>
    </row>
    <row r="69" ht="15.75" hidden="1" customHeight="1">
      <c r="F69" s="11" t="s">
        <v>1146</v>
      </c>
      <c r="G69" s="11"/>
      <c r="H69" s="11"/>
      <c r="J69" s="9"/>
      <c r="K69" s="31"/>
    </row>
    <row r="70" ht="15.75" hidden="1" customHeight="1">
      <c r="F70" s="11" t="s">
        <v>1147</v>
      </c>
      <c r="G70" s="11"/>
      <c r="H70" s="11"/>
      <c r="J70" s="9"/>
      <c r="K70" s="31"/>
    </row>
    <row r="71" ht="15.75" hidden="1" customHeight="1">
      <c r="F71" s="11" t="s">
        <v>1148</v>
      </c>
      <c r="G71" s="11"/>
      <c r="H71" s="11"/>
      <c r="J71" s="9"/>
      <c r="K71" s="31"/>
    </row>
    <row r="72" ht="15.75" hidden="1" customHeight="1">
      <c r="F72" s="11" t="s">
        <v>1149</v>
      </c>
      <c r="G72" s="11"/>
      <c r="H72" s="11"/>
      <c r="J72" s="9"/>
      <c r="K72" s="31"/>
    </row>
    <row r="73" ht="15.75" hidden="1" customHeight="1">
      <c r="F73" s="11" t="s">
        <v>1150</v>
      </c>
      <c r="G73" s="11"/>
      <c r="H73" s="11"/>
      <c r="J73" s="9"/>
      <c r="K73" s="31"/>
    </row>
    <row r="74" ht="15.75" hidden="1" customHeight="1">
      <c r="F74" s="11" t="s">
        <v>1151</v>
      </c>
      <c r="G74" s="11"/>
      <c r="H74" s="11"/>
      <c r="J74" s="9"/>
      <c r="K74" s="31"/>
    </row>
    <row r="75" ht="15.75" hidden="1" customHeight="1">
      <c r="F75" s="11" t="s">
        <v>1152</v>
      </c>
      <c r="G75" s="11"/>
      <c r="H75" s="11"/>
      <c r="J75" s="9"/>
      <c r="K75" s="31"/>
    </row>
    <row r="76" ht="15.75" hidden="1" customHeight="1">
      <c r="C76" s="10" t="s">
        <v>1084</v>
      </c>
      <c r="F76" s="11" t="s">
        <v>1153</v>
      </c>
      <c r="G76" s="11"/>
      <c r="H76" s="11"/>
      <c r="J76" s="9"/>
      <c r="K76" s="31"/>
    </row>
    <row r="77" ht="15.75" hidden="1" customHeight="1">
      <c r="A77" s="22">
        <v>45849.0</v>
      </c>
      <c r="C77" s="10" t="s">
        <v>1051</v>
      </c>
      <c r="F77" s="39" t="s">
        <v>1154</v>
      </c>
      <c r="G77" s="11"/>
      <c r="H77" s="11"/>
      <c r="J77" s="9"/>
      <c r="K77" s="31"/>
    </row>
    <row r="78" ht="15.75" hidden="1" customHeight="1">
      <c r="C78" s="10" t="s">
        <v>1037</v>
      </c>
      <c r="F78" s="11" t="s">
        <v>1155</v>
      </c>
      <c r="G78" s="11"/>
      <c r="H78" s="11"/>
      <c r="J78" s="9"/>
      <c r="K78" s="31"/>
    </row>
    <row r="79" ht="15.75" hidden="1" customHeight="1">
      <c r="C79" s="10" t="s">
        <v>1084</v>
      </c>
      <c r="F79" s="34" t="s">
        <v>1156</v>
      </c>
      <c r="G79" s="11"/>
      <c r="H79" s="11"/>
      <c r="J79" s="9"/>
      <c r="K79" s="31"/>
    </row>
    <row r="80" ht="15.75" hidden="1" customHeight="1">
      <c r="A80" s="22">
        <v>45852.0</v>
      </c>
      <c r="C80" s="10" t="s">
        <v>1092</v>
      </c>
      <c r="F80" s="11" t="s">
        <v>1157</v>
      </c>
      <c r="G80" s="11"/>
      <c r="H80" s="11"/>
      <c r="J80" s="9"/>
      <c r="K80" s="31"/>
    </row>
    <row r="81" ht="15.75" hidden="1" customHeight="1">
      <c r="C81" s="10" t="s">
        <v>1158</v>
      </c>
      <c r="F81" s="34" t="s">
        <v>1159</v>
      </c>
      <c r="G81" s="11"/>
      <c r="H81" s="11"/>
      <c r="J81" s="9"/>
      <c r="K81" s="31"/>
    </row>
    <row r="82" ht="15.75" hidden="1" customHeight="1">
      <c r="F82" s="34" t="s">
        <v>1160</v>
      </c>
      <c r="G82" s="11"/>
      <c r="H82" s="11"/>
      <c r="J82" s="9"/>
      <c r="K82" s="31"/>
    </row>
    <row r="83" ht="15.75" hidden="1" customHeight="1">
      <c r="A83" s="22">
        <v>45854.0</v>
      </c>
      <c r="C83" s="10" t="s">
        <v>1092</v>
      </c>
      <c r="F83" s="11" t="s">
        <v>1161</v>
      </c>
      <c r="G83" s="11"/>
      <c r="H83" s="11"/>
      <c r="J83" s="9"/>
      <c r="K83" s="31"/>
    </row>
    <row r="84" ht="15.75" hidden="1" customHeight="1">
      <c r="C84" s="10" t="s">
        <v>1060</v>
      </c>
      <c r="F84" s="11" t="s">
        <v>1162</v>
      </c>
      <c r="G84" s="11"/>
      <c r="H84" s="11"/>
      <c r="J84" s="9"/>
      <c r="K84" s="31"/>
    </row>
    <row r="85" ht="15.75" hidden="1" customHeight="1">
      <c r="C85" s="10" t="s">
        <v>1163</v>
      </c>
      <c r="F85" s="11" t="s">
        <v>1164</v>
      </c>
      <c r="G85" s="11"/>
      <c r="H85" s="11"/>
      <c r="J85" s="9"/>
      <c r="K85" s="31"/>
    </row>
    <row r="86" ht="15.75" hidden="1" customHeight="1">
      <c r="C86" s="10" t="s">
        <v>1037</v>
      </c>
      <c r="F86" s="11" t="s">
        <v>1165</v>
      </c>
      <c r="G86" s="11"/>
      <c r="H86" s="11"/>
      <c r="J86" s="9"/>
      <c r="K86" s="31"/>
    </row>
    <row r="87" ht="15.75" hidden="1" customHeight="1">
      <c r="C87" s="10" t="s">
        <v>1060</v>
      </c>
      <c r="F87" s="11" t="s">
        <v>1166</v>
      </c>
      <c r="G87" s="11"/>
      <c r="H87" s="11"/>
      <c r="J87" s="9"/>
      <c r="K87" s="31"/>
    </row>
    <row r="88" ht="15.75" hidden="1" customHeight="1">
      <c r="A88" s="22">
        <v>45855.0</v>
      </c>
      <c r="C88" s="10" t="s">
        <v>1167</v>
      </c>
      <c r="F88" s="11" t="s">
        <v>1168</v>
      </c>
      <c r="G88" s="11" t="s">
        <v>1169</v>
      </c>
      <c r="H88" s="11" t="s">
        <v>1066</v>
      </c>
      <c r="J88" s="9"/>
      <c r="K88" s="31"/>
    </row>
    <row r="89" ht="15.75" hidden="1" customHeight="1">
      <c r="C89" s="10" t="s">
        <v>1092</v>
      </c>
      <c r="F89" s="34" t="s">
        <v>1170</v>
      </c>
      <c r="G89" s="11"/>
      <c r="H89" s="11"/>
      <c r="J89" s="9"/>
      <c r="K89" s="31"/>
    </row>
    <row r="90" ht="15.75" hidden="1" customHeight="1">
      <c r="C90" s="10" t="s">
        <v>1167</v>
      </c>
      <c r="F90" s="11" t="s">
        <v>1171</v>
      </c>
      <c r="G90" s="11"/>
      <c r="H90" s="11" t="s">
        <v>1066</v>
      </c>
      <c r="J90" s="9"/>
      <c r="K90" s="31"/>
    </row>
    <row r="91" ht="15.75" hidden="1" customHeight="1">
      <c r="C91" s="10" t="s">
        <v>1167</v>
      </c>
      <c r="F91" s="11" t="s">
        <v>1172</v>
      </c>
      <c r="G91" s="11"/>
      <c r="H91" s="11" t="s">
        <v>1066</v>
      </c>
      <c r="J91" s="9"/>
      <c r="K91" s="31"/>
    </row>
    <row r="92" ht="15.75" hidden="1" customHeight="1">
      <c r="F92" s="11" t="s">
        <v>1173</v>
      </c>
      <c r="G92" s="11"/>
      <c r="H92" s="11"/>
      <c r="J92" s="9"/>
      <c r="K92" s="31"/>
    </row>
    <row r="93" ht="15.75" hidden="1" customHeight="1">
      <c r="C93" s="10" t="s">
        <v>1174</v>
      </c>
      <c r="F93" s="11" t="s">
        <v>1175</v>
      </c>
      <c r="G93" s="11"/>
      <c r="H93" s="11" t="s">
        <v>1066</v>
      </c>
      <c r="J93" s="9"/>
      <c r="K93" s="31"/>
    </row>
    <row r="94" ht="15.75" hidden="1" customHeight="1">
      <c r="F94" s="11" t="s">
        <v>1176</v>
      </c>
      <c r="G94" s="11"/>
      <c r="H94" s="11"/>
      <c r="J94" s="9"/>
      <c r="K94" s="31"/>
    </row>
    <row r="95" ht="15.75" hidden="1" customHeight="1">
      <c r="F95" s="11" t="s">
        <v>1177</v>
      </c>
      <c r="G95" s="11"/>
      <c r="H95" s="11"/>
      <c r="J95" s="9"/>
      <c r="K95" s="31"/>
    </row>
    <row r="96" ht="15.75" hidden="1" customHeight="1">
      <c r="A96" s="22">
        <v>45856.0</v>
      </c>
      <c r="C96" s="10" t="s">
        <v>1158</v>
      </c>
      <c r="F96" s="11" t="s">
        <v>1178</v>
      </c>
      <c r="G96" s="11"/>
      <c r="H96" s="11"/>
      <c r="J96" s="9"/>
      <c r="K96" s="31"/>
    </row>
    <row r="97" ht="15.75" hidden="1" customHeight="1">
      <c r="C97" s="10" t="s">
        <v>1179</v>
      </c>
      <c r="F97" s="11" t="s">
        <v>1180</v>
      </c>
      <c r="G97" s="11"/>
      <c r="H97" s="11"/>
      <c r="J97" s="9"/>
      <c r="K97" s="31"/>
    </row>
    <row r="98" ht="15.75" hidden="1" customHeight="1">
      <c r="C98" s="10" t="s">
        <v>1110</v>
      </c>
      <c r="F98" s="33" t="s">
        <v>1181</v>
      </c>
      <c r="G98" s="11"/>
      <c r="H98" s="11"/>
      <c r="J98" s="9"/>
      <c r="K98" s="31"/>
    </row>
    <row r="99" ht="15.75" hidden="1" customHeight="1">
      <c r="C99" s="10" t="s">
        <v>1182</v>
      </c>
      <c r="F99" s="11" t="s">
        <v>1183</v>
      </c>
      <c r="G99" s="11"/>
      <c r="H99" s="11"/>
      <c r="J99" s="9"/>
      <c r="K99" s="31"/>
    </row>
    <row r="100" ht="15.75" hidden="1" customHeight="1">
      <c r="F100" s="11" t="s">
        <v>1184</v>
      </c>
      <c r="G100" s="11"/>
      <c r="H100" s="11"/>
      <c r="J100" s="9"/>
      <c r="K100" s="31"/>
    </row>
    <row r="101" ht="15.75" hidden="1" customHeight="1">
      <c r="C101" s="10" t="s">
        <v>1167</v>
      </c>
      <c r="F101" s="34" t="s">
        <v>1185</v>
      </c>
      <c r="G101" s="11"/>
      <c r="H101" s="11"/>
      <c r="J101" s="9"/>
      <c r="K101" s="31"/>
    </row>
    <row r="102" ht="15.75" hidden="1" customHeight="1">
      <c r="C102" s="10" t="s">
        <v>1139</v>
      </c>
      <c r="F102" s="11" t="s">
        <v>1186</v>
      </c>
      <c r="G102" s="11"/>
      <c r="H102" s="11"/>
      <c r="J102" s="9"/>
      <c r="K102" s="31"/>
    </row>
    <row r="103" ht="15.75" hidden="1" customHeight="1">
      <c r="A103" s="22">
        <v>45859.0</v>
      </c>
      <c r="C103" s="10" t="s">
        <v>1163</v>
      </c>
      <c r="F103" s="11" t="s">
        <v>1187</v>
      </c>
      <c r="G103" s="11"/>
      <c r="H103" s="11"/>
      <c r="J103" s="9"/>
      <c r="K103" s="31"/>
    </row>
    <row r="104" ht="15.75" hidden="1" customHeight="1">
      <c r="A104" s="22">
        <v>45860.0</v>
      </c>
      <c r="C104" s="10" t="s">
        <v>1072</v>
      </c>
      <c r="F104" s="11" t="s">
        <v>1188</v>
      </c>
      <c r="G104" s="11"/>
      <c r="H104" s="11"/>
      <c r="J104" s="9"/>
      <c r="K104" s="31"/>
    </row>
    <row r="105" ht="15.75" hidden="1" customHeight="1">
      <c r="C105" s="10" t="s">
        <v>1189</v>
      </c>
      <c r="F105" s="11" t="s">
        <v>1190</v>
      </c>
      <c r="G105" s="11"/>
      <c r="H105" s="11"/>
      <c r="J105" s="9"/>
      <c r="K105" s="31"/>
    </row>
    <row r="106" ht="15.75" hidden="1" customHeight="1">
      <c r="A106" s="22">
        <v>45861.0</v>
      </c>
      <c r="C106" s="10" t="s">
        <v>1084</v>
      </c>
      <c r="F106" s="11" t="s">
        <v>1191</v>
      </c>
      <c r="G106" s="11"/>
      <c r="H106" s="11"/>
      <c r="J106" s="9"/>
      <c r="K106" s="31"/>
    </row>
    <row r="107" ht="15.75" hidden="1" customHeight="1">
      <c r="A107" s="22">
        <v>45862.0</v>
      </c>
      <c r="C107" s="10" t="s">
        <v>1084</v>
      </c>
      <c r="F107" s="11" t="s">
        <v>1192</v>
      </c>
      <c r="G107" s="11"/>
      <c r="H107" s="11"/>
      <c r="J107" s="9"/>
      <c r="K107" s="31"/>
    </row>
    <row r="108" ht="15.75" hidden="1" customHeight="1">
      <c r="C108" s="10" t="s">
        <v>1072</v>
      </c>
      <c r="F108" s="11" t="s">
        <v>1193</v>
      </c>
      <c r="G108" s="11"/>
      <c r="H108" s="11"/>
      <c r="J108" s="9"/>
      <c r="K108" s="31"/>
    </row>
    <row r="109" ht="15.75" hidden="1" customHeight="1">
      <c r="C109" s="10" t="s">
        <v>1084</v>
      </c>
      <c r="F109" s="11" t="s">
        <v>1194</v>
      </c>
      <c r="G109" s="11"/>
      <c r="H109" s="11"/>
      <c r="J109" s="9"/>
      <c r="K109" s="31"/>
    </row>
    <row r="110" ht="15.75" hidden="1" customHeight="1">
      <c r="C110" s="10" t="s">
        <v>1084</v>
      </c>
      <c r="F110" s="11" t="s">
        <v>1195</v>
      </c>
      <c r="G110" s="11"/>
      <c r="H110" s="11"/>
      <c r="J110" s="9"/>
      <c r="K110" s="31"/>
    </row>
    <row r="111" ht="15.75" hidden="1" customHeight="1">
      <c r="A111" s="22">
        <v>45863.0</v>
      </c>
      <c r="C111" s="10" t="s">
        <v>1092</v>
      </c>
      <c r="F111" s="11" t="s">
        <v>1196</v>
      </c>
      <c r="G111" s="11"/>
      <c r="H111" s="11"/>
      <c r="J111" s="9"/>
      <c r="K111" s="31"/>
    </row>
    <row r="112" ht="15.75" hidden="1" customHeight="1">
      <c r="C112" s="10" t="s">
        <v>1092</v>
      </c>
      <c r="F112" s="11" t="s">
        <v>1197</v>
      </c>
      <c r="G112" s="11"/>
      <c r="H112" s="11"/>
      <c r="J112" s="9"/>
      <c r="K112" s="31"/>
    </row>
    <row r="113" ht="15.75" hidden="1" customHeight="1">
      <c r="C113" s="10" t="s">
        <v>1110</v>
      </c>
      <c r="F113" s="11" t="s">
        <v>1198</v>
      </c>
      <c r="G113" s="11"/>
      <c r="H113" s="11"/>
      <c r="J113" s="9"/>
      <c r="K113" s="31"/>
    </row>
    <row r="114" ht="15.75" hidden="1" customHeight="1">
      <c r="F114" s="11" t="s">
        <v>1199</v>
      </c>
      <c r="G114" s="11"/>
      <c r="H114" s="11"/>
      <c r="J114" s="9"/>
      <c r="K114" s="31"/>
    </row>
    <row r="115" ht="15.75" hidden="1" customHeight="1">
      <c r="C115" s="10" t="s">
        <v>1084</v>
      </c>
      <c r="F115" s="11" t="s">
        <v>1200</v>
      </c>
      <c r="G115" s="11"/>
      <c r="H115" s="11"/>
      <c r="J115" s="9"/>
      <c r="K115" s="31"/>
    </row>
    <row r="116" ht="15.75" hidden="1" customHeight="1">
      <c r="C116" s="10" t="s">
        <v>1108</v>
      </c>
      <c r="D116" s="40"/>
      <c r="F116" s="34" t="s">
        <v>1201</v>
      </c>
      <c r="G116" s="11"/>
      <c r="H116" s="11"/>
      <c r="J116" s="9"/>
      <c r="K116" s="31"/>
    </row>
    <row r="117" ht="15.75" hidden="1" customHeight="1">
      <c r="A117" s="22">
        <v>45866.0</v>
      </c>
      <c r="C117" s="10" t="s">
        <v>1092</v>
      </c>
      <c r="F117" s="11" t="s">
        <v>1202</v>
      </c>
      <c r="G117" s="11" t="s">
        <v>1203</v>
      </c>
      <c r="H117" s="11" t="s">
        <v>1066</v>
      </c>
      <c r="J117" s="9"/>
      <c r="K117" s="31"/>
    </row>
    <row r="118" ht="15.75" hidden="1" customHeight="1">
      <c r="C118" s="10" t="s">
        <v>1084</v>
      </c>
      <c r="F118" s="33" t="s">
        <v>1204</v>
      </c>
      <c r="G118" s="11"/>
      <c r="H118" s="11"/>
      <c r="J118" s="9"/>
      <c r="K118" s="31"/>
    </row>
    <row r="119" ht="15.75" hidden="1" customHeight="1">
      <c r="C119" s="10" t="s">
        <v>1139</v>
      </c>
      <c r="F119" s="34" t="s">
        <v>1205</v>
      </c>
      <c r="G119" s="11"/>
      <c r="H119" s="11"/>
      <c r="J119" s="9"/>
      <c r="K119" s="31"/>
    </row>
    <row r="120" ht="15.75" hidden="1" customHeight="1">
      <c r="C120" s="10" t="s">
        <v>1163</v>
      </c>
      <c r="F120" s="33" t="s">
        <v>1206</v>
      </c>
      <c r="G120" s="11"/>
      <c r="H120" s="11"/>
      <c r="J120" s="9"/>
      <c r="K120" s="31"/>
    </row>
    <row r="121" ht="15.75" hidden="1" customHeight="1">
      <c r="F121" s="34" t="s">
        <v>1207</v>
      </c>
      <c r="G121" s="11"/>
      <c r="H121" s="11"/>
      <c r="J121" s="9"/>
      <c r="K121" s="31"/>
    </row>
    <row r="122" ht="15.75" hidden="1" customHeight="1">
      <c r="F122" s="34" t="s">
        <v>1208</v>
      </c>
      <c r="G122" s="11"/>
      <c r="H122" s="11"/>
      <c r="J122" s="9"/>
      <c r="K122" s="31"/>
    </row>
    <row r="123" ht="15.75" hidden="1" customHeight="1">
      <c r="F123" s="34" t="s">
        <v>1209</v>
      </c>
      <c r="G123" s="11"/>
      <c r="H123" s="11"/>
      <c r="J123" s="9"/>
      <c r="K123" s="31"/>
    </row>
    <row r="124" ht="15.75" hidden="1" customHeight="1">
      <c r="A124" s="22">
        <v>45869.0</v>
      </c>
      <c r="C124" s="10" t="s">
        <v>1087</v>
      </c>
      <c r="F124" s="11" t="s">
        <v>1210</v>
      </c>
      <c r="G124" s="11"/>
      <c r="H124" s="11"/>
      <c r="J124" s="9"/>
      <c r="K124" s="31"/>
    </row>
    <row r="125" ht="15.75" hidden="1" customHeight="1">
      <c r="C125" s="10" t="s">
        <v>1163</v>
      </c>
      <c r="F125" s="34" t="s">
        <v>1211</v>
      </c>
      <c r="G125" s="11"/>
      <c r="H125" s="11"/>
      <c r="J125" s="9"/>
      <c r="K125" s="31"/>
    </row>
    <row r="126" ht="15.75" hidden="1" customHeight="1">
      <c r="C126" s="10" t="s">
        <v>1084</v>
      </c>
      <c r="F126" s="34" t="s">
        <v>1212</v>
      </c>
      <c r="G126" s="11"/>
      <c r="H126" s="11"/>
      <c r="J126" s="9"/>
      <c r="K126" s="31"/>
    </row>
    <row r="127" ht="15.75" hidden="1" customHeight="1">
      <c r="A127" s="22">
        <v>45870.0</v>
      </c>
      <c r="C127" s="10" t="s">
        <v>1084</v>
      </c>
      <c r="F127" s="11" t="s">
        <v>1213</v>
      </c>
      <c r="G127" s="11"/>
      <c r="H127" s="11"/>
      <c r="J127" s="9"/>
      <c r="K127" s="31"/>
    </row>
    <row r="128" ht="15.75" hidden="1" customHeight="1">
      <c r="C128" s="10" t="s">
        <v>1084</v>
      </c>
      <c r="F128" s="11" t="s">
        <v>1214</v>
      </c>
      <c r="G128" s="11"/>
      <c r="H128" s="11"/>
      <c r="J128" s="9"/>
      <c r="K128" s="31"/>
    </row>
    <row r="129" ht="15.75" hidden="1" customHeight="1">
      <c r="F129" s="11" t="s">
        <v>1215</v>
      </c>
      <c r="G129" s="11"/>
      <c r="H129" s="11"/>
      <c r="J129" s="9"/>
      <c r="K129" s="31"/>
    </row>
    <row r="130" ht="15.75" hidden="1" customHeight="1">
      <c r="F130" s="11" t="s">
        <v>1216</v>
      </c>
      <c r="G130" s="11"/>
      <c r="H130" s="11"/>
      <c r="J130" s="9"/>
      <c r="K130" s="31"/>
    </row>
    <row r="131" ht="15.75" hidden="1" customHeight="1">
      <c r="C131" s="10" t="s">
        <v>1044</v>
      </c>
      <c r="F131" s="11" t="s">
        <v>1217</v>
      </c>
      <c r="G131" s="11"/>
      <c r="H131" s="11"/>
      <c r="J131" s="9"/>
      <c r="K131" s="31"/>
    </row>
    <row r="132" ht="15.75" hidden="1" customHeight="1">
      <c r="F132" s="11" t="s">
        <v>1218</v>
      </c>
      <c r="G132" s="11"/>
      <c r="H132" s="11"/>
      <c r="J132" s="9"/>
      <c r="K132" s="31"/>
    </row>
    <row r="133" ht="15.75" hidden="1" customHeight="1">
      <c r="F133" s="11" t="s">
        <v>1219</v>
      </c>
      <c r="G133" s="11"/>
      <c r="H133" s="11"/>
      <c r="J133" s="9"/>
      <c r="K133" s="31"/>
    </row>
    <row r="134" ht="15.75" hidden="1" customHeight="1">
      <c r="F134" s="33" t="s">
        <v>1220</v>
      </c>
      <c r="G134" s="11"/>
      <c r="H134" s="11"/>
      <c r="J134" s="9"/>
      <c r="K134" s="31"/>
    </row>
    <row r="135" ht="15.75" hidden="1" customHeight="1">
      <c r="F135" s="34" t="s">
        <v>1221</v>
      </c>
      <c r="G135" s="11"/>
      <c r="H135" s="11"/>
      <c r="J135" s="9"/>
      <c r="K135" s="31"/>
    </row>
    <row r="136" ht="15.75" hidden="1" customHeight="1">
      <c r="A136" s="22">
        <v>45874.0</v>
      </c>
      <c r="C136" s="10" t="s">
        <v>1092</v>
      </c>
      <c r="F136" s="41" t="s">
        <v>1222</v>
      </c>
      <c r="G136" s="11"/>
      <c r="H136" s="11"/>
      <c r="J136" s="9"/>
      <c r="K136" s="31"/>
    </row>
    <row r="137" ht="15.75" hidden="1" customHeight="1">
      <c r="C137" s="10" t="s">
        <v>1084</v>
      </c>
      <c r="F137" s="11" t="s">
        <v>1223</v>
      </c>
      <c r="G137" s="11"/>
      <c r="H137" s="11"/>
      <c r="J137" s="9"/>
      <c r="K137" s="31"/>
    </row>
    <row r="138" ht="15.75" hidden="1" customHeight="1">
      <c r="C138" s="10" t="s">
        <v>1121</v>
      </c>
      <c r="F138" s="11" t="s">
        <v>1224</v>
      </c>
      <c r="G138" s="11"/>
      <c r="H138" s="11"/>
      <c r="J138" s="9"/>
      <c r="K138" s="31"/>
    </row>
    <row r="139" ht="15.75" hidden="1" customHeight="1">
      <c r="C139" s="10" t="s">
        <v>1131</v>
      </c>
      <c r="F139" s="11" t="s">
        <v>1225</v>
      </c>
      <c r="G139" s="11"/>
      <c r="H139" s="11"/>
      <c r="J139" s="9"/>
      <c r="K139" s="31"/>
    </row>
    <row r="140" ht="15.75" hidden="1" customHeight="1">
      <c r="F140" s="11" t="s">
        <v>1226</v>
      </c>
      <c r="G140" s="11"/>
      <c r="H140" s="11"/>
      <c r="J140" s="9"/>
      <c r="K140" s="31"/>
    </row>
    <row r="141" ht="15.75" hidden="1" customHeight="1">
      <c r="C141" s="10" t="s">
        <v>1163</v>
      </c>
      <c r="F141" s="34" t="s">
        <v>1227</v>
      </c>
      <c r="G141" s="11"/>
      <c r="H141" s="11"/>
      <c r="J141" s="9"/>
      <c r="K141" s="31"/>
    </row>
    <row r="142" ht="15.75" hidden="1" customHeight="1">
      <c r="F142" s="11"/>
      <c r="G142" s="11"/>
      <c r="H142" s="11"/>
      <c r="J142" s="9"/>
      <c r="K142" s="31"/>
    </row>
    <row r="143" ht="15.75" hidden="1" customHeight="1">
      <c r="F143" s="11"/>
      <c r="G143" s="11"/>
      <c r="H143" s="11"/>
      <c r="J143" s="9"/>
      <c r="K143" s="31"/>
    </row>
    <row r="144" ht="15.75" hidden="1" customHeight="1">
      <c r="F144" s="11"/>
      <c r="G144" s="11"/>
      <c r="H144" s="11"/>
      <c r="J144" s="9"/>
      <c r="K144" s="31"/>
    </row>
    <row r="145" ht="15.75" hidden="1" customHeight="1">
      <c r="F145" s="11"/>
      <c r="G145" s="11"/>
      <c r="H145" s="11"/>
      <c r="J145" s="9"/>
      <c r="K145" s="31"/>
    </row>
    <row r="146" ht="15.75" hidden="1" customHeight="1">
      <c r="F146" s="11"/>
      <c r="G146" s="11"/>
      <c r="H146" s="11"/>
      <c r="J146" s="9"/>
      <c r="K146" s="31"/>
    </row>
    <row r="147" ht="15.75" hidden="1" customHeight="1">
      <c r="F147" s="11"/>
      <c r="G147" s="11"/>
      <c r="H147" s="11"/>
      <c r="J147" s="9"/>
      <c r="K147" s="31"/>
    </row>
    <row r="148" ht="15.75" hidden="1" customHeight="1">
      <c r="A148" s="42">
        <v>45870.0</v>
      </c>
      <c r="C148" s="10" t="s">
        <v>1228</v>
      </c>
      <c r="F148" s="43" t="s">
        <v>1229</v>
      </c>
      <c r="G148" s="11" t="s">
        <v>1230</v>
      </c>
      <c r="H148" s="11"/>
      <c r="J148" s="9"/>
      <c r="K148" s="31"/>
    </row>
    <row r="149" ht="15.75" hidden="1" customHeight="1">
      <c r="A149" s="42">
        <v>45870.0</v>
      </c>
      <c r="C149" s="10" t="s">
        <v>1231</v>
      </c>
      <c r="F149" s="11" t="s">
        <v>1232</v>
      </c>
      <c r="G149" s="11"/>
      <c r="H149" s="11"/>
      <c r="I149" s="44">
        <v>46015.0</v>
      </c>
      <c r="J149" s="9"/>
      <c r="K149" s="31"/>
    </row>
    <row r="150" ht="472.5" hidden="1" customHeight="1">
      <c r="A150" s="35">
        <v>45870.0</v>
      </c>
      <c r="C150" s="10" t="s">
        <v>1231</v>
      </c>
      <c r="F150" s="11" t="s">
        <v>1233</v>
      </c>
      <c r="G150" s="11" t="s">
        <v>1234</v>
      </c>
      <c r="H150" s="11" t="s">
        <v>1235</v>
      </c>
      <c r="I150" s="45"/>
      <c r="J150" s="9"/>
      <c r="K150" s="31"/>
    </row>
    <row r="151" ht="15.75" hidden="1" customHeight="1">
      <c r="A151" s="22">
        <v>45905.0</v>
      </c>
      <c r="C151" s="10" t="s">
        <v>1236</v>
      </c>
      <c r="F151" s="34" t="s">
        <v>1237</v>
      </c>
      <c r="G151" s="11"/>
      <c r="H151" s="11"/>
      <c r="J151" s="9"/>
      <c r="K151" s="31"/>
    </row>
    <row r="152" ht="15.75" hidden="1" customHeight="1">
      <c r="A152" s="22">
        <v>45909.0</v>
      </c>
      <c r="C152" s="10" t="s">
        <v>1131</v>
      </c>
      <c r="F152" s="11" t="s">
        <v>1238</v>
      </c>
      <c r="G152" s="11"/>
      <c r="H152" s="11"/>
      <c r="J152" s="9"/>
      <c r="K152" s="31"/>
    </row>
    <row r="153" ht="15.75" hidden="1" customHeight="1">
      <c r="C153" s="10" t="s">
        <v>1239</v>
      </c>
      <c r="F153" s="11" t="s">
        <v>1240</v>
      </c>
      <c r="G153" s="11"/>
      <c r="H153" s="11"/>
      <c r="J153" s="9"/>
      <c r="K153" s="31"/>
    </row>
    <row r="154" ht="15.75" hidden="1" customHeight="1">
      <c r="C154" s="46" t="s">
        <v>1239</v>
      </c>
      <c r="F154" s="11" t="s">
        <v>1241</v>
      </c>
      <c r="G154" s="11"/>
      <c r="H154" s="11"/>
      <c r="J154" s="9"/>
      <c r="K154" s="31"/>
    </row>
    <row r="155" ht="15.75" hidden="1" customHeight="1">
      <c r="A155" s="42">
        <v>45870.0</v>
      </c>
      <c r="C155" s="10" t="s">
        <v>1242</v>
      </c>
      <c r="F155" s="11" t="s">
        <v>1243</v>
      </c>
      <c r="G155" s="11"/>
      <c r="H155" s="11"/>
      <c r="J155" s="9"/>
      <c r="K155" s="31"/>
    </row>
    <row r="156" ht="15.75" hidden="1" customHeight="1">
      <c r="A156" s="42">
        <v>45870.0</v>
      </c>
      <c r="C156" s="10" t="s">
        <v>1228</v>
      </c>
      <c r="F156" s="11" t="s">
        <v>1244</v>
      </c>
      <c r="G156" s="11" t="s">
        <v>1245</v>
      </c>
      <c r="H156" s="11"/>
      <c r="J156" s="9"/>
      <c r="K156" s="31"/>
    </row>
    <row r="157" ht="15.75" hidden="1" customHeight="1">
      <c r="A157" s="42">
        <v>45870.0</v>
      </c>
      <c r="C157" s="10" t="s">
        <v>1246</v>
      </c>
      <c r="F157" s="11" t="s">
        <v>1247</v>
      </c>
      <c r="G157" s="11"/>
      <c r="H157" s="11"/>
      <c r="J157" s="47"/>
      <c r="K157" s="31"/>
    </row>
    <row r="158" ht="15.75" hidden="1" customHeight="1">
      <c r="A158" s="35">
        <v>45922.0</v>
      </c>
      <c r="F158" s="11" t="s">
        <v>706</v>
      </c>
      <c r="G158" s="11" t="s">
        <v>1248</v>
      </c>
      <c r="H158" s="11" t="s">
        <v>1249</v>
      </c>
      <c r="J158" s="9"/>
      <c r="K158" s="31"/>
    </row>
    <row r="159" ht="15.75" hidden="1" customHeight="1">
      <c r="A159" s="22">
        <v>45915.0</v>
      </c>
      <c r="C159" s="10"/>
      <c r="F159" s="43" t="s">
        <v>1250</v>
      </c>
      <c r="G159" s="11"/>
      <c r="H159" s="11"/>
      <c r="J159" s="48"/>
      <c r="K159" s="31"/>
    </row>
    <row r="160" ht="15.75" hidden="1" customHeight="1">
      <c r="A160" s="22">
        <v>45901.0</v>
      </c>
      <c r="C160" s="10" t="s">
        <v>1251</v>
      </c>
      <c r="F160" s="11"/>
      <c r="G160" s="49" t="s">
        <v>1252</v>
      </c>
      <c r="H160" s="11"/>
      <c r="J160" s="48"/>
      <c r="K160" s="31"/>
    </row>
    <row r="161" ht="15.75" hidden="1" customHeight="1">
      <c r="A161" s="22">
        <v>45915.0</v>
      </c>
      <c r="C161" s="10" t="s">
        <v>1246</v>
      </c>
      <c r="F161" s="11" t="s">
        <v>1253</v>
      </c>
      <c r="G161" s="11"/>
      <c r="H161" s="11"/>
      <c r="J161" s="48"/>
      <c r="K161" s="31"/>
    </row>
    <row r="162" ht="15.75" hidden="1" customHeight="1">
      <c r="A162" s="22">
        <v>45901.0</v>
      </c>
      <c r="F162" s="11" t="s">
        <v>1254</v>
      </c>
      <c r="G162" s="11" t="s">
        <v>1255</v>
      </c>
      <c r="H162" s="11"/>
      <c r="J162" s="48"/>
      <c r="K162" s="31"/>
    </row>
    <row r="163" ht="15.75" hidden="1" customHeight="1">
      <c r="A163" s="22">
        <v>45901.0</v>
      </c>
      <c r="C163" s="10" t="s">
        <v>1256</v>
      </c>
      <c r="F163" s="11" t="s">
        <v>1257</v>
      </c>
      <c r="G163" s="11" t="s">
        <v>1258</v>
      </c>
      <c r="H163" s="11"/>
      <c r="J163" s="48"/>
      <c r="K163" s="31"/>
    </row>
    <row r="164" ht="15.75" hidden="1" customHeight="1">
      <c r="H164" s="11"/>
    </row>
    <row r="165" ht="15.75" hidden="1" customHeight="1">
      <c r="A165" s="50">
        <v>45931.0</v>
      </c>
      <c r="C165" s="10" t="s">
        <v>1246</v>
      </c>
      <c r="F165" s="11"/>
      <c r="G165" s="11" t="s">
        <v>1255</v>
      </c>
      <c r="H165" s="11" t="s">
        <v>1259</v>
      </c>
      <c r="J165" s="48"/>
      <c r="K165" s="31"/>
    </row>
    <row r="166" ht="15.75" hidden="1" customHeight="1">
      <c r="A166" s="50"/>
      <c r="C166" s="10"/>
      <c r="F166" s="11"/>
      <c r="G166" s="11" t="s">
        <v>1260</v>
      </c>
      <c r="H166" s="11"/>
      <c r="J166" s="48"/>
      <c r="K166" s="31"/>
    </row>
    <row r="167" ht="15.75" hidden="1" customHeight="1">
      <c r="A167" s="50">
        <v>45931.0</v>
      </c>
      <c r="C167" s="10" t="s">
        <v>1256</v>
      </c>
      <c r="F167" s="11"/>
      <c r="G167" s="11"/>
      <c r="H167" s="11"/>
      <c r="J167" s="48"/>
      <c r="K167" s="31"/>
    </row>
    <row r="168" ht="15.75" hidden="1" customHeight="1">
      <c r="A168" s="50">
        <v>45931.0</v>
      </c>
      <c r="C168" s="10" t="s">
        <v>1256</v>
      </c>
      <c r="F168" s="11" t="s">
        <v>1261</v>
      </c>
      <c r="G168" s="11" t="s">
        <v>1262</v>
      </c>
      <c r="H168" s="11"/>
      <c r="J168" s="48"/>
      <c r="K168" s="31"/>
    </row>
    <row r="169" ht="15.75" hidden="1" customHeight="1">
      <c r="A169" s="50">
        <v>45931.0</v>
      </c>
      <c r="C169" s="10" t="s">
        <v>1256</v>
      </c>
      <c r="F169" s="11" t="s">
        <v>1263</v>
      </c>
      <c r="G169" s="11" t="s">
        <v>1264</v>
      </c>
      <c r="H169" s="11"/>
      <c r="J169" s="48"/>
      <c r="K169" s="31"/>
    </row>
    <row r="170" ht="15.75" hidden="1" customHeight="1">
      <c r="A170" s="22">
        <v>45931.0</v>
      </c>
      <c r="C170" s="10" t="s">
        <v>1228</v>
      </c>
      <c r="F170" s="11" t="s">
        <v>1265</v>
      </c>
      <c r="G170" s="11" t="s">
        <v>1266</v>
      </c>
      <c r="H170" s="11"/>
      <c r="J170" s="48"/>
      <c r="K170" s="31"/>
    </row>
    <row r="171" ht="15.75" hidden="1" customHeight="1">
      <c r="A171" s="22">
        <v>45931.0</v>
      </c>
      <c r="C171" s="10" t="s">
        <v>1228</v>
      </c>
      <c r="F171" s="11" t="s">
        <v>1267</v>
      </c>
      <c r="G171" s="11" t="s">
        <v>1268</v>
      </c>
      <c r="H171" s="11"/>
      <c r="J171" s="48"/>
      <c r="K171" s="31"/>
    </row>
    <row r="172" ht="15.75" hidden="1" customHeight="1">
      <c r="A172" s="22"/>
      <c r="C172" s="10" t="s">
        <v>1228</v>
      </c>
      <c r="F172" s="11"/>
      <c r="G172" s="11" t="s">
        <v>1269</v>
      </c>
      <c r="H172" s="11"/>
      <c r="J172" s="48"/>
      <c r="K172" s="31"/>
    </row>
    <row r="173" ht="15.75" hidden="1" customHeight="1">
      <c r="A173" s="22">
        <v>45931.0</v>
      </c>
      <c r="C173" s="10" t="s">
        <v>1270</v>
      </c>
      <c r="F173" s="11" t="s">
        <v>1271</v>
      </c>
      <c r="G173" s="11" t="s">
        <v>1272</v>
      </c>
      <c r="H173" s="11"/>
      <c r="J173" s="48"/>
      <c r="K173" s="31"/>
    </row>
    <row r="174" ht="15.75" hidden="1" customHeight="1">
      <c r="A174" s="22"/>
      <c r="F174" s="11"/>
      <c r="G174" s="11"/>
      <c r="H174" s="11"/>
      <c r="J174" s="48"/>
      <c r="K174" s="31"/>
    </row>
    <row r="175" ht="15.75" hidden="1" customHeight="1">
      <c r="A175" s="22"/>
      <c r="F175" s="11"/>
      <c r="G175" s="11"/>
      <c r="H175" s="11"/>
      <c r="J175" s="48"/>
      <c r="K175" s="31"/>
    </row>
    <row r="176" ht="15.75" hidden="1" customHeight="1">
      <c r="A176" s="22">
        <v>45965.0</v>
      </c>
      <c r="F176" s="11" t="s">
        <v>1273</v>
      </c>
      <c r="G176" s="11"/>
      <c r="H176" s="11"/>
      <c r="J176" s="48"/>
      <c r="K176" s="31"/>
    </row>
    <row r="177" ht="15.75" hidden="1" customHeight="1">
      <c r="A177" s="22">
        <v>45965.0</v>
      </c>
      <c r="C177" s="10" t="s">
        <v>1274</v>
      </c>
      <c r="F177" s="49" t="s">
        <v>1275</v>
      </c>
      <c r="G177" s="11"/>
      <c r="H177" s="11"/>
      <c r="J177" s="9"/>
      <c r="K177" s="31"/>
    </row>
    <row r="178" ht="15.75" hidden="1" customHeight="1">
      <c r="A178" s="22">
        <v>45968.0</v>
      </c>
      <c r="F178" s="11" t="s">
        <v>1276</v>
      </c>
      <c r="G178" s="11"/>
      <c r="H178" s="11"/>
      <c r="J178" s="9"/>
      <c r="K178" s="31"/>
    </row>
    <row r="179" ht="15.75" hidden="1" customHeight="1">
      <c r="A179" s="22">
        <v>45971.0</v>
      </c>
      <c r="F179" s="11" t="s">
        <v>1276</v>
      </c>
      <c r="G179" s="11"/>
      <c r="H179" s="11"/>
      <c r="J179" s="9"/>
      <c r="K179" s="31"/>
    </row>
    <row r="180" ht="15.75" hidden="1" customHeight="1">
      <c r="A180" s="22">
        <v>45972.0</v>
      </c>
      <c r="B180" s="10">
        <v>1.0</v>
      </c>
      <c r="C180" s="10" t="s">
        <v>1228</v>
      </c>
      <c r="D180" s="10" t="s">
        <v>849</v>
      </c>
      <c r="E180" s="10" t="s">
        <v>1277</v>
      </c>
      <c r="F180" s="11" t="s">
        <v>1278</v>
      </c>
      <c r="G180" s="11"/>
      <c r="H180" s="11"/>
      <c r="J180" s="9"/>
      <c r="K180" s="31"/>
    </row>
    <row r="181" ht="15.75" hidden="1" customHeight="1">
      <c r="A181" s="22">
        <v>45972.0</v>
      </c>
      <c r="B181" s="10">
        <v>2.0</v>
      </c>
      <c r="C181" s="10" t="s">
        <v>1279</v>
      </c>
      <c r="D181" s="10" t="s">
        <v>849</v>
      </c>
      <c r="E181" s="10" t="s">
        <v>1277</v>
      </c>
      <c r="F181" s="51" t="s">
        <v>1280</v>
      </c>
      <c r="G181" s="11"/>
      <c r="H181" s="11"/>
      <c r="J181" s="9"/>
      <c r="K181" s="31"/>
    </row>
    <row r="182" ht="15.75" hidden="1" customHeight="1">
      <c r="A182" s="22">
        <v>45973.0</v>
      </c>
      <c r="F182" s="11" t="s">
        <v>1276</v>
      </c>
      <c r="G182" s="11"/>
      <c r="H182" s="11"/>
      <c r="J182" s="9"/>
      <c r="K182" s="31"/>
    </row>
    <row r="183" ht="15.75" hidden="1" customHeight="1">
      <c r="A183" s="22">
        <v>45974.0</v>
      </c>
      <c r="F183" s="11" t="s">
        <v>1276</v>
      </c>
      <c r="G183" s="11"/>
      <c r="H183" s="11"/>
      <c r="J183" s="9"/>
      <c r="K183" s="31"/>
    </row>
    <row r="184" ht="15.75" hidden="1" customHeight="1">
      <c r="A184" s="22">
        <v>45975.0</v>
      </c>
      <c r="F184" s="11" t="s">
        <v>1276</v>
      </c>
      <c r="G184" s="11"/>
      <c r="H184" s="11"/>
      <c r="J184" s="9"/>
      <c r="K184" s="31"/>
    </row>
    <row r="185" ht="15.75" hidden="1" customHeight="1">
      <c r="A185" s="22">
        <v>45962.0</v>
      </c>
      <c r="C185" s="10" t="s">
        <v>1274</v>
      </c>
      <c r="D185" s="10"/>
      <c r="E185" s="10"/>
      <c r="F185" s="11" t="s">
        <v>1281</v>
      </c>
      <c r="G185" s="11" t="s">
        <v>1282</v>
      </c>
      <c r="H185" s="11"/>
      <c r="J185" s="9"/>
      <c r="K185" s="31"/>
    </row>
    <row r="186" ht="15.75" hidden="1" customHeight="1">
      <c r="A186" s="22">
        <v>45962.0</v>
      </c>
      <c r="C186" s="10" t="s">
        <v>1274</v>
      </c>
      <c r="D186" s="10"/>
      <c r="E186" s="10"/>
      <c r="F186" s="11" t="s">
        <v>1283</v>
      </c>
      <c r="G186" s="11" t="s">
        <v>1284</v>
      </c>
      <c r="H186" s="11"/>
      <c r="J186" s="9"/>
      <c r="K186" s="31"/>
    </row>
    <row r="187" ht="15.75" hidden="1" customHeight="1">
      <c r="A187" s="22"/>
      <c r="C187" s="10"/>
      <c r="D187" s="10"/>
      <c r="E187" s="10"/>
      <c r="F187" s="49" t="s">
        <v>1285</v>
      </c>
      <c r="G187" s="49" t="s">
        <v>1286</v>
      </c>
      <c r="H187" s="11"/>
      <c r="J187" s="9"/>
      <c r="K187" s="31"/>
    </row>
    <row r="188" ht="15.75" hidden="1" customHeight="1">
      <c r="A188" s="22">
        <v>45978.0</v>
      </c>
      <c r="C188" s="10" t="s">
        <v>1228</v>
      </c>
      <c r="D188" s="10" t="s">
        <v>849</v>
      </c>
      <c r="E188" s="10" t="s">
        <v>1277</v>
      </c>
      <c r="F188" s="11" t="s">
        <v>1287</v>
      </c>
      <c r="G188" s="11"/>
      <c r="H188" s="11"/>
      <c r="J188" s="9"/>
      <c r="K188" s="31"/>
    </row>
    <row r="189" ht="15.75" hidden="1" customHeight="1">
      <c r="A189" s="22">
        <v>45978.0</v>
      </c>
      <c r="C189" s="10" t="s">
        <v>1228</v>
      </c>
      <c r="D189" s="10"/>
      <c r="E189" s="10"/>
      <c r="F189" s="11" t="s">
        <v>1288</v>
      </c>
      <c r="G189" s="11" t="s">
        <v>1289</v>
      </c>
      <c r="H189" s="11"/>
      <c r="J189" s="47"/>
      <c r="K189" s="31"/>
    </row>
    <row r="190" ht="15.75" hidden="1" customHeight="1">
      <c r="A190" s="22">
        <v>45978.0</v>
      </c>
      <c r="C190" s="10" t="s">
        <v>1228</v>
      </c>
      <c r="D190" s="10" t="s">
        <v>849</v>
      </c>
      <c r="E190" s="10" t="s">
        <v>1277</v>
      </c>
      <c r="F190" s="11" t="s">
        <v>1290</v>
      </c>
      <c r="G190" s="11"/>
      <c r="H190" s="11"/>
      <c r="J190" s="9"/>
      <c r="K190" s="31"/>
    </row>
    <row r="191" ht="15.75" hidden="1" customHeight="1">
      <c r="A191" s="22">
        <v>45962.0</v>
      </c>
      <c r="C191" s="10" t="s">
        <v>1228</v>
      </c>
      <c r="D191" s="10"/>
      <c r="E191" s="10"/>
      <c r="F191" s="11"/>
      <c r="G191" s="49" t="s">
        <v>1291</v>
      </c>
      <c r="H191" s="11"/>
      <c r="J191" s="9"/>
      <c r="K191" s="31"/>
    </row>
    <row r="192" ht="15.75" hidden="1" customHeight="1">
      <c r="A192" s="22">
        <v>45962.0</v>
      </c>
      <c r="C192" s="10" t="s">
        <v>1246</v>
      </c>
      <c r="D192" s="10"/>
      <c r="E192" s="10"/>
      <c r="F192" s="11" t="s">
        <v>1292</v>
      </c>
      <c r="G192" s="49" t="s">
        <v>1293</v>
      </c>
      <c r="H192" s="11"/>
      <c r="J192" s="9"/>
      <c r="K192" s="31"/>
    </row>
    <row r="193" ht="15.75" hidden="1" customHeight="1">
      <c r="A193" s="22">
        <v>45979.0</v>
      </c>
      <c r="C193" s="10" t="s">
        <v>1274</v>
      </c>
      <c r="D193" s="10" t="s">
        <v>849</v>
      </c>
      <c r="E193" s="10" t="s">
        <v>1294</v>
      </c>
      <c r="F193" s="11" t="s">
        <v>1295</v>
      </c>
      <c r="G193" s="52" t="s">
        <v>1296</v>
      </c>
      <c r="H193" s="11" t="s">
        <v>1297</v>
      </c>
      <c r="J193" s="9"/>
      <c r="K193" s="31"/>
    </row>
    <row r="194" ht="15.75" hidden="1" customHeight="1">
      <c r="A194" s="22">
        <v>45980.0</v>
      </c>
      <c r="F194" s="11" t="s">
        <v>1298</v>
      </c>
      <c r="G194" s="49" t="s">
        <v>1299</v>
      </c>
      <c r="H194" s="49" t="s">
        <v>1300</v>
      </c>
      <c r="J194" s="9"/>
      <c r="K194" s="31"/>
    </row>
    <row r="195" ht="15.75" hidden="1" customHeight="1">
      <c r="A195" s="22">
        <v>45981.0</v>
      </c>
      <c r="C195" s="10" t="s">
        <v>1228</v>
      </c>
      <c r="D195" s="10" t="s">
        <v>849</v>
      </c>
      <c r="E195" s="10" t="s">
        <v>1277</v>
      </c>
      <c r="F195" s="11" t="s">
        <v>1301</v>
      </c>
      <c r="G195" s="11"/>
      <c r="H195" s="11"/>
      <c r="J195" s="9"/>
      <c r="K195" s="31"/>
    </row>
    <row r="196" ht="15.75" hidden="1" customHeight="1">
      <c r="A196" s="22">
        <v>45982.0</v>
      </c>
      <c r="F196" s="11"/>
      <c r="G196" s="11" t="s">
        <v>1302</v>
      </c>
      <c r="H196" s="11" t="s">
        <v>1303</v>
      </c>
      <c r="J196" s="9"/>
      <c r="K196" s="31"/>
    </row>
    <row r="197" ht="15.75" hidden="1" customHeight="1">
      <c r="A197" s="22">
        <v>45985.0</v>
      </c>
      <c r="B197" s="10">
        <v>1.0</v>
      </c>
      <c r="C197" s="10" t="s">
        <v>1228</v>
      </c>
      <c r="D197" s="10" t="s">
        <v>849</v>
      </c>
      <c r="E197" s="10" t="s">
        <v>1277</v>
      </c>
      <c r="F197" s="53" t="s">
        <v>1304</v>
      </c>
      <c r="G197" s="11"/>
      <c r="H197" s="11"/>
      <c r="J197" s="9"/>
      <c r="K197" s="31"/>
    </row>
    <row r="198" ht="15.75" hidden="1" customHeight="1">
      <c r="A198" s="22">
        <v>45986.0</v>
      </c>
      <c r="B198" s="10">
        <v>1.0</v>
      </c>
      <c r="C198" s="10" t="s">
        <v>1274</v>
      </c>
      <c r="F198" s="11"/>
      <c r="G198" s="49" t="s">
        <v>1305</v>
      </c>
      <c r="H198" s="11" t="s">
        <v>1306</v>
      </c>
      <c r="J198" s="9"/>
      <c r="K198" s="31"/>
    </row>
    <row r="199" ht="15.75" hidden="1" customHeight="1">
      <c r="A199" s="22">
        <v>45986.0</v>
      </c>
      <c r="B199" s="10">
        <v>2.0</v>
      </c>
      <c r="C199" s="10" t="s">
        <v>1307</v>
      </c>
      <c r="F199" s="49" t="s">
        <v>1308</v>
      </c>
      <c r="G199" s="49" t="s">
        <v>1309</v>
      </c>
      <c r="H199" s="11" t="s">
        <v>1310</v>
      </c>
      <c r="J199" s="9"/>
      <c r="K199" s="31"/>
    </row>
    <row r="200" ht="15.75" hidden="1" customHeight="1">
      <c r="A200" s="22">
        <v>45987.0</v>
      </c>
      <c r="B200" s="10">
        <v>1.0</v>
      </c>
      <c r="C200" s="10" t="s">
        <v>1228</v>
      </c>
      <c r="F200" s="11" t="s">
        <v>1311</v>
      </c>
      <c r="G200" s="11"/>
      <c r="H200" s="11"/>
      <c r="J200" s="9"/>
      <c r="K200" s="31"/>
    </row>
    <row r="201" ht="15.75" hidden="1" customHeight="1">
      <c r="A201" s="22">
        <v>45988.0</v>
      </c>
      <c r="B201" s="10">
        <v>1.0</v>
      </c>
      <c r="C201" s="10" t="s">
        <v>1228</v>
      </c>
      <c r="F201" s="49" t="s">
        <v>1312</v>
      </c>
      <c r="G201" s="11"/>
      <c r="H201" s="11"/>
      <c r="J201" s="9"/>
      <c r="K201" s="31"/>
    </row>
    <row r="202" ht="15.75" hidden="1" customHeight="1">
      <c r="F202" s="49" t="s">
        <v>1313</v>
      </c>
      <c r="G202" s="11"/>
      <c r="H202" s="11"/>
      <c r="J202" s="9"/>
      <c r="K202" s="31"/>
    </row>
    <row r="203" ht="15.75" hidden="1" customHeight="1">
      <c r="A203" s="22">
        <v>45989.0</v>
      </c>
      <c r="F203" s="11" t="s">
        <v>1276</v>
      </c>
      <c r="G203" s="11"/>
      <c r="H203" s="11"/>
      <c r="J203" s="9"/>
      <c r="K203" s="31"/>
    </row>
    <row r="204" ht="15.75" hidden="1" customHeight="1">
      <c r="A204" s="22">
        <v>45992.0</v>
      </c>
      <c r="F204" s="11" t="s">
        <v>1314</v>
      </c>
      <c r="G204" s="11" t="s">
        <v>1315</v>
      </c>
      <c r="H204" s="11"/>
      <c r="J204" s="9"/>
      <c r="K204" s="31"/>
    </row>
    <row r="205" ht="15.75" hidden="1" customHeight="1">
      <c r="A205" s="22">
        <v>45993.0</v>
      </c>
      <c r="F205" s="11" t="s">
        <v>1276</v>
      </c>
      <c r="G205" s="11"/>
      <c r="H205" s="11"/>
      <c r="J205" s="9"/>
      <c r="K205" s="31"/>
    </row>
    <row r="206" ht="15.75" hidden="1" customHeight="1">
      <c r="A206" s="22">
        <v>45993.0</v>
      </c>
      <c r="C206" s="10" t="s">
        <v>1246</v>
      </c>
      <c r="D206" s="10"/>
      <c r="E206" s="10"/>
      <c r="F206" s="11" t="s">
        <v>1316</v>
      </c>
      <c r="G206" s="11" t="s">
        <v>1317</v>
      </c>
      <c r="H206" s="11"/>
      <c r="J206" s="9"/>
      <c r="K206" s="31"/>
    </row>
    <row r="207" ht="15.75" hidden="1" customHeight="1">
      <c r="A207" s="22">
        <v>45994.0</v>
      </c>
      <c r="C207" s="10" t="s">
        <v>1228</v>
      </c>
      <c r="D207" s="10" t="s">
        <v>849</v>
      </c>
      <c r="E207" s="10" t="s">
        <v>1277</v>
      </c>
      <c r="F207" s="11" t="s">
        <v>1318</v>
      </c>
      <c r="G207" s="11"/>
      <c r="H207" s="11"/>
      <c r="J207" s="9"/>
      <c r="K207" s="31"/>
    </row>
    <row r="208" ht="15.75" hidden="1" customHeight="1">
      <c r="A208" s="22">
        <v>45995.0</v>
      </c>
      <c r="C208" s="10" t="s">
        <v>1228</v>
      </c>
      <c r="D208" s="10" t="s">
        <v>849</v>
      </c>
      <c r="F208" s="11" t="s">
        <v>1319</v>
      </c>
      <c r="G208" s="11"/>
      <c r="H208" s="11"/>
      <c r="J208" s="9"/>
      <c r="K208" s="31"/>
    </row>
    <row r="209" ht="15.75" hidden="1" customHeight="1">
      <c r="A209" s="22">
        <v>45996.0</v>
      </c>
      <c r="C209" s="10" t="s">
        <v>1228</v>
      </c>
      <c r="D209" s="10" t="s">
        <v>849</v>
      </c>
      <c r="E209" s="10" t="s">
        <v>1277</v>
      </c>
      <c r="F209" s="11"/>
      <c r="G209" s="11" t="s">
        <v>1320</v>
      </c>
      <c r="H209" s="11" t="s">
        <v>1321</v>
      </c>
      <c r="J209" s="9"/>
      <c r="K209" s="31"/>
    </row>
    <row r="210" ht="15.75" hidden="1" customHeight="1">
      <c r="A210" s="22">
        <v>45996.0</v>
      </c>
      <c r="C210" s="10" t="s">
        <v>1228</v>
      </c>
      <c r="D210" s="10" t="s">
        <v>849</v>
      </c>
      <c r="E210" s="10" t="s">
        <v>1277</v>
      </c>
      <c r="F210" s="11"/>
      <c r="G210" s="11" t="s">
        <v>1322</v>
      </c>
      <c r="H210" s="11" t="s">
        <v>1323</v>
      </c>
      <c r="J210" s="9"/>
      <c r="K210" s="31"/>
    </row>
    <row r="211" ht="15.75" hidden="1" customHeight="1">
      <c r="A211" s="22">
        <v>45998.0</v>
      </c>
      <c r="C211" s="10" t="s">
        <v>1228</v>
      </c>
      <c r="D211" s="10" t="s">
        <v>849</v>
      </c>
      <c r="E211" s="10" t="s">
        <v>1277</v>
      </c>
      <c r="F211" s="11"/>
      <c r="G211" s="11" t="s">
        <v>1324</v>
      </c>
      <c r="H211" s="11"/>
      <c r="J211" s="9"/>
      <c r="K211" s="31"/>
    </row>
    <row r="212" ht="15.75" hidden="1" customHeight="1">
      <c r="A212" s="22">
        <v>45999.0</v>
      </c>
      <c r="C212" s="10" t="s">
        <v>1228</v>
      </c>
      <c r="D212" s="10" t="s">
        <v>849</v>
      </c>
      <c r="E212" s="10" t="s">
        <v>1277</v>
      </c>
      <c r="F212" s="11" t="s">
        <v>1325</v>
      </c>
      <c r="G212" s="11" t="s">
        <v>1326</v>
      </c>
      <c r="H212" s="11"/>
      <c r="J212" s="9"/>
      <c r="K212" s="31"/>
    </row>
    <row r="213" ht="15.75" hidden="1" customHeight="1">
      <c r="A213" s="22">
        <v>45999.0</v>
      </c>
      <c r="C213" s="10" t="s">
        <v>1228</v>
      </c>
      <c r="D213" s="10" t="s">
        <v>849</v>
      </c>
      <c r="E213" s="10" t="s">
        <v>1277</v>
      </c>
      <c r="F213" s="11"/>
      <c r="G213" s="11" t="s">
        <v>1327</v>
      </c>
      <c r="H213" s="11" t="s">
        <v>1328</v>
      </c>
      <c r="J213" s="9"/>
      <c r="K213" s="31"/>
    </row>
    <row r="214" ht="15.75" hidden="1" customHeight="1">
      <c r="A214" s="22">
        <v>46000.0</v>
      </c>
      <c r="C214" s="10" t="s">
        <v>1329</v>
      </c>
      <c r="D214" s="10" t="s">
        <v>849</v>
      </c>
      <c r="E214" s="10" t="s">
        <v>1294</v>
      </c>
      <c r="F214" s="11"/>
      <c r="G214" s="11" t="s">
        <v>1330</v>
      </c>
      <c r="H214" s="49" t="s">
        <v>1331</v>
      </c>
      <c r="J214" s="9"/>
      <c r="K214" s="31"/>
    </row>
    <row r="215" ht="15.75" hidden="1" customHeight="1">
      <c r="A215" s="22">
        <v>46001.0</v>
      </c>
      <c r="F215" s="11"/>
      <c r="G215" s="11" t="s">
        <v>1332</v>
      </c>
      <c r="H215" s="11"/>
      <c r="J215" s="9"/>
      <c r="K215" s="31"/>
    </row>
    <row r="216" ht="198.0" hidden="1" customHeight="1">
      <c r="A216" s="22">
        <v>46002.0</v>
      </c>
      <c r="C216" s="10" t="s">
        <v>1329</v>
      </c>
      <c r="D216" s="10" t="s">
        <v>849</v>
      </c>
      <c r="E216" s="10" t="s">
        <v>1294</v>
      </c>
      <c r="F216" s="11" t="s">
        <v>1333</v>
      </c>
      <c r="G216" s="11"/>
      <c r="H216" s="11"/>
      <c r="J216" s="9"/>
      <c r="K216" s="31"/>
    </row>
    <row r="217" ht="15.75" hidden="1" customHeight="1">
      <c r="A217" s="22">
        <v>46003.0</v>
      </c>
      <c r="C217" s="10" t="s">
        <v>1228</v>
      </c>
      <c r="D217" s="10" t="s">
        <v>849</v>
      </c>
      <c r="E217" s="10" t="s">
        <v>1277</v>
      </c>
      <c r="F217" s="11" t="s">
        <v>1334</v>
      </c>
      <c r="G217" s="11"/>
      <c r="H217" s="11"/>
      <c r="J217" s="9"/>
      <c r="K217" s="31"/>
    </row>
    <row r="218" ht="15.75" hidden="1" customHeight="1">
      <c r="A218" s="22">
        <v>46005.0</v>
      </c>
      <c r="C218" s="10" t="s">
        <v>1335</v>
      </c>
      <c r="D218" s="10" t="s">
        <v>849</v>
      </c>
      <c r="E218" s="10"/>
      <c r="F218" s="11" t="s">
        <v>1336</v>
      </c>
      <c r="G218" s="11" t="s">
        <v>1337</v>
      </c>
      <c r="H218" s="49" t="s">
        <v>1338</v>
      </c>
      <c r="J218" s="54"/>
      <c r="K218" s="55">
        <v>46036.0</v>
      </c>
    </row>
    <row r="219" ht="15.75" hidden="1" customHeight="1">
      <c r="A219" s="22">
        <v>46006.0</v>
      </c>
      <c r="C219" s="10" t="s">
        <v>1228</v>
      </c>
      <c r="D219" s="10" t="s">
        <v>849</v>
      </c>
      <c r="E219" s="10" t="s">
        <v>1277</v>
      </c>
      <c r="F219" s="11"/>
      <c r="G219" s="11" t="s">
        <v>1339</v>
      </c>
      <c r="H219" s="11" t="s">
        <v>1340</v>
      </c>
      <c r="J219" s="54"/>
      <c r="K219" s="31"/>
    </row>
    <row r="220" ht="15.75" hidden="1" customHeight="1">
      <c r="A220" s="22">
        <v>46006.0</v>
      </c>
      <c r="C220" s="10" t="s">
        <v>1228</v>
      </c>
      <c r="F220" s="11" t="s">
        <v>1341</v>
      </c>
      <c r="G220" s="11"/>
      <c r="H220" s="11"/>
      <c r="J220" s="26"/>
      <c r="K220" s="31"/>
    </row>
    <row r="221" ht="15.75" hidden="1" customHeight="1">
      <c r="A221" s="22">
        <v>46007.0</v>
      </c>
      <c r="C221" s="10" t="s">
        <v>1246</v>
      </c>
      <c r="F221" s="11"/>
      <c r="G221" s="11" t="s">
        <v>1342</v>
      </c>
      <c r="H221" s="11" t="s">
        <v>1343</v>
      </c>
      <c r="J221" s="56"/>
      <c r="K221" s="31"/>
    </row>
    <row r="222" ht="15.75" hidden="1" customHeight="1">
      <c r="A222" s="22">
        <v>46007.0</v>
      </c>
      <c r="C222" s="10" t="s">
        <v>1246</v>
      </c>
      <c r="D222" s="10"/>
      <c r="E222" s="10"/>
      <c r="F222" s="11" t="s">
        <v>1250</v>
      </c>
      <c r="G222" s="11" t="s">
        <v>1344</v>
      </c>
      <c r="H222" s="11"/>
      <c r="J222" s="54"/>
      <c r="K222" s="31"/>
    </row>
    <row r="223" ht="15.75" hidden="1" customHeight="1">
      <c r="A223" s="22"/>
      <c r="C223" s="10"/>
      <c r="D223" s="10"/>
      <c r="E223" s="10"/>
      <c r="F223" s="11"/>
      <c r="G223" s="11" t="s">
        <v>1345</v>
      </c>
      <c r="H223" s="11"/>
      <c r="J223" s="54"/>
      <c r="K223" s="31"/>
    </row>
    <row r="224" ht="15.75" hidden="1" customHeight="1">
      <c r="A224" s="22">
        <v>46007.0</v>
      </c>
      <c r="C224" s="10" t="s">
        <v>1242</v>
      </c>
      <c r="D224" s="10"/>
      <c r="E224" s="10"/>
      <c r="F224" s="11" t="s">
        <v>1346</v>
      </c>
      <c r="G224" s="11"/>
      <c r="H224" s="11"/>
      <c r="J224" s="54"/>
      <c r="K224" s="31"/>
    </row>
    <row r="225" ht="15.75" hidden="1" customHeight="1">
      <c r="A225" s="22">
        <v>46007.0</v>
      </c>
      <c r="C225" s="10" t="s">
        <v>1228</v>
      </c>
      <c r="D225" s="10"/>
      <c r="E225" s="10"/>
      <c r="F225" s="11"/>
      <c r="G225" s="11" t="s">
        <v>1347</v>
      </c>
      <c r="H225" s="11"/>
      <c r="J225" s="54"/>
      <c r="K225" s="31"/>
    </row>
    <row r="226" ht="15.75" hidden="1" customHeight="1">
      <c r="A226" s="22"/>
      <c r="C226" s="10" t="s">
        <v>1274</v>
      </c>
      <c r="D226" s="10"/>
      <c r="E226" s="10"/>
      <c r="F226" s="11" t="s">
        <v>1348</v>
      </c>
      <c r="G226" s="11" t="s">
        <v>1349</v>
      </c>
      <c r="H226" s="11"/>
      <c r="J226" s="54"/>
      <c r="K226" s="31"/>
    </row>
    <row r="227" ht="15.75" hidden="1" customHeight="1">
      <c r="A227" s="22">
        <v>46007.0</v>
      </c>
      <c r="C227" s="10" t="s">
        <v>1274</v>
      </c>
      <c r="D227" s="10"/>
      <c r="E227" s="10"/>
      <c r="F227" s="11" t="s">
        <v>1350</v>
      </c>
      <c r="G227" s="11" t="s">
        <v>1351</v>
      </c>
      <c r="H227" s="11"/>
      <c r="J227" s="26"/>
      <c r="K227" s="31"/>
    </row>
    <row r="228" ht="15.75" hidden="1" customHeight="1">
      <c r="A228" s="22">
        <v>46007.0</v>
      </c>
      <c r="C228" s="10" t="s">
        <v>1352</v>
      </c>
      <c r="D228" s="10"/>
      <c r="E228" s="10"/>
      <c r="F228" s="11"/>
      <c r="G228" s="49" t="s">
        <v>1345</v>
      </c>
      <c r="H228" s="11"/>
      <c r="J228" s="54"/>
      <c r="K228" s="31"/>
    </row>
    <row r="229" ht="15.75" hidden="1" customHeight="1">
      <c r="A229" s="22">
        <v>46007.0</v>
      </c>
      <c r="C229" s="10" t="s">
        <v>1352</v>
      </c>
      <c r="D229" s="10"/>
      <c r="E229" s="10"/>
      <c r="F229" s="11"/>
      <c r="G229" s="49" t="s">
        <v>1353</v>
      </c>
      <c r="H229" s="11"/>
      <c r="J229" s="54"/>
      <c r="K229" s="31"/>
    </row>
    <row r="230" ht="15.75" hidden="1" customHeight="1">
      <c r="A230" s="22">
        <v>46007.0</v>
      </c>
      <c r="C230" s="10" t="s">
        <v>1352</v>
      </c>
      <c r="D230" s="10"/>
      <c r="E230" s="10"/>
      <c r="F230" s="49" t="s">
        <v>1354</v>
      </c>
      <c r="G230" s="49" t="s">
        <v>1355</v>
      </c>
      <c r="H230" s="11"/>
      <c r="J230" s="54"/>
      <c r="K230" s="31"/>
    </row>
    <row r="231" ht="15.75" hidden="1" customHeight="1">
      <c r="A231" s="22">
        <v>46008.0</v>
      </c>
      <c r="C231" s="10" t="s">
        <v>1274</v>
      </c>
      <c r="D231" s="10" t="s">
        <v>849</v>
      </c>
      <c r="E231" s="10" t="s">
        <v>1294</v>
      </c>
      <c r="F231" s="11"/>
      <c r="G231" s="57"/>
      <c r="H231" s="11" t="s">
        <v>1356</v>
      </c>
      <c r="J231" s="54"/>
      <c r="K231" s="31"/>
    </row>
    <row r="232" ht="15.75" hidden="1" customHeight="1">
      <c r="A232" s="22">
        <v>46008.0</v>
      </c>
      <c r="C232" s="10" t="s">
        <v>1352</v>
      </c>
      <c r="F232" s="11" t="s">
        <v>1250</v>
      </c>
      <c r="G232" s="11" t="s">
        <v>1357</v>
      </c>
      <c r="H232" s="11"/>
      <c r="J232" s="9"/>
      <c r="K232" s="31"/>
    </row>
    <row r="233" ht="15.75" hidden="1" customHeight="1">
      <c r="A233" s="22">
        <v>46009.0</v>
      </c>
      <c r="F233" s="11" t="s">
        <v>1358</v>
      </c>
      <c r="G233" s="11"/>
      <c r="H233" s="11"/>
      <c r="J233" s="9"/>
      <c r="K233" s="31"/>
    </row>
    <row r="234" ht="15.75" hidden="1" customHeight="1">
      <c r="A234" s="22">
        <v>46014.0</v>
      </c>
      <c r="C234" s="10"/>
      <c r="D234" s="10"/>
      <c r="E234" s="10"/>
      <c r="F234" s="11" t="s">
        <v>1359</v>
      </c>
      <c r="G234" s="43" t="s">
        <v>1360</v>
      </c>
      <c r="H234" s="11" t="s">
        <v>1361</v>
      </c>
      <c r="K234" s="48">
        <v>46044.0</v>
      </c>
    </row>
    <row r="235" ht="15.75" hidden="1" customHeight="1">
      <c r="A235" s="22">
        <v>46014.0</v>
      </c>
      <c r="F235" s="11" t="s">
        <v>1276</v>
      </c>
      <c r="G235" s="11"/>
      <c r="H235" s="11"/>
      <c r="J235" s="9"/>
      <c r="K235" s="31"/>
    </row>
    <row r="236" ht="15.75" hidden="1" customHeight="1">
      <c r="A236" s="22">
        <v>46014.0</v>
      </c>
      <c r="C236" s="10" t="s">
        <v>1246</v>
      </c>
      <c r="F236" s="11" t="s">
        <v>1362</v>
      </c>
      <c r="G236" s="11" t="s">
        <v>1317</v>
      </c>
      <c r="H236" s="11"/>
      <c r="J236" s="26"/>
      <c r="K236" s="31"/>
    </row>
    <row r="237" ht="15.75" hidden="1" customHeight="1">
      <c r="A237" s="22">
        <v>46014.0</v>
      </c>
      <c r="C237" s="10" t="s">
        <v>1246</v>
      </c>
      <c r="F237" s="11" t="s">
        <v>1363</v>
      </c>
      <c r="G237" s="11" t="s">
        <v>1364</v>
      </c>
      <c r="H237" s="11"/>
      <c r="J237" s="26"/>
      <c r="K237" s="31"/>
    </row>
    <row r="238" ht="15.75" hidden="1" customHeight="1">
      <c r="A238" s="22">
        <v>46015.0</v>
      </c>
      <c r="C238" s="10" t="s">
        <v>1274</v>
      </c>
      <c r="F238" s="11" t="s">
        <v>1365</v>
      </c>
      <c r="G238" s="11" t="s">
        <v>1366</v>
      </c>
      <c r="H238" s="11" t="s">
        <v>1367</v>
      </c>
      <c r="J238" s="26"/>
      <c r="K238" s="31"/>
    </row>
    <row r="239" ht="15.75" hidden="1" customHeight="1">
      <c r="A239" s="22">
        <v>46015.0</v>
      </c>
      <c r="C239" s="10" t="s">
        <v>1368</v>
      </c>
      <c r="F239" s="11" t="s">
        <v>1369</v>
      </c>
      <c r="G239" s="11" t="s">
        <v>1370</v>
      </c>
      <c r="H239" s="11"/>
      <c r="J239" s="9"/>
      <c r="K239" s="31"/>
    </row>
    <row r="240" ht="15.75" hidden="1" customHeight="1">
      <c r="A240" s="22">
        <v>46015.0</v>
      </c>
      <c r="C240" s="10" t="s">
        <v>1371</v>
      </c>
      <c r="F240" s="11"/>
      <c r="G240" s="11" t="s">
        <v>1372</v>
      </c>
      <c r="H240" s="11" t="s">
        <v>1373</v>
      </c>
      <c r="J240" s="9"/>
      <c r="K240" s="31"/>
    </row>
    <row r="241" ht="15.75" hidden="1" customHeight="1">
      <c r="A241" s="22">
        <v>46015.0</v>
      </c>
      <c r="C241" s="10" t="s">
        <v>1371</v>
      </c>
      <c r="G241" s="11" t="s">
        <v>1339</v>
      </c>
      <c r="H241" s="11" t="s">
        <v>1374</v>
      </c>
      <c r="J241" s="47"/>
      <c r="K241" s="31"/>
    </row>
    <row r="242" ht="15.75" hidden="1" customHeight="1">
      <c r="A242" s="22">
        <v>46015.0</v>
      </c>
      <c r="C242" s="10" t="s">
        <v>1246</v>
      </c>
      <c r="F242" s="11"/>
      <c r="G242" s="11" t="s">
        <v>1375</v>
      </c>
      <c r="H242" s="11"/>
      <c r="J242" s="47"/>
      <c r="K242" s="31"/>
    </row>
    <row r="243" ht="15.75" hidden="1" customHeight="1">
      <c r="A243" s="22">
        <v>46015.0</v>
      </c>
      <c r="C243" s="10" t="s">
        <v>1246</v>
      </c>
      <c r="F243" s="11"/>
      <c r="G243" s="11" t="s">
        <v>1376</v>
      </c>
      <c r="H243" s="11"/>
      <c r="J243" s="47"/>
      <c r="K243" s="31"/>
    </row>
    <row r="244" ht="15.75" hidden="1" customHeight="1">
      <c r="A244" s="22">
        <v>46016.0</v>
      </c>
      <c r="C244" s="10" t="s">
        <v>1371</v>
      </c>
      <c r="F244" s="11" t="s">
        <v>1377</v>
      </c>
      <c r="G244" s="11" t="s">
        <v>1378</v>
      </c>
      <c r="H244" s="11"/>
      <c r="J244" s="47"/>
      <c r="K244" s="31"/>
    </row>
    <row r="245" ht="15.75" hidden="1" customHeight="1">
      <c r="A245" s="22">
        <v>46017.0</v>
      </c>
      <c r="F245" s="11" t="s">
        <v>1276</v>
      </c>
      <c r="G245" s="11"/>
      <c r="H245" s="11"/>
      <c r="J245" s="9"/>
      <c r="K245" s="31"/>
    </row>
    <row r="246" ht="15.75" hidden="1" customHeight="1">
      <c r="A246" s="22">
        <v>46020.0</v>
      </c>
      <c r="F246" s="11" t="s">
        <v>1276</v>
      </c>
      <c r="G246" s="11"/>
      <c r="H246" s="11"/>
      <c r="J246" s="9"/>
      <c r="K246" s="31"/>
    </row>
    <row r="247" ht="15.75" hidden="1" customHeight="1">
      <c r="A247" s="22">
        <v>46021.0</v>
      </c>
      <c r="C247" s="10" t="s">
        <v>1379</v>
      </c>
      <c r="D247" s="10" t="s">
        <v>849</v>
      </c>
      <c r="E247" s="10" t="s">
        <v>1294</v>
      </c>
      <c r="F247" s="11" t="s">
        <v>1380</v>
      </c>
      <c r="G247" s="11"/>
      <c r="H247" s="11"/>
      <c r="J247" s="9"/>
      <c r="K247" s="31"/>
    </row>
    <row r="248" ht="15.75" hidden="1" customHeight="1">
      <c r="A248" s="22">
        <v>46022.0</v>
      </c>
      <c r="C248" s="10" t="s">
        <v>1379</v>
      </c>
      <c r="D248" s="10"/>
      <c r="E248" s="10"/>
      <c r="F248" s="11" t="s">
        <v>1381</v>
      </c>
      <c r="G248" s="11"/>
      <c r="H248" s="11"/>
      <c r="J248" s="9"/>
      <c r="K248" s="31"/>
    </row>
    <row r="249" ht="15.75" hidden="1" customHeight="1">
      <c r="A249" s="58">
        <v>46022.0</v>
      </c>
      <c r="B249" s="59">
        <v>1.0</v>
      </c>
      <c r="C249" s="59" t="s">
        <v>1274</v>
      </c>
      <c r="D249" s="59" t="s">
        <v>849</v>
      </c>
      <c r="E249" s="59" t="s">
        <v>1294</v>
      </c>
      <c r="F249" s="60" t="s">
        <v>1382</v>
      </c>
      <c r="G249" s="60"/>
      <c r="H249" s="60" t="s">
        <v>1383</v>
      </c>
      <c r="I249" s="59"/>
      <c r="J249" s="55"/>
      <c r="K249" s="31"/>
    </row>
    <row r="250" ht="15.75" hidden="1" customHeight="1">
      <c r="A250" s="58">
        <v>46022.0</v>
      </c>
      <c r="B250" s="59">
        <v>3.0</v>
      </c>
      <c r="C250" s="59" t="s">
        <v>1274</v>
      </c>
      <c r="D250" s="59"/>
      <c r="E250" s="59"/>
      <c r="F250" s="60" t="s">
        <v>1384</v>
      </c>
      <c r="G250" s="60"/>
      <c r="H250" s="60"/>
      <c r="I250" s="59"/>
      <c r="J250" s="55"/>
      <c r="K250" s="31"/>
    </row>
    <row r="251" ht="15.75" customHeight="1">
      <c r="A251" s="58"/>
      <c r="B251" s="59"/>
      <c r="C251" s="59"/>
      <c r="D251" s="59"/>
      <c r="E251" s="59"/>
      <c r="F251" s="60"/>
      <c r="G251" s="60"/>
      <c r="H251" s="60"/>
      <c r="J251" s="55"/>
      <c r="K251" s="31"/>
    </row>
    <row r="252" ht="15.75" hidden="1" customHeight="1">
      <c r="A252" s="58">
        <v>46024.0</v>
      </c>
      <c r="B252" s="59">
        <v>1.0</v>
      </c>
      <c r="C252" s="59" t="s">
        <v>1274</v>
      </c>
      <c r="D252" s="59" t="s">
        <v>1385</v>
      </c>
      <c r="E252" s="59"/>
      <c r="F252" s="60" t="s">
        <v>1386</v>
      </c>
      <c r="G252" s="60" t="s">
        <v>1387</v>
      </c>
      <c r="H252" s="60" t="s">
        <v>1388</v>
      </c>
      <c r="J252" s="55"/>
      <c r="K252" s="31"/>
    </row>
    <row r="253" ht="15.75" hidden="1" customHeight="1">
      <c r="A253" s="58">
        <v>46027.0</v>
      </c>
      <c r="B253" s="59">
        <v>2.0</v>
      </c>
      <c r="C253" s="59" t="s">
        <v>1389</v>
      </c>
      <c r="D253" s="59" t="s">
        <v>849</v>
      </c>
      <c r="E253" s="59" t="s">
        <v>1294</v>
      </c>
      <c r="F253" s="60" t="s">
        <v>1390</v>
      </c>
      <c r="G253" s="60" t="s">
        <v>1391</v>
      </c>
      <c r="H253" s="60" t="s">
        <v>1392</v>
      </c>
      <c r="I253" s="59"/>
      <c r="J253" s="31"/>
      <c r="K253" s="31" t="s">
        <v>1393</v>
      </c>
    </row>
    <row r="254" ht="15.75" hidden="1" customHeight="1">
      <c r="A254" s="58">
        <v>46028.0</v>
      </c>
      <c r="B254" s="59">
        <v>3.0</v>
      </c>
      <c r="C254" s="59" t="s">
        <v>1246</v>
      </c>
      <c r="D254" s="59" t="s">
        <v>849</v>
      </c>
      <c r="E254" s="59" t="s">
        <v>1294</v>
      </c>
      <c r="F254" s="60" t="s">
        <v>1394</v>
      </c>
      <c r="G254" s="60"/>
      <c r="H254" s="60"/>
      <c r="I254" s="59"/>
      <c r="J254" s="55"/>
      <c r="K254" s="31"/>
    </row>
    <row r="255" ht="15.75" hidden="1" customHeight="1">
      <c r="A255" s="58">
        <v>46028.0</v>
      </c>
      <c r="B255" s="59">
        <v>4.0</v>
      </c>
      <c r="C255" s="59" t="s">
        <v>1274</v>
      </c>
      <c r="D255" s="59"/>
      <c r="E255" s="59"/>
      <c r="F255" s="60"/>
      <c r="G255" s="60" t="s">
        <v>1395</v>
      </c>
      <c r="H255" s="60" t="s">
        <v>1396</v>
      </c>
      <c r="I255" s="59"/>
      <c r="J255" s="61"/>
      <c r="K255" s="31"/>
    </row>
    <row r="256" ht="15.75" hidden="1" customHeight="1">
      <c r="A256" s="58">
        <v>46028.0</v>
      </c>
      <c r="B256" s="59">
        <v>5.0</v>
      </c>
      <c r="C256" s="59" t="s">
        <v>1246</v>
      </c>
      <c r="D256" s="59"/>
      <c r="E256" s="59"/>
      <c r="F256" s="60"/>
      <c r="G256" s="60" t="s">
        <v>1397</v>
      </c>
      <c r="H256" s="60"/>
      <c r="I256" s="59"/>
      <c r="J256" s="31"/>
      <c r="K256" s="55">
        <v>46029.0</v>
      </c>
    </row>
    <row r="257" ht="15.75" hidden="1" customHeight="1">
      <c r="A257" s="58">
        <v>46028.0</v>
      </c>
      <c r="B257" s="59">
        <v>6.0</v>
      </c>
      <c r="C257" s="59" t="s">
        <v>1335</v>
      </c>
      <c r="D257" s="59"/>
      <c r="E257" s="59"/>
      <c r="F257" s="60"/>
      <c r="G257" s="60" t="s">
        <v>1398</v>
      </c>
      <c r="H257" s="60"/>
      <c r="I257" s="59"/>
      <c r="J257" s="55"/>
      <c r="K257" s="31"/>
    </row>
    <row r="258" ht="15.75" hidden="1" customHeight="1">
      <c r="A258" s="58">
        <v>46028.0</v>
      </c>
      <c r="B258" s="59">
        <v>7.0</v>
      </c>
      <c r="C258" s="59" t="s">
        <v>1335</v>
      </c>
      <c r="D258" s="59"/>
      <c r="E258" s="59"/>
      <c r="F258" s="60"/>
      <c r="G258" s="60" t="s">
        <v>1399</v>
      </c>
      <c r="H258" s="60" t="s">
        <v>1400</v>
      </c>
      <c r="I258" s="59"/>
      <c r="J258" s="55"/>
      <c r="K258" s="55">
        <v>46032.0</v>
      </c>
    </row>
    <row r="259" ht="15.75" hidden="1" customHeight="1">
      <c r="A259" s="58">
        <v>46028.0</v>
      </c>
      <c r="B259" s="59">
        <v>8.0</v>
      </c>
      <c r="C259" s="59" t="s">
        <v>1246</v>
      </c>
      <c r="D259" s="59"/>
      <c r="E259" s="59"/>
      <c r="F259" s="60" t="s">
        <v>1401</v>
      </c>
      <c r="G259" s="60" t="s">
        <v>1402</v>
      </c>
      <c r="H259" s="60" t="s">
        <v>1403</v>
      </c>
      <c r="I259" s="59"/>
      <c r="J259" s="31"/>
      <c r="K259" s="31"/>
    </row>
    <row r="260" ht="15.75" hidden="1" customHeight="1">
      <c r="A260" s="58">
        <v>46038.0</v>
      </c>
      <c r="B260" s="59">
        <v>9.0</v>
      </c>
      <c r="C260" s="59" t="s">
        <v>1246</v>
      </c>
      <c r="D260" s="59" t="s">
        <v>849</v>
      </c>
      <c r="E260" s="59"/>
      <c r="F260" s="60" t="s">
        <v>1404</v>
      </c>
      <c r="G260" s="60" t="s">
        <v>1405</v>
      </c>
      <c r="H260" s="60"/>
      <c r="I260" s="59" t="s">
        <v>1385</v>
      </c>
      <c r="J260" s="31"/>
      <c r="K260" s="31"/>
    </row>
    <row r="261" ht="15.75" hidden="1" customHeight="1">
      <c r="A261" s="58">
        <v>46031.0</v>
      </c>
      <c r="B261" s="59">
        <v>10.0</v>
      </c>
      <c r="C261" s="59" t="s">
        <v>1335</v>
      </c>
      <c r="D261" s="59" t="s">
        <v>849</v>
      </c>
      <c r="E261" s="59" t="s">
        <v>1294</v>
      </c>
      <c r="F261" s="60" t="s">
        <v>1406</v>
      </c>
      <c r="G261" s="60" t="s">
        <v>1407</v>
      </c>
      <c r="H261" s="60"/>
      <c r="I261" s="59"/>
      <c r="J261" s="31"/>
      <c r="K261" s="55">
        <v>46044.0</v>
      </c>
    </row>
    <row r="262" ht="15.75" hidden="1" customHeight="1">
      <c r="A262" s="58">
        <v>46032.0</v>
      </c>
      <c r="B262" s="59">
        <v>11.0</v>
      </c>
      <c r="C262" s="59" t="s">
        <v>1335</v>
      </c>
      <c r="D262" s="59"/>
      <c r="E262" s="59"/>
      <c r="F262" s="60" t="s">
        <v>1408</v>
      </c>
      <c r="G262" s="60" t="s">
        <v>1409</v>
      </c>
      <c r="H262" s="60"/>
      <c r="I262" s="59"/>
      <c r="K262" s="55">
        <v>46043.0</v>
      </c>
    </row>
    <row r="263" ht="15.75" hidden="1" customHeight="1">
      <c r="A263" s="58">
        <v>46034.0</v>
      </c>
      <c r="B263" s="59">
        <v>12.0</v>
      </c>
      <c r="C263" s="59"/>
      <c r="D263" s="59"/>
      <c r="E263" s="59"/>
      <c r="F263" s="60" t="s">
        <v>1276</v>
      </c>
      <c r="G263" s="60"/>
      <c r="H263" s="60"/>
      <c r="I263" s="59"/>
      <c r="J263" s="55"/>
      <c r="K263" s="31"/>
    </row>
    <row r="264" ht="15.75" hidden="1" customHeight="1">
      <c r="A264" s="58">
        <v>46035.0</v>
      </c>
      <c r="B264" s="59">
        <v>13.0</v>
      </c>
      <c r="C264" s="59"/>
      <c r="D264" s="59"/>
      <c r="E264" s="59"/>
      <c r="F264" s="60" t="s">
        <v>1276</v>
      </c>
      <c r="G264" s="60"/>
      <c r="H264" s="60"/>
      <c r="I264" s="59"/>
      <c r="J264" s="55"/>
      <c r="K264" s="55"/>
    </row>
    <row r="265" ht="15.75" hidden="1" customHeight="1">
      <c r="A265" s="58">
        <v>46038.0</v>
      </c>
      <c r="B265" s="59">
        <v>14.0</v>
      </c>
      <c r="C265" s="59"/>
      <c r="D265" s="59"/>
      <c r="E265" s="59"/>
      <c r="F265" s="60" t="s">
        <v>1276</v>
      </c>
      <c r="G265" s="60"/>
      <c r="H265" s="60"/>
      <c r="I265" s="59"/>
      <c r="J265" s="31"/>
      <c r="K265" s="31"/>
    </row>
    <row r="266" ht="15.75" hidden="1" customHeight="1">
      <c r="A266" s="58">
        <v>46039.0</v>
      </c>
      <c r="B266" s="59">
        <v>15.0</v>
      </c>
      <c r="C266" s="59"/>
      <c r="D266" s="59"/>
      <c r="E266" s="59"/>
      <c r="F266" s="60" t="s">
        <v>1276</v>
      </c>
      <c r="G266" s="60"/>
      <c r="H266" s="60"/>
      <c r="I266" s="59"/>
      <c r="J266" s="31"/>
      <c r="K266" s="31"/>
    </row>
    <row r="267" ht="15.75" hidden="1" customHeight="1">
      <c r="A267" s="58">
        <v>46041.0</v>
      </c>
      <c r="B267" s="59">
        <v>16.0</v>
      </c>
      <c r="C267" s="59" t="s">
        <v>1410</v>
      </c>
      <c r="D267" s="59"/>
      <c r="E267" s="59"/>
      <c r="F267" s="60" t="s">
        <v>1411</v>
      </c>
      <c r="G267" s="60" t="s">
        <v>1412</v>
      </c>
      <c r="H267" s="60" t="s">
        <v>1413</v>
      </c>
      <c r="I267" s="59"/>
      <c r="J267" s="55"/>
      <c r="K267" s="55">
        <v>46044.0</v>
      </c>
    </row>
    <row r="268" ht="15.75" hidden="1" customHeight="1">
      <c r="A268" s="58">
        <v>46041.0</v>
      </c>
      <c r="B268" s="59">
        <v>17.0</v>
      </c>
      <c r="C268" s="59" t="s">
        <v>1414</v>
      </c>
      <c r="D268" s="59"/>
      <c r="E268" s="59"/>
      <c r="F268" s="60" t="s">
        <v>1411</v>
      </c>
      <c r="G268" s="60"/>
      <c r="H268" s="60" t="s">
        <v>1415</v>
      </c>
      <c r="I268" s="59"/>
      <c r="J268" s="55"/>
      <c r="K268" s="55">
        <v>46045.0</v>
      </c>
    </row>
    <row r="269" ht="15.75" hidden="1" customHeight="1">
      <c r="A269" s="58">
        <v>46042.0</v>
      </c>
      <c r="B269" s="59">
        <v>18.0</v>
      </c>
      <c r="C269" s="59" t="s">
        <v>1414</v>
      </c>
      <c r="D269" s="59"/>
      <c r="E269" s="59"/>
      <c r="F269" s="60"/>
      <c r="G269" s="60" t="s">
        <v>1416</v>
      </c>
      <c r="H269" s="60" t="s">
        <v>1417</v>
      </c>
      <c r="I269" s="59"/>
      <c r="J269" s="61"/>
      <c r="K269" s="55">
        <v>46044.0</v>
      </c>
    </row>
    <row r="270" ht="15.75" hidden="1" customHeight="1">
      <c r="A270" s="58">
        <v>46043.0</v>
      </c>
      <c r="B270" s="59">
        <v>19.0</v>
      </c>
      <c r="C270" s="59" t="s">
        <v>1410</v>
      </c>
      <c r="D270" s="59" t="s">
        <v>849</v>
      </c>
      <c r="E270" s="59" t="s">
        <v>1042</v>
      </c>
      <c r="F270" s="60" t="s">
        <v>1418</v>
      </c>
      <c r="G270" s="60"/>
      <c r="H270" s="60"/>
      <c r="I270" s="59"/>
      <c r="J270" s="55"/>
      <c r="K270" s="31"/>
    </row>
    <row r="271" ht="15.75" hidden="1" customHeight="1">
      <c r="A271" s="58">
        <v>46044.0</v>
      </c>
      <c r="B271" s="59">
        <v>20.0</v>
      </c>
      <c r="C271" s="59" t="s">
        <v>1368</v>
      </c>
      <c r="D271" s="59"/>
      <c r="E271" s="59"/>
      <c r="G271" s="60" t="s">
        <v>1419</v>
      </c>
      <c r="H271" s="60" t="s">
        <v>1420</v>
      </c>
      <c r="I271" s="59"/>
      <c r="J271" s="55"/>
      <c r="K271" s="31"/>
    </row>
    <row r="272" ht="15.75" hidden="1" customHeight="1">
      <c r="A272" s="58">
        <v>46044.0</v>
      </c>
      <c r="B272" s="59">
        <v>21.0</v>
      </c>
      <c r="C272" s="59" t="s">
        <v>1368</v>
      </c>
      <c r="D272" s="59"/>
      <c r="E272" s="59"/>
      <c r="F272" s="60"/>
      <c r="G272" s="60" t="s">
        <v>1421</v>
      </c>
      <c r="H272" s="60"/>
      <c r="I272" s="59"/>
      <c r="J272" s="55"/>
      <c r="K272" s="55">
        <v>46044.0</v>
      </c>
    </row>
    <row r="273" ht="15.75" hidden="1" customHeight="1">
      <c r="A273" s="58">
        <v>46045.0</v>
      </c>
      <c r="B273" s="59">
        <v>22.0</v>
      </c>
      <c r="C273" s="59" t="s">
        <v>1368</v>
      </c>
      <c r="D273" s="59"/>
      <c r="E273" s="59"/>
      <c r="F273" s="60"/>
      <c r="G273" s="60" t="s">
        <v>1422</v>
      </c>
      <c r="H273" s="60"/>
      <c r="I273" s="59"/>
      <c r="J273" s="55"/>
      <c r="K273" s="55">
        <v>46045.0</v>
      </c>
    </row>
    <row r="274" ht="15.75" hidden="1" customHeight="1">
      <c r="A274" s="58">
        <v>46045.0</v>
      </c>
      <c r="B274" s="59">
        <v>23.0</v>
      </c>
      <c r="C274" s="59" t="s">
        <v>1423</v>
      </c>
      <c r="D274" s="59"/>
      <c r="E274" s="59"/>
      <c r="F274" s="60" t="s">
        <v>1424</v>
      </c>
      <c r="G274" s="60" t="s">
        <v>1425</v>
      </c>
      <c r="H274" s="60"/>
      <c r="I274" s="59"/>
      <c r="J274" s="55"/>
      <c r="K274" s="55">
        <v>46052.0</v>
      </c>
    </row>
    <row r="275" ht="15.75" hidden="1" customHeight="1">
      <c r="A275" s="58">
        <v>46046.0</v>
      </c>
      <c r="B275" s="59">
        <v>24.0</v>
      </c>
      <c r="C275" s="59"/>
      <c r="D275" s="59"/>
      <c r="E275" s="59"/>
      <c r="F275" s="60" t="s">
        <v>1426</v>
      </c>
      <c r="G275" s="60"/>
      <c r="H275" s="60"/>
      <c r="I275" s="59"/>
      <c r="J275" s="31"/>
      <c r="K275" s="31"/>
    </row>
    <row r="276" ht="15.75" hidden="1" customHeight="1">
      <c r="A276" s="58">
        <v>46049.0</v>
      </c>
      <c r="B276" s="59">
        <v>25.0</v>
      </c>
      <c r="C276" s="59" t="s">
        <v>1414</v>
      </c>
      <c r="D276" s="59"/>
      <c r="E276" s="59"/>
      <c r="F276" s="60"/>
      <c r="G276" s="60" t="s">
        <v>1427</v>
      </c>
      <c r="H276" s="60" t="s">
        <v>1428</v>
      </c>
      <c r="I276" s="59"/>
      <c r="J276" s="31"/>
      <c r="K276" s="55">
        <v>46055.0</v>
      </c>
    </row>
    <row r="277" ht="15.75" hidden="1" customHeight="1">
      <c r="A277" s="58">
        <v>46049.0</v>
      </c>
      <c r="B277" s="59">
        <v>26.0</v>
      </c>
      <c r="C277" s="59" t="s">
        <v>1368</v>
      </c>
      <c r="D277" s="59"/>
      <c r="E277" s="31">
        <v>1099.0</v>
      </c>
      <c r="F277" s="60" t="s">
        <v>1429</v>
      </c>
      <c r="G277" s="60" t="s">
        <v>1430</v>
      </c>
      <c r="H277" s="60"/>
      <c r="I277" s="59"/>
      <c r="J277" s="31"/>
      <c r="K277" s="31"/>
    </row>
    <row r="278" ht="15.75" hidden="1" customHeight="1">
      <c r="A278" s="58">
        <v>46049.0</v>
      </c>
      <c r="B278" s="59">
        <v>27.0</v>
      </c>
      <c r="C278" s="59" t="s">
        <v>1368</v>
      </c>
      <c r="D278" s="59"/>
      <c r="E278" s="31">
        <v>1099.0</v>
      </c>
      <c r="F278" s="60" t="s">
        <v>1431</v>
      </c>
      <c r="G278" s="60" t="s">
        <v>1432</v>
      </c>
      <c r="H278" s="60"/>
      <c r="I278" s="59"/>
      <c r="J278" s="31"/>
      <c r="K278" s="31"/>
    </row>
    <row r="279" ht="15.75" hidden="1" customHeight="1">
      <c r="A279" s="58">
        <v>46049.0</v>
      </c>
      <c r="B279" s="59">
        <v>28.0</v>
      </c>
      <c r="C279" s="59" t="s">
        <v>1368</v>
      </c>
      <c r="D279" s="59"/>
      <c r="E279" s="31">
        <v>1099.0</v>
      </c>
      <c r="F279" s="60" t="s">
        <v>1433</v>
      </c>
      <c r="G279" s="60"/>
      <c r="H279" s="60"/>
      <c r="I279" s="59"/>
      <c r="J279" s="31"/>
      <c r="K279" s="31"/>
    </row>
    <row r="280" ht="15.75" hidden="1" customHeight="1">
      <c r="A280" s="58">
        <v>46049.0</v>
      </c>
      <c r="B280" s="59">
        <v>29.0</v>
      </c>
      <c r="C280" s="59" t="s">
        <v>1368</v>
      </c>
      <c r="D280" s="59"/>
      <c r="E280" s="31">
        <v>1099.0</v>
      </c>
      <c r="F280" s="60" t="s">
        <v>1434</v>
      </c>
      <c r="G280" s="60" t="s">
        <v>1435</v>
      </c>
      <c r="H280" s="60"/>
      <c r="I280" s="59"/>
      <c r="J280" s="31"/>
      <c r="K280" s="31"/>
    </row>
    <row r="281" ht="15.75" hidden="1" customHeight="1">
      <c r="A281" s="58">
        <v>46049.0</v>
      </c>
      <c r="B281" s="59">
        <v>30.0</v>
      </c>
      <c r="C281" s="59" t="s">
        <v>1368</v>
      </c>
      <c r="D281" s="59"/>
      <c r="E281" s="31">
        <v>1099.0</v>
      </c>
      <c r="F281" s="60" t="s">
        <v>1436</v>
      </c>
      <c r="G281" s="60" t="s">
        <v>1437</v>
      </c>
      <c r="H281" s="60"/>
      <c r="I281" s="59"/>
      <c r="J281" s="31"/>
      <c r="K281" s="31"/>
    </row>
    <row r="282" ht="15.75" hidden="1" customHeight="1">
      <c r="A282" s="58">
        <v>46049.0</v>
      </c>
      <c r="B282" s="59">
        <v>31.0</v>
      </c>
      <c r="C282" s="59" t="s">
        <v>1368</v>
      </c>
      <c r="D282" s="59"/>
      <c r="E282" s="31">
        <v>1099.0</v>
      </c>
      <c r="F282" s="60" t="s">
        <v>1438</v>
      </c>
      <c r="G282" s="60" t="s">
        <v>1439</v>
      </c>
      <c r="H282" s="60" t="s">
        <v>1440</v>
      </c>
      <c r="I282" s="59"/>
      <c r="J282" s="31"/>
      <c r="K282" s="31"/>
    </row>
    <row r="283" ht="15.75" hidden="1" customHeight="1">
      <c r="A283" s="58">
        <v>46049.0</v>
      </c>
      <c r="B283" s="59">
        <v>32.0</v>
      </c>
      <c r="C283" s="59" t="s">
        <v>1368</v>
      </c>
      <c r="D283" s="59"/>
      <c r="E283" s="31">
        <v>1099.0</v>
      </c>
      <c r="F283" s="60" t="s">
        <v>1441</v>
      </c>
      <c r="G283" s="60" t="s">
        <v>1442</v>
      </c>
      <c r="H283" s="60"/>
      <c r="I283" s="59"/>
      <c r="J283" s="55"/>
      <c r="K283" s="31"/>
    </row>
    <row r="284" ht="15.75" hidden="1" customHeight="1">
      <c r="A284" s="58">
        <v>46049.0</v>
      </c>
      <c r="B284" s="59">
        <v>33.0</v>
      </c>
      <c r="C284" s="59" t="s">
        <v>1246</v>
      </c>
      <c r="D284" s="59"/>
      <c r="E284" s="31">
        <v>1099.0</v>
      </c>
      <c r="F284" s="60" t="s">
        <v>1443</v>
      </c>
      <c r="G284" s="60" t="s">
        <v>1444</v>
      </c>
      <c r="H284" s="60"/>
      <c r="I284" s="59"/>
      <c r="J284" s="31"/>
      <c r="K284" s="55">
        <v>46053.0</v>
      </c>
    </row>
    <row r="285" ht="15.75" hidden="1" customHeight="1">
      <c r="A285" s="58">
        <v>46049.0</v>
      </c>
      <c r="B285" s="59">
        <v>34.0</v>
      </c>
      <c r="C285" s="59" t="s">
        <v>1246</v>
      </c>
      <c r="D285" s="59"/>
      <c r="E285" s="31">
        <v>1099.0</v>
      </c>
      <c r="F285" s="60" t="s">
        <v>1445</v>
      </c>
      <c r="G285" s="60"/>
      <c r="H285" s="60"/>
      <c r="I285" s="59"/>
      <c r="J285" s="31"/>
      <c r="K285" s="31"/>
    </row>
    <row r="286" ht="15.75" hidden="1" customHeight="1">
      <c r="A286" s="58">
        <v>46049.0</v>
      </c>
      <c r="B286" s="59">
        <v>35.0</v>
      </c>
      <c r="C286" s="59" t="s">
        <v>1246</v>
      </c>
      <c r="D286" s="59"/>
      <c r="E286" s="31">
        <v>1099.0</v>
      </c>
      <c r="F286" s="60" t="s">
        <v>1446</v>
      </c>
      <c r="G286" s="60"/>
      <c r="H286" s="60"/>
      <c r="I286" s="59"/>
      <c r="J286" s="55"/>
      <c r="K286" s="31"/>
    </row>
    <row r="287" ht="15.75" hidden="1" customHeight="1">
      <c r="A287" s="58">
        <v>46049.0</v>
      </c>
      <c r="B287" s="59">
        <v>36.0</v>
      </c>
      <c r="C287" s="59" t="s">
        <v>1246</v>
      </c>
      <c r="D287" s="59"/>
      <c r="E287" s="31">
        <v>1099.0</v>
      </c>
      <c r="F287" s="60" t="s">
        <v>1447</v>
      </c>
      <c r="G287" s="60" t="s">
        <v>1448</v>
      </c>
      <c r="H287" s="60" t="s">
        <v>1449</v>
      </c>
      <c r="I287" s="59"/>
      <c r="J287" s="31"/>
      <c r="K287" s="31"/>
    </row>
    <row r="288" ht="15.75" hidden="1" customHeight="1">
      <c r="A288" s="58">
        <v>46050.0</v>
      </c>
      <c r="B288" s="59">
        <v>37.0</v>
      </c>
      <c r="C288" s="59" t="s">
        <v>1368</v>
      </c>
      <c r="D288" s="59"/>
      <c r="E288" s="59" t="s">
        <v>1450</v>
      </c>
      <c r="F288" s="60" t="s">
        <v>1451</v>
      </c>
      <c r="G288" s="60" t="s">
        <v>1452</v>
      </c>
      <c r="H288" s="60" t="s">
        <v>1453</v>
      </c>
      <c r="I288" s="59"/>
      <c r="J288" s="31"/>
      <c r="K288" s="31"/>
    </row>
    <row r="289" ht="15.75" hidden="1" customHeight="1">
      <c r="A289" s="58">
        <v>46050.0</v>
      </c>
      <c r="B289" s="59">
        <v>38.0</v>
      </c>
      <c r="C289" s="59" t="s">
        <v>1414</v>
      </c>
      <c r="D289" s="59"/>
      <c r="E289" s="59" t="s">
        <v>1450</v>
      </c>
      <c r="F289" s="60" t="s">
        <v>1454</v>
      </c>
      <c r="G289" s="60"/>
      <c r="H289" s="60"/>
      <c r="I289" s="59"/>
      <c r="J289" s="31"/>
      <c r="K289" s="55">
        <v>46051.0</v>
      </c>
    </row>
    <row r="290" ht="15.75" hidden="1" customHeight="1">
      <c r="A290" s="58">
        <v>46050.0</v>
      </c>
      <c r="B290" s="59">
        <v>39.0</v>
      </c>
      <c r="C290" s="59" t="s">
        <v>1389</v>
      </c>
      <c r="D290" s="59"/>
      <c r="E290" s="31">
        <v>1099.0</v>
      </c>
      <c r="F290" s="60" t="s">
        <v>1455</v>
      </c>
      <c r="G290" s="60" t="s">
        <v>1456</v>
      </c>
      <c r="H290" s="60"/>
      <c r="I290" s="59"/>
      <c r="J290" s="55"/>
      <c r="K290" s="55">
        <v>46053.0</v>
      </c>
    </row>
    <row r="291" ht="15.75" hidden="1" customHeight="1">
      <c r="A291" s="58">
        <v>46050.0</v>
      </c>
      <c r="B291" s="59">
        <v>40.0</v>
      </c>
      <c r="C291" s="59" t="s">
        <v>1389</v>
      </c>
      <c r="D291" s="59"/>
      <c r="E291" s="31">
        <v>1099.0</v>
      </c>
      <c r="F291" s="60" t="s">
        <v>1457</v>
      </c>
      <c r="G291" s="60"/>
      <c r="H291" s="60"/>
      <c r="I291" s="59"/>
      <c r="J291" s="55"/>
      <c r="K291" s="55">
        <v>46053.0</v>
      </c>
    </row>
    <row r="292" ht="15.75" hidden="1" customHeight="1">
      <c r="A292" s="58">
        <v>46050.0</v>
      </c>
      <c r="B292" s="59">
        <v>41.0</v>
      </c>
      <c r="C292" s="59" t="s">
        <v>1389</v>
      </c>
      <c r="D292" s="59"/>
      <c r="E292" s="31">
        <v>1099.0</v>
      </c>
      <c r="F292" s="60" t="s">
        <v>1458</v>
      </c>
      <c r="G292" s="60"/>
      <c r="H292" s="60"/>
      <c r="I292" s="59"/>
      <c r="J292" s="31"/>
      <c r="K292" s="55">
        <v>46053.0</v>
      </c>
    </row>
    <row r="293" ht="15.75" hidden="1" customHeight="1">
      <c r="A293" s="58">
        <v>46050.0</v>
      </c>
      <c r="B293" s="59">
        <v>42.0</v>
      </c>
      <c r="C293" s="59" t="s">
        <v>1389</v>
      </c>
      <c r="D293" s="59"/>
      <c r="E293" s="31">
        <v>1099.0</v>
      </c>
      <c r="F293" s="60" t="s">
        <v>1459</v>
      </c>
      <c r="G293" s="60" t="s">
        <v>1460</v>
      </c>
      <c r="H293" s="60"/>
      <c r="I293" s="59"/>
      <c r="J293" s="31"/>
      <c r="K293" s="31"/>
    </row>
    <row r="294" ht="15.75" hidden="1" customHeight="1">
      <c r="A294" s="58">
        <v>46050.0</v>
      </c>
      <c r="B294" s="59">
        <v>43.0</v>
      </c>
      <c r="C294" s="59" t="s">
        <v>1389</v>
      </c>
      <c r="D294" s="59"/>
      <c r="E294" s="31">
        <v>1099.0</v>
      </c>
      <c r="F294" s="60" t="s">
        <v>1461</v>
      </c>
      <c r="G294" s="60" t="s">
        <v>1462</v>
      </c>
      <c r="H294" s="60" t="s">
        <v>1463</v>
      </c>
      <c r="I294" s="59"/>
      <c r="J294" s="55"/>
      <c r="K294" s="62">
        <v>46055.0</v>
      </c>
    </row>
    <row r="295" ht="15.75" hidden="1" customHeight="1">
      <c r="A295" s="58">
        <v>46050.0</v>
      </c>
      <c r="B295" s="59">
        <v>44.0</v>
      </c>
      <c r="C295" s="59" t="s">
        <v>1464</v>
      </c>
      <c r="D295" s="59"/>
      <c r="E295" s="31">
        <v>1099.0</v>
      </c>
      <c r="F295" s="60" t="s">
        <v>1465</v>
      </c>
      <c r="G295" s="60" t="s">
        <v>1466</v>
      </c>
      <c r="H295" s="60"/>
      <c r="I295" s="59"/>
      <c r="J295" s="31"/>
      <c r="K295" s="62">
        <v>46055.0</v>
      </c>
    </row>
    <row r="296" ht="15.75" hidden="1" customHeight="1">
      <c r="A296" s="58">
        <v>46050.0</v>
      </c>
      <c r="B296" s="59">
        <v>45.0</v>
      </c>
      <c r="C296" s="59" t="s">
        <v>1464</v>
      </c>
      <c r="D296" s="59"/>
      <c r="E296" s="31">
        <v>1099.0</v>
      </c>
      <c r="F296" s="60" t="s">
        <v>1467</v>
      </c>
      <c r="G296" s="60" t="s">
        <v>1468</v>
      </c>
      <c r="H296" s="60"/>
      <c r="I296" s="59"/>
      <c r="J296" s="31"/>
      <c r="K296" s="55">
        <v>46053.0</v>
      </c>
    </row>
    <row r="297" ht="15.75" hidden="1" customHeight="1">
      <c r="A297" s="58">
        <v>46050.0</v>
      </c>
      <c r="B297" s="59">
        <v>46.0</v>
      </c>
      <c r="C297" s="59" t="s">
        <v>1464</v>
      </c>
      <c r="D297" s="59"/>
      <c r="E297" s="31">
        <v>1099.0</v>
      </c>
      <c r="F297" s="60" t="s">
        <v>1469</v>
      </c>
      <c r="G297" s="60" t="s">
        <v>1470</v>
      </c>
      <c r="H297" s="60"/>
      <c r="I297" s="59"/>
      <c r="J297" s="31"/>
      <c r="K297" s="62">
        <v>46055.0</v>
      </c>
    </row>
    <row r="298" ht="15.75" hidden="1" customHeight="1">
      <c r="A298" s="58">
        <v>46050.0</v>
      </c>
      <c r="B298" s="59">
        <v>47.0</v>
      </c>
      <c r="C298" s="59" t="s">
        <v>1464</v>
      </c>
      <c r="D298" s="59"/>
      <c r="E298" s="31">
        <v>1099.0</v>
      </c>
      <c r="F298" s="60" t="s">
        <v>1471</v>
      </c>
      <c r="G298" s="60" t="s">
        <v>1470</v>
      </c>
      <c r="H298" s="60"/>
      <c r="I298" s="59"/>
      <c r="J298" s="31"/>
      <c r="K298" s="62">
        <v>46055.0</v>
      </c>
    </row>
    <row r="299" ht="15.75" hidden="1" customHeight="1">
      <c r="A299" s="58">
        <v>46050.0</v>
      </c>
      <c r="B299" s="59">
        <v>48.0</v>
      </c>
      <c r="C299" s="59" t="s">
        <v>1464</v>
      </c>
      <c r="D299" s="59"/>
      <c r="E299" s="31">
        <v>1099.0</v>
      </c>
      <c r="F299" s="60" t="s">
        <v>1472</v>
      </c>
      <c r="G299" s="60" t="s">
        <v>1473</v>
      </c>
      <c r="H299" s="60"/>
      <c r="I299" s="59"/>
      <c r="J299" s="31"/>
      <c r="K299" s="55">
        <v>46053.0</v>
      </c>
    </row>
    <row r="300" ht="15.75" hidden="1" customHeight="1">
      <c r="A300" s="58">
        <v>46050.0</v>
      </c>
      <c r="B300" s="59">
        <v>49.0</v>
      </c>
      <c r="C300" s="59" t="s">
        <v>1464</v>
      </c>
      <c r="D300" s="59"/>
      <c r="E300" s="31">
        <v>1099.0</v>
      </c>
      <c r="F300" s="60" t="s">
        <v>1474</v>
      </c>
      <c r="G300" s="60" t="s">
        <v>1475</v>
      </c>
      <c r="H300" s="60"/>
      <c r="I300" s="59"/>
      <c r="J300" s="31"/>
      <c r="K300" s="55">
        <v>46053.0</v>
      </c>
    </row>
    <row r="301" ht="15.75" hidden="1" customHeight="1">
      <c r="A301" s="58">
        <v>46050.0</v>
      </c>
      <c r="B301" s="59">
        <v>50.0</v>
      </c>
      <c r="C301" s="59" t="s">
        <v>1464</v>
      </c>
      <c r="D301" s="59"/>
      <c r="E301" s="31">
        <v>1099.0</v>
      </c>
      <c r="F301" s="60" t="s">
        <v>1476</v>
      </c>
      <c r="G301" s="60" t="s">
        <v>1477</v>
      </c>
      <c r="H301" s="60"/>
      <c r="I301" s="59"/>
      <c r="J301" s="31"/>
      <c r="K301" s="31"/>
    </row>
    <row r="302" ht="15.75" hidden="1" customHeight="1">
      <c r="A302" s="58">
        <v>46051.0</v>
      </c>
      <c r="B302" s="59">
        <v>52.0</v>
      </c>
      <c r="C302" s="59" t="s">
        <v>1368</v>
      </c>
      <c r="D302" s="59"/>
      <c r="E302" s="59"/>
      <c r="F302" s="60" t="s">
        <v>1478</v>
      </c>
      <c r="G302" s="60" t="s">
        <v>1479</v>
      </c>
      <c r="H302" s="60" t="s">
        <v>1480</v>
      </c>
      <c r="I302" s="59"/>
      <c r="J302" s="31"/>
      <c r="K302" s="31"/>
    </row>
    <row r="303" ht="15.75" hidden="1" customHeight="1">
      <c r="A303" s="58">
        <v>46051.0</v>
      </c>
      <c r="B303" s="59">
        <v>53.0</v>
      </c>
      <c r="C303" s="59" t="s">
        <v>1464</v>
      </c>
      <c r="D303" s="59"/>
      <c r="E303" s="59"/>
      <c r="F303" s="60" t="s">
        <v>1481</v>
      </c>
      <c r="G303" s="60" t="s">
        <v>1482</v>
      </c>
      <c r="H303" s="60" t="s">
        <v>1483</v>
      </c>
      <c r="I303" s="59"/>
      <c r="J303" s="31"/>
      <c r="K303" s="31"/>
    </row>
    <row r="304" ht="15.75" hidden="1" customHeight="1">
      <c r="A304" s="58">
        <v>46051.0</v>
      </c>
      <c r="B304" s="59">
        <v>54.0</v>
      </c>
      <c r="C304" s="59" t="s">
        <v>1464</v>
      </c>
      <c r="D304" s="59"/>
      <c r="E304" s="59"/>
      <c r="F304" s="60" t="s">
        <v>1484</v>
      </c>
      <c r="G304" s="60" t="s">
        <v>1485</v>
      </c>
      <c r="H304" s="60"/>
      <c r="I304" s="59"/>
      <c r="J304" s="31"/>
      <c r="K304" s="31"/>
    </row>
    <row r="305" ht="15.75" hidden="1" customHeight="1">
      <c r="A305" s="58">
        <v>46052.0</v>
      </c>
      <c r="B305" s="59">
        <v>55.0</v>
      </c>
      <c r="C305" s="59" t="s">
        <v>1414</v>
      </c>
      <c r="D305" s="59" t="s">
        <v>1385</v>
      </c>
      <c r="E305" s="59"/>
      <c r="F305" s="60" t="s">
        <v>1486</v>
      </c>
      <c r="G305" s="60"/>
      <c r="H305" s="60"/>
      <c r="I305" s="59"/>
      <c r="J305" s="31"/>
      <c r="K305" s="31"/>
    </row>
    <row r="306" ht="15.75" hidden="1" customHeight="1">
      <c r="A306" s="58">
        <v>46052.0</v>
      </c>
      <c r="B306" s="59">
        <v>56.0</v>
      </c>
      <c r="C306" s="59" t="s">
        <v>1414</v>
      </c>
      <c r="D306" s="59" t="s">
        <v>1385</v>
      </c>
      <c r="E306" s="59"/>
      <c r="F306" s="60" t="s">
        <v>1487</v>
      </c>
      <c r="G306" s="60"/>
      <c r="H306" s="60"/>
      <c r="I306" s="59"/>
      <c r="J306" s="31"/>
      <c r="K306" s="31"/>
    </row>
    <row r="307" ht="15.75" hidden="1" customHeight="1">
      <c r="A307" s="58">
        <v>46052.0</v>
      </c>
      <c r="B307" s="59">
        <v>57.0</v>
      </c>
      <c r="C307" s="59" t="s">
        <v>1414</v>
      </c>
      <c r="D307" s="59" t="s">
        <v>1385</v>
      </c>
      <c r="E307" s="59"/>
      <c r="F307" s="60" t="s">
        <v>1488</v>
      </c>
      <c r="G307" s="60"/>
      <c r="H307" s="60"/>
      <c r="I307" s="59"/>
      <c r="J307" s="31"/>
      <c r="K307" s="31"/>
    </row>
    <row r="308" ht="15.75" hidden="1" customHeight="1">
      <c r="A308" s="58">
        <v>46052.0</v>
      </c>
      <c r="B308" s="59">
        <v>58.0</v>
      </c>
      <c r="C308" s="59" t="s">
        <v>1414</v>
      </c>
      <c r="D308" s="59" t="s">
        <v>1385</v>
      </c>
      <c r="E308" s="59"/>
      <c r="F308" s="60" t="s">
        <v>1487</v>
      </c>
      <c r="G308" s="60"/>
      <c r="H308" s="60"/>
      <c r="I308" s="59"/>
      <c r="J308" s="55"/>
      <c r="K308" s="31"/>
    </row>
    <row r="309" ht="15.75" hidden="1" customHeight="1">
      <c r="A309" s="58">
        <v>46053.0</v>
      </c>
      <c r="B309" s="59">
        <v>59.0</v>
      </c>
      <c r="C309" s="59" t="s">
        <v>1414</v>
      </c>
      <c r="D309" s="59" t="s">
        <v>1385</v>
      </c>
      <c r="E309" s="59"/>
      <c r="F309" s="60" t="s">
        <v>1486</v>
      </c>
      <c r="G309" s="60" t="s">
        <v>1489</v>
      </c>
      <c r="H309" s="60"/>
      <c r="I309" s="59"/>
      <c r="J309" s="55"/>
      <c r="K309" s="31"/>
    </row>
    <row r="310" ht="15.75" hidden="1" customHeight="1">
      <c r="A310" s="58">
        <v>46053.0</v>
      </c>
      <c r="B310" s="59">
        <v>60.0</v>
      </c>
      <c r="C310" s="59" t="s">
        <v>1464</v>
      </c>
      <c r="D310" s="59"/>
      <c r="E310" s="59"/>
      <c r="F310" s="60"/>
      <c r="G310" s="60" t="s">
        <v>1490</v>
      </c>
      <c r="H310" s="60" t="s">
        <v>1491</v>
      </c>
      <c r="I310" s="59"/>
      <c r="J310" s="55"/>
      <c r="K310" s="55">
        <v>46055.0</v>
      </c>
    </row>
    <row r="311" ht="15.75" hidden="1" customHeight="1">
      <c r="A311" s="58">
        <v>46053.0</v>
      </c>
      <c r="B311" s="59">
        <v>61.0</v>
      </c>
      <c r="C311" s="59" t="s">
        <v>1492</v>
      </c>
      <c r="D311" s="59"/>
      <c r="E311" s="59"/>
      <c r="F311" s="60" t="s">
        <v>1493</v>
      </c>
      <c r="G311" s="60" t="s">
        <v>551</v>
      </c>
      <c r="H311" s="60" t="s">
        <v>1494</v>
      </c>
      <c r="I311" s="59"/>
      <c r="J311" s="55"/>
      <c r="K311" s="55">
        <v>46053.0</v>
      </c>
    </row>
    <row r="312" ht="15.75" hidden="1" customHeight="1">
      <c r="A312" s="58">
        <v>46053.0</v>
      </c>
      <c r="B312" s="59"/>
      <c r="C312" s="59" t="s">
        <v>1246</v>
      </c>
      <c r="D312" s="59"/>
      <c r="E312" s="59"/>
      <c r="F312" s="60" t="s">
        <v>1495</v>
      </c>
      <c r="G312" s="60" t="s">
        <v>1496</v>
      </c>
      <c r="H312" s="60" t="s">
        <v>1497</v>
      </c>
      <c r="I312" s="59"/>
      <c r="J312" s="31"/>
      <c r="K312" s="31"/>
    </row>
    <row r="313" ht="15.75" hidden="1" customHeight="1">
      <c r="A313" s="63">
        <v>46055.0</v>
      </c>
      <c r="B313" s="59">
        <v>1.0</v>
      </c>
      <c r="C313" s="59" t="s">
        <v>1368</v>
      </c>
      <c r="D313" s="59" t="s">
        <v>849</v>
      </c>
      <c r="E313" s="59"/>
      <c r="F313" s="60" t="s">
        <v>1498</v>
      </c>
      <c r="G313" s="60" t="s">
        <v>1499</v>
      </c>
      <c r="H313" s="60" t="s">
        <v>1500</v>
      </c>
      <c r="I313" s="59" t="s">
        <v>1501</v>
      </c>
      <c r="J313" s="31"/>
      <c r="K313" s="61">
        <v>46057.0</v>
      </c>
    </row>
    <row r="314" ht="15.75" hidden="1" customHeight="1">
      <c r="A314" s="63">
        <v>46056.0</v>
      </c>
      <c r="B314" s="59">
        <v>2.0</v>
      </c>
      <c r="C314" s="59" t="s">
        <v>1464</v>
      </c>
      <c r="D314" s="59" t="s">
        <v>849</v>
      </c>
      <c r="E314" s="59"/>
      <c r="F314" s="60"/>
      <c r="G314" s="60" t="s">
        <v>1502</v>
      </c>
      <c r="H314" s="60" t="s">
        <v>1503</v>
      </c>
      <c r="I314" s="59" t="s">
        <v>1501</v>
      </c>
      <c r="J314" s="31"/>
      <c r="K314" s="55">
        <v>46056.0</v>
      </c>
    </row>
    <row r="315" ht="15.75" hidden="1" customHeight="1">
      <c r="A315" s="63">
        <v>46056.0</v>
      </c>
      <c r="B315" s="59">
        <v>3.0</v>
      </c>
      <c r="C315" s="59" t="s">
        <v>1464</v>
      </c>
      <c r="D315" s="59" t="s">
        <v>849</v>
      </c>
      <c r="E315" s="59"/>
      <c r="F315" s="60" t="s">
        <v>1504</v>
      </c>
      <c r="G315" s="60" t="s">
        <v>1505</v>
      </c>
      <c r="H315" s="60"/>
      <c r="I315" s="59"/>
      <c r="J315" s="31"/>
      <c r="K315" s="31"/>
    </row>
    <row r="316" ht="15.75" hidden="1" customHeight="1">
      <c r="A316" s="63">
        <v>46056.0</v>
      </c>
      <c r="B316" s="59">
        <v>4.0</v>
      </c>
      <c r="C316" s="59" t="s">
        <v>1464</v>
      </c>
      <c r="D316" s="59" t="s">
        <v>849</v>
      </c>
      <c r="E316" s="59" t="s">
        <v>1506</v>
      </c>
      <c r="F316" s="60" t="s">
        <v>1507</v>
      </c>
      <c r="G316" s="60" t="s">
        <v>1508</v>
      </c>
      <c r="H316" s="60"/>
      <c r="I316" s="59" t="s">
        <v>1501</v>
      </c>
      <c r="J316" s="31"/>
      <c r="K316" s="61">
        <v>46058.0</v>
      </c>
    </row>
    <row r="317" ht="15.75" hidden="1" customHeight="1">
      <c r="A317" s="63">
        <v>46056.0</v>
      </c>
      <c r="B317" s="59">
        <v>5.0</v>
      </c>
      <c r="C317" s="59" t="s">
        <v>1464</v>
      </c>
      <c r="D317" s="59" t="s">
        <v>849</v>
      </c>
      <c r="E317" s="59" t="s">
        <v>1450</v>
      </c>
      <c r="F317" s="60" t="s">
        <v>1509</v>
      </c>
      <c r="G317" s="60" t="s">
        <v>1510</v>
      </c>
      <c r="H317" s="60" t="s">
        <v>1511</v>
      </c>
      <c r="I317" s="59" t="s">
        <v>1501</v>
      </c>
      <c r="J317" s="31"/>
      <c r="K317" s="55">
        <v>46057.0</v>
      </c>
    </row>
    <row r="318" ht="15.75" hidden="1" customHeight="1">
      <c r="A318" s="64">
        <v>46057.0</v>
      </c>
      <c r="B318" s="59">
        <v>6.0</v>
      </c>
      <c r="C318" s="59" t="s">
        <v>1464</v>
      </c>
      <c r="D318" s="59" t="s">
        <v>849</v>
      </c>
      <c r="E318" s="59" t="s">
        <v>1512</v>
      </c>
      <c r="F318" s="60" t="s">
        <v>1513</v>
      </c>
      <c r="G318" s="60" t="s">
        <v>1514</v>
      </c>
      <c r="H318" s="60" t="s">
        <v>1515</v>
      </c>
      <c r="I318" s="59"/>
      <c r="J318" s="31"/>
      <c r="K318" s="55">
        <v>46086.0</v>
      </c>
    </row>
    <row r="319" ht="15.75" hidden="1" customHeight="1">
      <c r="A319" s="64">
        <v>46057.0</v>
      </c>
      <c r="B319" s="59">
        <v>7.0</v>
      </c>
      <c r="C319" s="59" t="s">
        <v>1464</v>
      </c>
      <c r="D319" s="59"/>
      <c r="E319" s="59"/>
      <c r="F319" s="60" t="s">
        <v>1516</v>
      </c>
      <c r="G319" s="60" t="s">
        <v>1517</v>
      </c>
      <c r="H319" s="60"/>
      <c r="I319" s="59"/>
      <c r="J319" s="31"/>
      <c r="K319" s="55">
        <v>46066.0</v>
      </c>
    </row>
    <row r="320" ht="15.75" hidden="1" customHeight="1">
      <c r="A320" s="64">
        <v>46058.0</v>
      </c>
      <c r="B320" s="59">
        <v>8.0</v>
      </c>
      <c r="C320" s="59" t="s">
        <v>1518</v>
      </c>
      <c r="D320" s="59" t="s">
        <v>849</v>
      </c>
      <c r="E320" s="59" t="s">
        <v>1294</v>
      </c>
      <c r="F320" s="60" t="s">
        <v>1519</v>
      </c>
      <c r="G320" s="60" t="s">
        <v>1520</v>
      </c>
      <c r="H320" s="60"/>
      <c r="I320" s="59"/>
      <c r="J320" s="31"/>
      <c r="K320" s="55">
        <v>46066.0</v>
      </c>
    </row>
    <row r="321" ht="15.75" hidden="1" customHeight="1">
      <c r="A321" s="64">
        <v>46058.0</v>
      </c>
      <c r="B321" s="59">
        <v>9.0</v>
      </c>
      <c r="C321" s="59" t="s">
        <v>1246</v>
      </c>
      <c r="D321" s="59" t="s">
        <v>849</v>
      </c>
      <c r="E321" s="59" t="s">
        <v>1294</v>
      </c>
      <c r="F321" s="60" t="s">
        <v>1519</v>
      </c>
      <c r="G321" s="60" t="s">
        <v>1521</v>
      </c>
      <c r="H321" s="60"/>
      <c r="I321" s="59"/>
      <c r="J321" s="31"/>
      <c r="K321" s="31"/>
    </row>
    <row r="322" ht="15.75" hidden="1" customHeight="1">
      <c r="A322" s="64">
        <v>46058.0</v>
      </c>
      <c r="B322" s="59">
        <v>10.0</v>
      </c>
      <c r="C322" s="59" t="s">
        <v>1246</v>
      </c>
      <c r="D322" s="59" t="s">
        <v>849</v>
      </c>
      <c r="E322" s="59" t="s">
        <v>1294</v>
      </c>
      <c r="F322" s="60" t="s">
        <v>1522</v>
      </c>
      <c r="G322" s="60"/>
      <c r="H322" s="60"/>
      <c r="I322" s="59"/>
      <c r="J322" s="31"/>
      <c r="K322" s="31"/>
    </row>
    <row r="323" ht="15.75" hidden="1" customHeight="1">
      <c r="A323" s="64">
        <v>46058.0</v>
      </c>
      <c r="B323" s="59">
        <v>11.0</v>
      </c>
      <c r="C323" s="59" t="s">
        <v>1246</v>
      </c>
      <c r="D323" s="59" t="s">
        <v>849</v>
      </c>
      <c r="E323" s="59"/>
      <c r="F323" s="60" t="s">
        <v>1523</v>
      </c>
      <c r="G323" s="60"/>
      <c r="H323" s="60"/>
      <c r="I323" s="59"/>
      <c r="J323" s="31"/>
      <c r="K323" s="31"/>
    </row>
    <row r="324" ht="15.75" hidden="1" customHeight="1">
      <c r="A324" s="64">
        <v>46058.0</v>
      </c>
      <c r="B324" s="59">
        <v>12.0</v>
      </c>
      <c r="C324" s="59" t="s">
        <v>1246</v>
      </c>
      <c r="D324" s="59"/>
      <c r="E324" s="59"/>
      <c r="F324" s="60" t="s">
        <v>1524</v>
      </c>
      <c r="G324" s="60" t="s">
        <v>1525</v>
      </c>
      <c r="H324" s="60"/>
      <c r="I324" s="59"/>
      <c r="J324" s="31"/>
      <c r="K324" s="55">
        <v>46065.0</v>
      </c>
    </row>
    <row r="325" ht="15.75" hidden="1" customHeight="1">
      <c r="A325" s="64">
        <v>46059.0</v>
      </c>
      <c r="B325" s="59">
        <v>13.0</v>
      </c>
      <c r="C325" s="59"/>
      <c r="D325" s="59"/>
      <c r="E325" s="59"/>
      <c r="F325" s="59" t="s">
        <v>1276</v>
      </c>
      <c r="G325" s="60"/>
      <c r="H325" s="60"/>
      <c r="I325" s="59"/>
      <c r="J325" s="31"/>
      <c r="K325" s="31"/>
    </row>
    <row r="326" ht="15.75" hidden="1" customHeight="1">
      <c r="A326" s="64">
        <v>46060.0</v>
      </c>
      <c r="B326" s="59">
        <v>14.0</v>
      </c>
      <c r="C326" s="59"/>
      <c r="D326" s="59"/>
      <c r="E326" s="59"/>
      <c r="F326" s="59" t="s">
        <v>1276</v>
      </c>
      <c r="G326" s="60"/>
      <c r="H326" s="60"/>
      <c r="I326" s="59"/>
      <c r="J326" s="31"/>
      <c r="K326" s="31"/>
    </row>
    <row r="327" ht="15.75" hidden="1" customHeight="1">
      <c r="A327" s="64">
        <v>46062.0</v>
      </c>
      <c r="B327" s="59">
        <v>15.0</v>
      </c>
      <c r="C327" s="59"/>
      <c r="D327" s="59"/>
      <c r="E327" s="59"/>
      <c r="F327" s="59" t="s">
        <v>1276</v>
      </c>
      <c r="G327" s="60"/>
      <c r="H327" s="60"/>
      <c r="I327" s="59"/>
      <c r="J327" s="31"/>
      <c r="K327" s="31"/>
    </row>
    <row r="328" ht="15.75" hidden="1" customHeight="1">
      <c r="A328" s="64">
        <v>46063.0</v>
      </c>
      <c r="B328" s="59">
        <v>16.0</v>
      </c>
      <c r="C328" s="59" t="s">
        <v>1492</v>
      </c>
      <c r="D328" s="59"/>
      <c r="E328" s="59"/>
      <c r="F328" s="60" t="s">
        <v>1526</v>
      </c>
      <c r="G328" s="60" t="s">
        <v>1527</v>
      </c>
      <c r="H328" s="60" t="s">
        <v>1528</v>
      </c>
      <c r="I328" s="59"/>
      <c r="J328" s="31"/>
      <c r="K328" s="61">
        <v>46067.0</v>
      </c>
    </row>
    <row r="329" ht="15.75" hidden="1" customHeight="1">
      <c r="A329" s="64">
        <v>46063.0</v>
      </c>
      <c r="B329" s="59">
        <v>17.0</v>
      </c>
      <c r="C329" s="59" t="s">
        <v>1492</v>
      </c>
      <c r="D329" s="59"/>
      <c r="E329" s="59"/>
      <c r="F329" s="60" t="s">
        <v>1529</v>
      </c>
      <c r="G329" s="65" t="s">
        <v>1530</v>
      </c>
      <c r="H329" s="60"/>
      <c r="I329" s="59"/>
      <c r="J329" s="31"/>
      <c r="K329" s="31"/>
    </row>
    <row r="330" ht="15.75" hidden="1" customHeight="1">
      <c r="A330" s="64">
        <v>46063.0</v>
      </c>
      <c r="B330" s="59">
        <v>18.0</v>
      </c>
      <c r="C330" s="59" t="s">
        <v>1368</v>
      </c>
      <c r="D330" s="59"/>
      <c r="E330" s="59"/>
      <c r="F330" s="60" t="s">
        <v>1531</v>
      </c>
      <c r="G330" s="60" t="s">
        <v>1532</v>
      </c>
      <c r="H330" s="60" t="s">
        <v>1533</v>
      </c>
      <c r="I330" s="59"/>
      <c r="J330" s="31"/>
      <c r="K330" s="55">
        <v>46072.0</v>
      </c>
    </row>
    <row r="331" ht="15.75" hidden="1" customHeight="1">
      <c r="A331" s="64">
        <v>46063.0</v>
      </c>
      <c r="B331" s="59">
        <v>19.0</v>
      </c>
      <c r="C331" s="59" t="s">
        <v>1368</v>
      </c>
      <c r="D331" s="59"/>
      <c r="E331" s="59"/>
      <c r="F331" s="60" t="s">
        <v>1534</v>
      </c>
      <c r="G331" s="60" t="s">
        <v>1535</v>
      </c>
      <c r="H331" s="60"/>
      <c r="I331" s="59"/>
      <c r="J331" s="31"/>
      <c r="K331" s="31"/>
    </row>
    <row r="332" ht="15.75" hidden="1" customHeight="1">
      <c r="A332" s="64">
        <v>46064.0</v>
      </c>
      <c r="B332" s="59">
        <v>20.0</v>
      </c>
      <c r="C332" s="59"/>
      <c r="D332" s="59"/>
      <c r="E332" s="59"/>
      <c r="F332" s="60" t="s">
        <v>1276</v>
      </c>
      <c r="G332" s="60"/>
      <c r="H332" s="60"/>
      <c r="I332" s="59"/>
      <c r="J332" s="31"/>
      <c r="K332" s="31"/>
    </row>
    <row r="333" ht="15.75" hidden="1" customHeight="1">
      <c r="A333" s="64">
        <v>46065.0</v>
      </c>
      <c r="B333" s="59">
        <v>21.0</v>
      </c>
      <c r="C333" s="59" t="s">
        <v>1368</v>
      </c>
      <c r="D333" s="59"/>
      <c r="E333" s="59"/>
      <c r="F333" s="60" t="s">
        <v>1536</v>
      </c>
      <c r="G333" s="60" t="s">
        <v>1537</v>
      </c>
      <c r="H333" s="60" t="s">
        <v>1538</v>
      </c>
      <c r="I333" s="59"/>
      <c r="J333" s="31"/>
      <c r="K333" s="55">
        <v>46072.0</v>
      </c>
    </row>
    <row r="334" ht="15.75" hidden="1" customHeight="1">
      <c r="A334" s="64">
        <v>46065.0</v>
      </c>
      <c r="B334" s="59">
        <v>22.0</v>
      </c>
      <c r="C334" s="59" t="s">
        <v>1368</v>
      </c>
      <c r="D334" s="59"/>
      <c r="E334" s="59"/>
      <c r="F334" s="60" t="s">
        <v>1539</v>
      </c>
      <c r="G334" s="60" t="s">
        <v>1540</v>
      </c>
      <c r="H334" s="60"/>
      <c r="I334" s="59"/>
      <c r="J334" s="31"/>
      <c r="K334" s="55"/>
    </row>
    <row r="335" ht="15.75" hidden="1" customHeight="1">
      <c r="A335" s="64">
        <v>46065.0</v>
      </c>
      <c r="B335" s="59">
        <v>23.0</v>
      </c>
      <c r="C335" s="59" t="s">
        <v>1464</v>
      </c>
      <c r="D335" s="59"/>
      <c r="E335" s="59"/>
      <c r="F335" s="60"/>
      <c r="G335" s="60" t="s">
        <v>1541</v>
      </c>
      <c r="H335" s="60"/>
      <c r="I335" s="59"/>
      <c r="J335" s="31"/>
      <c r="K335" s="55">
        <v>46066.0</v>
      </c>
    </row>
    <row r="336" ht="15.75" hidden="1" customHeight="1">
      <c r="A336" s="64">
        <v>46065.0</v>
      </c>
      <c r="B336" s="59">
        <v>24.0</v>
      </c>
      <c r="C336" s="59" t="s">
        <v>1368</v>
      </c>
      <c r="D336" s="59"/>
      <c r="E336" s="59"/>
      <c r="F336" s="60" t="s">
        <v>1542</v>
      </c>
      <c r="G336" s="60"/>
      <c r="H336" s="60"/>
      <c r="I336" s="59"/>
      <c r="J336" s="31"/>
      <c r="K336" s="55">
        <v>46065.0</v>
      </c>
    </row>
    <row r="337" ht="15.75" hidden="1" customHeight="1">
      <c r="A337" s="64">
        <v>46066.0</v>
      </c>
      <c r="B337" s="59">
        <v>25.0</v>
      </c>
      <c r="C337" s="59" t="s">
        <v>1368</v>
      </c>
      <c r="D337" s="59"/>
      <c r="E337" s="59"/>
      <c r="F337" s="60"/>
      <c r="G337" s="60" t="s">
        <v>1543</v>
      </c>
      <c r="H337" s="60" t="s">
        <v>1544</v>
      </c>
      <c r="I337" s="59"/>
      <c r="J337" s="31"/>
      <c r="K337" s="55">
        <v>46066.0</v>
      </c>
    </row>
    <row r="338" ht="15.75" hidden="1" customHeight="1">
      <c r="A338" s="64">
        <v>46066.0</v>
      </c>
      <c r="B338" s="59">
        <v>26.0</v>
      </c>
      <c r="C338" s="59" t="s">
        <v>1368</v>
      </c>
      <c r="D338" s="59"/>
      <c r="E338" s="59"/>
      <c r="F338" s="60" t="s">
        <v>1545</v>
      </c>
      <c r="G338" s="60" t="s">
        <v>1546</v>
      </c>
      <c r="H338" s="60"/>
      <c r="I338" s="59"/>
      <c r="J338" s="31"/>
      <c r="K338" s="31"/>
    </row>
    <row r="339" ht="15.75" hidden="1" customHeight="1">
      <c r="A339" s="64">
        <v>46066.0</v>
      </c>
      <c r="B339" s="59">
        <v>27.0</v>
      </c>
      <c r="C339" s="59" t="s">
        <v>1464</v>
      </c>
      <c r="D339" s="59"/>
      <c r="E339" s="59"/>
      <c r="F339" s="60"/>
      <c r="G339" s="60" t="s">
        <v>1547</v>
      </c>
      <c r="H339" s="60" t="s">
        <v>1548</v>
      </c>
      <c r="I339" s="59"/>
      <c r="J339" s="31"/>
      <c r="K339" s="55">
        <v>46066.0</v>
      </c>
    </row>
    <row r="340" ht="15.75" hidden="1" customHeight="1">
      <c r="A340" s="64">
        <v>46067.0</v>
      </c>
      <c r="B340" s="59">
        <v>28.0</v>
      </c>
      <c r="C340" s="59"/>
      <c r="D340" s="59"/>
      <c r="E340" s="59"/>
      <c r="F340" s="60" t="s">
        <v>1276</v>
      </c>
      <c r="G340" s="60"/>
      <c r="H340" s="60"/>
      <c r="I340" s="59"/>
      <c r="J340" s="31"/>
      <c r="K340" s="31"/>
    </row>
    <row r="341" ht="15.75" hidden="1" customHeight="1">
      <c r="A341" s="64">
        <v>46068.0</v>
      </c>
      <c r="B341" s="59">
        <v>29.0</v>
      </c>
      <c r="C341" s="59"/>
      <c r="D341" s="59"/>
      <c r="E341" s="59"/>
      <c r="F341" s="60" t="s">
        <v>1276</v>
      </c>
      <c r="G341" s="60"/>
      <c r="H341" s="60"/>
      <c r="I341" s="59"/>
      <c r="J341" s="31"/>
      <c r="K341" s="31"/>
    </row>
    <row r="342" ht="15.75" hidden="1" customHeight="1">
      <c r="A342" s="64">
        <v>46069.0</v>
      </c>
      <c r="B342" s="59">
        <v>30.0</v>
      </c>
      <c r="C342" s="59" t="s">
        <v>1518</v>
      </c>
      <c r="D342" s="59"/>
      <c r="E342" s="59"/>
      <c r="F342" s="60" t="s">
        <v>1549</v>
      </c>
      <c r="G342" s="60" t="s">
        <v>1550</v>
      </c>
      <c r="H342" s="60"/>
      <c r="I342" s="59"/>
      <c r="J342" s="31"/>
      <c r="K342" s="55">
        <v>46078.0</v>
      </c>
    </row>
    <row r="343" ht="15.75" hidden="1" customHeight="1">
      <c r="A343" s="64">
        <v>46069.0</v>
      </c>
      <c r="B343" s="59">
        <v>31.0</v>
      </c>
      <c r="C343" s="59" t="s">
        <v>1518</v>
      </c>
      <c r="D343" s="59"/>
      <c r="E343" s="59"/>
      <c r="F343" s="60" t="s">
        <v>1551</v>
      </c>
      <c r="G343" s="60" t="s">
        <v>1552</v>
      </c>
      <c r="H343" s="60"/>
      <c r="I343" s="59"/>
      <c r="J343" s="31"/>
      <c r="K343" s="31"/>
    </row>
    <row r="344" ht="15.75" hidden="1" customHeight="1">
      <c r="A344" s="64">
        <v>46069.0</v>
      </c>
      <c r="B344" s="59">
        <v>32.0</v>
      </c>
      <c r="C344" s="59" t="s">
        <v>1368</v>
      </c>
      <c r="D344" s="59"/>
      <c r="E344" s="59"/>
      <c r="F344" s="60" t="s">
        <v>1553</v>
      </c>
      <c r="G344" s="60" t="s">
        <v>1554</v>
      </c>
      <c r="H344" s="60" t="s">
        <v>1555</v>
      </c>
      <c r="I344" s="59"/>
      <c r="J344" s="31"/>
      <c r="K344" s="31"/>
    </row>
    <row r="345" ht="15.75" hidden="1" customHeight="1">
      <c r="A345" s="64">
        <v>46070.0</v>
      </c>
      <c r="B345" s="59">
        <v>33.0</v>
      </c>
      <c r="C345" s="59"/>
      <c r="D345" s="59"/>
      <c r="E345" s="59"/>
      <c r="F345" s="60" t="s">
        <v>1276</v>
      </c>
      <c r="G345" s="60"/>
      <c r="H345" s="60"/>
      <c r="I345" s="59"/>
      <c r="J345" s="31"/>
      <c r="K345" s="55"/>
    </row>
    <row r="346" ht="15.75" hidden="1" customHeight="1">
      <c r="A346" s="64">
        <v>46071.0</v>
      </c>
      <c r="B346" s="59">
        <v>34.0</v>
      </c>
      <c r="C346" s="59" t="s">
        <v>1368</v>
      </c>
      <c r="D346" s="59"/>
      <c r="E346" s="59"/>
      <c r="F346" s="60"/>
      <c r="G346" s="60" t="s">
        <v>1556</v>
      </c>
      <c r="H346" s="60" t="s">
        <v>1557</v>
      </c>
      <c r="I346" s="59"/>
      <c r="J346" s="31"/>
      <c r="K346" s="55"/>
    </row>
    <row r="347" ht="15.75" hidden="1" customHeight="1">
      <c r="A347" s="64">
        <v>46071.0</v>
      </c>
      <c r="B347" s="59">
        <v>35.0</v>
      </c>
      <c r="C347" s="59" t="s">
        <v>1368</v>
      </c>
      <c r="D347" s="59"/>
      <c r="E347" s="59"/>
      <c r="F347" s="60"/>
      <c r="G347" s="60" t="s">
        <v>1558</v>
      </c>
      <c r="H347" s="60"/>
      <c r="I347" s="59"/>
      <c r="J347" s="31"/>
      <c r="K347" s="55">
        <v>46071.0</v>
      </c>
    </row>
    <row r="348" ht="15.75" hidden="1" customHeight="1">
      <c r="A348" s="64">
        <v>46071.0</v>
      </c>
      <c r="B348" s="59">
        <v>36.0</v>
      </c>
      <c r="C348" s="59" t="s">
        <v>1368</v>
      </c>
      <c r="D348" s="59"/>
      <c r="E348" s="59"/>
      <c r="F348" s="60"/>
      <c r="G348" s="60" t="s">
        <v>1559</v>
      </c>
      <c r="H348" s="60" t="s">
        <v>1560</v>
      </c>
      <c r="I348" s="59"/>
      <c r="J348" s="31"/>
      <c r="K348" s="55">
        <v>46071.0</v>
      </c>
    </row>
    <row r="349" ht="15.75" hidden="1" customHeight="1">
      <c r="A349" s="64">
        <v>46072.0</v>
      </c>
      <c r="B349" s="59">
        <v>37.0</v>
      </c>
      <c r="C349" s="59" t="s">
        <v>1368</v>
      </c>
      <c r="D349" s="59"/>
      <c r="E349" s="59" t="s">
        <v>1561</v>
      </c>
      <c r="F349" s="60" t="s">
        <v>1562</v>
      </c>
      <c r="G349" s="60"/>
      <c r="H349" s="60"/>
      <c r="I349" s="59"/>
      <c r="J349" s="31"/>
      <c r="K349" s="55">
        <v>46072.0</v>
      </c>
    </row>
    <row r="350" ht="15.75" hidden="1" customHeight="1">
      <c r="A350" s="64">
        <v>46073.0</v>
      </c>
      <c r="B350" s="59">
        <v>38.0</v>
      </c>
      <c r="C350" s="59"/>
      <c r="D350" s="59"/>
      <c r="E350" s="59"/>
      <c r="F350" s="60" t="s">
        <v>1276</v>
      </c>
      <c r="G350" s="60"/>
      <c r="H350" s="60"/>
      <c r="I350" s="59"/>
      <c r="J350" s="31"/>
      <c r="K350" s="31"/>
    </row>
    <row r="351" ht="15.75" hidden="1" customHeight="1">
      <c r="A351" s="64">
        <v>46074.0</v>
      </c>
      <c r="B351" s="59">
        <v>39.0</v>
      </c>
      <c r="C351" s="59"/>
      <c r="D351" s="59"/>
      <c r="E351" s="59"/>
      <c r="F351" s="60" t="s">
        <v>1276</v>
      </c>
      <c r="G351" s="60"/>
      <c r="H351" s="60"/>
      <c r="I351" s="59"/>
      <c r="J351" s="31"/>
      <c r="K351" s="31"/>
    </row>
    <row r="352" ht="15.75" hidden="1" customHeight="1">
      <c r="A352" s="64">
        <v>49728.0</v>
      </c>
      <c r="B352" s="59">
        <v>40.0</v>
      </c>
      <c r="C352" s="59" t="s">
        <v>1352</v>
      </c>
      <c r="D352" s="59"/>
      <c r="E352" s="59" t="s">
        <v>1563</v>
      </c>
      <c r="F352" s="60" t="s">
        <v>1564</v>
      </c>
      <c r="G352" s="60" t="s">
        <v>1565</v>
      </c>
      <c r="H352" s="60"/>
      <c r="I352" s="59"/>
      <c r="J352" s="31"/>
      <c r="K352" s="31"/>
    </row>
    <row r="353" ht="15.75" hidden="1" customHeight="1">
      <c r="A353" s="58">
        <v>46077.0</v>
      </c>
      <c r="B353" s="59">
        <v>41.0</v>
      </c>
      <c r="C353" s="59" t="s">
        <v>1518</v>
      </c>
      <c r="D353" s="59"/>
      <c r="E353" s="59" t="s">
        <v>1566</v>
      </c>
      <c r="F353" s="60" t="s">
        <v>1567</v>
      </c>
      <c r="G353" s="60" t="s">
        <v>551</v>
      </c>
      <c r="H353" s="60"/>
      <c r="I353" s="59"/>
      <c r="J353" s="31"/>
      <c r="K353" s="55">
        <v>46078.0</v>
      </c>
    </row>
    <row r="354" ht="15.75" hidden="1" customHeight="1">
      <c r="A354" s="58">
        <v>46077.0</v>
      </c>
      <c r="B354" s="59">
        <v>42.0</v>
      </c>
      <c r="C354" s="59" t="s">
        <v>1518</v>
      </c>
      <c r="D354" s="59"/>
      <c r="E354" s="59" t="s">
        <v>1042</v>
      </c>
      <c r="F354" s="60" t="s">
        <v>1568</v>
      </c>
      <c r="G354" s="60" t="s">
        <v>1569</v>
      </c>
      <c r="H354" s="60"/>
      <c r="I354" s="59"/>
      <c r="J354" s="31"/>
      <c r="K354" s="55">
        <v>46091.0</v>
      </c>
    </row>
    <row r="355" ht="15.75" hidden="1" customHeight="1">
      <c r="A355" s="58">
        <v>46077.0</v>
      </c>
      <c r="B355" s="59">
        <v>43.0</v>
      </c>
      <c r="C355" s="59" t="s">
        <v>1518</v>
      </c>
      <c r="D355" s="59"/>
      <c r="E355" s="59"/>
      <c r="F355" s="60" t="s">
        <v>1570</v>
      </c>
      <c r="G355" s="60" t="s">
        <v>1571</v>
      </c>
      <c r="H355" s="60"/>
      <c r="I355" s="59"/>
      <c r="J355" s="31"/>
      <c r="K355" s="55">
        <v>46078.0</v>
      </c>
    </row>
    <row r="356" ht="15.75" hidden="1" customHeight="1">
      <c r="A356" s="64">
        <v>46078.0</v>
      </c>
      <c r="B356" s="59">
        <v>44.0</v>
      </c>
      <c r="C356" s="59" t="s">
        <v>1274</v>
      </c>
      <c r="D356" s="59"/>
      <c r="E356" s="59"/>
      <c r="F356" s="60" t="s">
        <v>1572</v>
      </c>
      <c r="G356" s="60"/>
      <c r="H356" s="60"/>
      <c r="I356" s="59"/>
      <c r="J356" s="31"/>
      <c r="K356" s="31"/>
    </row>
    <row r="357" ht="15.75" hidden="1" customHeight="1">
      <c r="A357" s="64">
        <v>46078.0</v>
      </c>
      <c r="B357" s="59">
        <v>45.0</v>
      </c>
      <c r="C357" s="59" t="s">
        <v>1274</v>
      </c>
      <c r="D357" s="59"/>
      <c r="E357" s="59"/>
      <c r="F357" s="60" t="s">
        <v>1573</v>
      </c>
      <c r="G357" s="60"/>
      <c r="H357" s="60"/>
      <c r="I357" s="59"/>
      <c r="J357" s="31"/>
      <c r="K357" s="31"/>
    </row>
    <row r="358" ht="15.75" hidden="1" customHeight="1">
      <c r="A358" s="64">
        <v>46079.0</v>
      </c>
      <c r="B358" s="59">
        <v>46.0</v>
      </c>
      <c r="C358" s="59" t="s">
        <v>1464</v>
      </c>
      <c r="D358" s="59"/>
      <c r="E358" s="59"/>
      <c r="F358" s="60" t="s">
        <v>1574</v>
      </c>
      <c r="G358" s="60" t="s">
        <v>1575</v>
      </c>
      <c r="H358" s="60" t="s">
        <v>1576</v>
      </c>
      <c r="I358" s="59"/>
      <c r="J358" s="31"/>
      <c r="K358" s="55">
        <v>46081.0</v>
      </c>
    </row>
    <row r="359" ht="15.75" hidden="1" customHeight="1">
      <c r="A359" s="64">
        <v>46080.0</v>
      </c>
      <c r="B359" s="59">
        <v>47.0</v>
      </c>
      <c r="C359" s="59" t="s">
        <v>1352</v>
      </c>
      <c r="D359" s="59"/>
      <c r="E359" s="59"/>
      <c r="F359" s="60" t="s">
        <v>1577</v>
      </c>
      <c r="G359" s="60" t="s">
        <v>1578</v>
      </c>
      <c r="H359" s="60" t="s">
        <v>1579</v>
      </c>
      <c r="I359" s="59"/>
      <c r="J359" s="31"/>
      <c r="K359" s="55">
        <v>46086.0</v>
      </c>
    </row>
    <row r="360" ht="15.75" hidden="1" customHeight="1">
      <c r="A360" s="64">
        <v>46081.0</v>
      </c>
      <c r="B360" s="59">
        <v>48.0</v>
      </c>
      <c r="C360" s="59"/>
      <c r="D360" s="59"/>
      <c r="E360" s="59"/>
      <c r="F360" s="60" t="s">
        <v>1276</v>
      </c>
      <c r="G360" s="60"/>
      <c r="H360" s="60"/>
      <c r="I360" s="59"/>
      <c r="J360" s="31"/>
      <c r="K360" s="31"/>
    </row>
    <row r="361" ht="15.75" hidden="1" customHeight="1">
      <c r="A361" s="64">
        <v>46083.0</v>
      </c>
      <c r="B361" s="59">
        <v>1.0</v>
      </c>
      <c r="C361" s="59" t="s">
        <v>1246</v>
      </c>
      <c r="D361" s="59"/>
      <c r="E361" s="59"/>
      <c r="F361" s="60"/>
      <c r="G361" s="60" t="s">
        <v>1580</v>
      </c>
      <c r="H361" s="60" t="s">
        <v>1581</v>
      </c>
      <c r="I361" s="59"/>
      <c r="J361" s="31"/>
      <c r="K361" s="55">
        <v>46086.0</v>
      </c>
    </row>
    <row r="362" ht="15.75" hidden="1" customHeight="1">
      <c r="A362" s="64">
        <v>46083.0</v>
      </c>
      <c r="B362" s="59">
        <v>2.0</v>
      </c>
      <c r="C362" s="59" t="s">
        <v>1329</v>
      </c>
      <c r="D362" s="59" t="s">
        <v>849</v>
      </c>
      <c r="E362" s="59"/>
      <c r="F362" s="60" t="s">
        <v>1582</v>
      </c>
      <c r="G362" s="60"/>
      <c r="H362" s="60"/>
      <c r="I362" s="59"/>
      <c r="J362" s="31"/>
      <c r="K362" s="31"/>
    </row>
    <row r="363" ht="15.75" hidden="1" customHeight="1">
      <c r="A363" s="64">
        <v>46083.0</v>
      </c>
      <c r="B363" s="59">
        <v>3.0</v>
      </c>
      <c r="C363" s="59" t="s">
        <v>1246</v>
      </c>
      <c r="D363" s="59"/>
      <c r="E363" s="59"/>
      <c r="F363" s="59"/>
      <c r="G363" s="60" t="s">
        <v>1583</v>
      </c>
      <c r="H363" s="60" t="s">
        <v>1584</v>
      </c>
      <c r="I363" s="59"/>
      <c r="J363" s="31"/>
      <c r="K363" s="55">
        <v>46085.0</v>
      </c>
    </row>
    <row r="364" ht="15.75" hidden="1" customHeight="1">
      <c r="A364" s="64">
        <v>46083.0</v>
      </c>
      <c r="B364" s="59">
        <v>4.0</v>
      </c>
      <c r="C364" s="59" t="s">
        <v>1246</v>
      </c>
      <c r="D364" s="59"/>
      <c r="E364" s="59"/>
      <c r="F364" s="60" t="s">
        <v>1585</v>
      </c>
      <c r="G364" s="60"/>
      <c r="H364" s="60"/>
      <c r="I364" s="59"/>
      <c r="J364" s="31"/>
      <c r="K364" s="31"/>
    </row>
    <row r="365" ht="15.75" hidden="1" customHeight="1">
      <c r="A365" s="64">
        <v>46084.0</v>
      </c>
      <c r="B365" s="59">
        <v>5.0</v>
      </c>
      <c r="C365" s="59" t="s">
        <v>1414</v>
      </c>
      <c r="D365" s="59"/>
      <c r="E365" s="60"/>
      <c r="F365" s="60"/>
      <c r="G365" s="60" t="s">
        <v>1586</v>
      </c>
      <c r="H365" s="60" t="s">
        <v>1587</v>
      </c>
      <c r="I365" s="59"/>
      <c r="J365" s="31"/>
      <c r="K365" s="55">
        <v>46086.0</v>
      </c>
    </row>
    <row r="366" ht="15.75" hidden="1" customHeight="1">
      <c r="A366" s="64">
        <v>46085.0</v>
      </c>
      <c r="B366" s="59"/>
      <c r="C366" s="59"/>
      <c r="D366" s="59"/>
      <c r="E366" s="60"/>
      <c r="F366" s="60" t="s">
        <v>1276</v>
      </c>
      <c r="G366" s="60"/>
      <c r="H366" s="60"/>
      <c r="I366" s="59"/>
      <c r="J366" s="31"/>
      <c r="K366" s="31"/>
    </row>
    <row r="367" ht="15.75" hidden="1" customHeight="1">
      <c r="A367" s="64">
        <v>46086.0</v>
      </c>
      <c r="B367" s="59"/>
      <c r="C367" s="59"/>
      <c r="D367" s="59"/>
      <c r="E367" s="59"/>
      <c r="F367" s="60" t="s">
        <v>1276</v>
      </c>
      <c r="G367" s="60"/>
      <c r="H367" s="60"/>
      <c r="I367" s="59"/>
      <c r="J367" s="31"/>
      <c r="K367" s="31"/>
    </row>
    <row r="368" ht="15.75" hidden="1" customHeight="1">
      <c r="A368" s="64">
        <v>46087.0</v>
      </c>
      <c r="B368" s="59">
        <v>6.0</v>
      </c>
      <c r="C368" s="59" t="s">
        <v>1274</v>
      </c>
      <c r="D368" s="59"/>
      <c r="E368" s="59"/>
      <c r="F368" s="60" t="s">
        <v>1588</v>
      </c>
      <c r="G368" s="60" t="s">
        <v>1589</v>
      </c>
      <c r="H368" s="60"/>
      <c r="I368" s="59"/>
      <c r="J368" s="31"/>
      <c r="K368" s="55">
        <v>46087.0</v>
      </c>
    </row>
    <row r="369" ht="15.75" hidden="1" customHeight="1">
      <c r="A369" s="64">
        <v>46087.0</v>
      </c>
      <c r="B369" s="59">
        <v>7.0</v>
      </c>
      <c r="C369" s="59" t="s">
        <v>1590</v>
      </c>
      <c r="D369" s="59"/>
      <c r="E369" s="59"/>
      <c r="F369" s="60"/>
      <c r="G369" s="60" t="s">
        <v>1591</v>
      </c>
      <c r="H369" s="60" t="s">
        <v>1592</v>
      </c>
      <c r="I369" s="59"/>
      <c r="J369" s="31"/>
      <c r="K369" s="55">
        <v>46087.0</v>
      </c>
    </row>
    <row r="370" ht="15.75" hidden="1" customHeight="1">
      <c r="A370" s="64">
        <v>46090.0</v>
      </c>
      <c r="B370" s="59">
        <v>8.0</v>
      </c>
      <c r="C370" s="59" t="s">
        <v>1590</v>
      </c>
      <c r="D370" s="59"/>
      <c r="E370" s="59"/>
      <c r="F370" s="60" t="s">
        <v>1593</v>
      </c>
      <c r="G370" s="60"/>
      <c r="H370" s="60"/>
      <c r="I370" s="59"/>
      <c r="J370" s="31"/>
      <c r="K370" s="55">
        <v>46090.0</v>
      </c>
    </row>
    <row r="371" ht="15.75" hidden="1" customHeight="1">
      <c r="A371" s="64">
        <v>46090.0</v>
      </c>
      <c r="B371" s="59">
        <v>9.0</v>
      </c>
      <c r="C371" s="59" t="s">
        <v>1518</v>
      </c>
      <c r="D371" s="59"/>
      <c r="E371" s="59"/>
      <c r="F371" s="60" t="s">
        <v>1594</v>
      </c>
      <c r="G371" s="60" t="s">
        <v>1595</v>
      </c>
      <c r="H371" s="60"/>
      <c r="I371" s="59"/>
      <c r="J371" s="31"/>
      <c r="K371" s="55">
        <v>46090.0</v>
      </c>
    </row>
    <row r="372" ht="15.75" hidden="1" customHeight="1">
      <c r="A372" s="64">
        <v>46090.0</v>
      </c>
      <c r="B372" s="59">
        <v>10.0</v>
      </c>
      <c r="C372" s="59" t="s">
        <v>1590</v>
      </c>
      <c r="D372" s="59"/>
      <c r="E372" s="59"/>
      <c r="F372" s="60" t="s">
        <v>1596</v>
      </c>
      <c r="G372" s="60" t="s">
        <v>1597</v>
      </c>
      <c r="H372" s="60"/>
      <c r="I372" s="59"/>
      <c r="J372" s="31"/>
      <c r="K372" s="55">
        <v>46091.0</v>
      </c>
    </row>
    <row r="373" ht="15.75" hidden="1" customHeight="1">
      <c r="A373" s="64">
        <v>46091.0</v>
      </c>
      <c r="B373" s="59">
        <v>11.0</v>
      </c>
      <c r="C373" s="59" t="s">
        <v>1518</v>
      </c>
      <c r="D373" s="59"/>
      <c r="E373" s="59"/>
      <c r="F373" s="60"/>
      <c r="G373" s="60" t="s">
        <v>1598</v>
      </c>
      <c r="H373" s="60"/>
      <c r="I373" s="59"/>
      <c r="J373" s="31"/>
      <c r="K373" s="31"/>
    </row>
    <row r="374" ht="15.75" hidden="1" customHeight="1">
      <c r="A374" s="64">
        <v>46091.0</v>
      </c>
      <c r="B374" s="59">
        <v>12.0</v>
      </c>
      <c r="C374" s="59" t="s">
        <v>1590</v>
      </c>
      <c r="D374" s="59"/>
      <c r="E374" s="59"/>
      <c r="F374" s="60"/>
      <c r="G374" s="60" t="s">
        <v>1599</v>
      </c>
      <c r="H374" s="60" t="s">
        <v>1600</v>
      </c>
      <c r="I374" s="59"/>
      <c r="J374" s="31"/>
      <c r="K374" s="55">
        <v>46092.0</v>
      </c>
    </row>
    <row r="375" ht="15.75" hidden="1" customHeight="1">
      <c r="A375" s="64">
        <v>46092.0</v>
      </c>
      <c r="B375" s="59"/>
      <c r="C375" s="59"/>
      <c r="D375" s="59"/>
      <c r="E375" s="59"/>
      <c r="F375" s="60" t="s">
        <v>1276</v>
      </c>
      <c r="G375" s="60"/>
      <c r="H375" s="60"/>
      <c r="I375" s="59"/>
      <c r="J375" s="31"/>
      <c r="K375" s="31"/>
    </row>
    <row r="376" ht="15.75" hidden="1" customHeight="1">
      <c r="A376" s="64">
        <v>46093.0</v>
      </c>
      <c r="B376" s="59"/>
      <c r="C376" s="59"/>
      <c r="D376" s="59"/>
      <c r="E376" s="59"/>
      <c r="F376" s="60" t="s">
        <v>1276</v>
      </c>
      <c r="G376" s="60"/>
      <c r="H376" s="60"/>
      <c r="I376" s="59"/>
      <c r="J376" s="31"/>
      <c r="K376" s="31"/>
    </row>
    <row r="377" ht="15.75" hidden="1" customHeight="1">
      <c r="A377" s="64">
        <v>46094.0</v>
      </c>
      <c r="B377" s="59">
        <v>13.0</v>
      </c>
      <c r="C377" s="59" t="s">
        <v>1274</v>
      </c>
      <c r="D377" s="59"/>
      <c r="E377" s="59"/>
      <c r="F377" s="60"/>
      <c r="G377" s="60" t="s">
        <v>1601</v>
      </c>
      <c r="H377" s="60" t="s">
        <v>1602</v>
      </c>
      <c r="I377" s="59"/>
      <c r="J377" s="31"/>
      <c r="K377" s="31"/>
    </row>
    <row r="378" ht="15.75" hidden="1" customHeight="1">
      <c r="A378" s="64">
        <v>46094.0</v>
      </c>
      <c r="B378" s="59">
        <v>14.0</v>
      </c>
      <c r="C378" s="59" t="s">
        <v>1274</v>
      </c>
      <c r="D378" s="59"/>
      <c r="E378" s="59"/>
      <c r="F378" s="60"/>
      <c r="G378" s="60" t="s">
        <v>1603</v>
      </c>
      <c r="H378" s="60" t="s">
        <v>1604</v>
      </c>
      <c r="I378" s="59"/>
      <c r="J378" s="31"/>
      <c r="K378" s="55">
        <v>46094.0</v>
      </c>
    </row>
    <row r="379" ht="15.75" hidden="1" customHeight="1">
      <c r="A379" s="64">
        <v>46094.0</v>
      </c>
      <c r="B379" s="59">
        <v>15.0</v>
      </c>
      <c r="C379" s="59" t="s">
        <v>1274</v>
      </c>
      <c r="D379" s="59"/>
      <c r="E379" s="59"/>
      <c r="F379" s="60"/>
      <c r="G379" s="60" t="s">
        <v>1605</v>
      </c>
      <c r="H379" s="60"/>
      <c r="I379" s="59"/>
      <c r="J379" s="31"/>
      <c r="K379" s="55">
        <v>46094.0</v>
      </c>
    </row>
    <row r="380" ht="15.75" hidden="1" customHeight="1">
      <c r="A380" s="64">
        <v>46094.0</v>
      </c>
      <c r="B380" s="59">
        <v>16.0</v>
      </c>
      <c r="C380" s="59" t="s">
        <v>1274</v>
      </c>
      <c r="D380" s="59"/>
      <c r="E380" s="59"/>
      <c r="F380" s="60"/>
      <c r="G380" s="60" t="s">
        <v>1606</v>
      </c>
      <c r="H380" s="60"/>
      <c r="I380" s="59"/>
      <c r="J380" s="31"/>
      <c r="K380" s="55">
        <v>46094.0</v>
      </c>
    </row>
    <row r="381" ht="15.75" hidden="1" customHeight="1">
      <c r="A381" s="64">
        <v>46094.0</v>
      </c>
      <c r="B381" s="59">
        <v>17.0</v>
      </c>
      <c r="C381" s="59" t="s">
        <v>1274</v>
      </c>
      <c r="D381" s="59"/>
      <c r="E381" s="59"/>
      <c r="F381" s="60"/>
      <c r="G381" s="60" t="s">
        <v>1607</v>
      </c>
      <c r="H381" s="60"/>
      <c r="I381" s="59"/>
      <c r="J381" s="31"/>
      <c r="K381" s="55">
        <v>46094.0</v>
      </c>
    </row>
    <row r="382" ht="15.75" hidden="1" customHeight="1">
      <c r="A382" s="64">
        <v>46094.0</v>
      </c>
      <c r="B382" s="59">
        <v>18.0</v>
      </c>
      <c r="C382" s="59" t="s">
        <v>1608</v>
      </c>
      <c r="D382" s="59"/>
      <c r="E382" s="59"/>
      <c r="F382" s="60" t="s">
        <v>1609</v>
      </c>
      <c r="G382" s="60" t="s">
        <v>1610</v>
      </c>
      <c r="H382" s="60"/>
      <c r="I382" s="59"/>
      <c r="J382" s="31"/>
      <c r="K382" s="55">
        <v>46094.0</v>
      </c>
    </row>
    <row r="383" ht="15.75" hidden="1" customHeight="1">
      <c r="A383" s="64">
        <v>46094.0</v>
      </c>
      <c r="B383" s="59">
        <v>19.0</v>
      </c>
      <c r="C383" s="59" t="s">
        <v>1608</v>
      </c>
      <c r="D383" s="59"/>
      <c r="E383" s="59"/>
      <c r="F383" s="60"/>
      <c r="G383" s="60" t="s">
        <v>1611</v>
      </c>
      <c r="H383" s="60" t="s">
        <v>1612</v>
      </c>
      <c r="I383" s="59"/>
      <c r="J383" s="31"/>
      <c r="K383" s="31"/>
    </row>
    <row r="384" ht="15.75" hidden="1" customHeight="1">
      <c r="A384" s="64">
        <v>46094.0</v>
      </c>
      <c r="B384" s="59">
        <v>20.0</v>
      </c>
      <c r="C384" s="59" t="s">
        <v>1274</v>
      </c>
      <c r="D384" s="59"/>
      <c r="E384" s="59"/>
      <c r="F384" s="60" t="s">
        <v>1613</v>
      </c>
      <c r="G384" s="60" t="s">
        <v>1614</v>
      </c>
      <c r="H384" s="60" t="s">
        <v>1615</v>
      </c>
      <c r="I384" s="59"/>
      <c r="J384" s="31"/>
      <c r="K384" s="66">
        <v>46101.0</v>
      </c>
    </row>
    <row r="385" ht="15.75" hidden="1" customHeight="1">
      <c r="A385" s="64">
        <v>46095.0</v>
      </c>
      <c r="B385" s="59"/>
      <c r="C385" s="59"/>
      <c r="D385" s="59"/>
      <c r="E385" s="59"/>
      <c r="F385" s="60" t="s">
        <v>1276</v>
      </c>
      <c r="G385" s="60"/>
      <c r="H385" s="60"/>
      <c r="I385" s="59"/>
      <c r="J385" s="31"/>
      <c r="K385" s="31"/>
    </row>
    <row r="386" ht="15.75" hidden="1" customHeight="1">
      <c r="A386" s="64">
        <v>46097.0</v>
      </c>
      <c r="B386" s="59">
        <v>21.0</v>
      </c>
      <c r="C386" s="59" t="s">
        <v>1464</v>
      </c>
      <c r="D386" s="59"/>
      <c r="E386" s="59"/>
      <c r="F386" s="60" t="s">
        <v>1616</v>
      </c>
      <c r="G386" s="60" t="s">
        <v>1617</v>
      </c>
      <c r="H386" s="60" t="s">
        <v>1618</v>
      </c>
      <c r="I386" s="59"/>
      <c r="J386" s="31"/>
      <c r="K386" s="31"/>
    </row>
    <row r="387" ht="15.75" hidden="1" customHeight="1">
      <c r="A387" s="64">
        <v>46097.0</v>
      </c>
      <c r="B387" s="59">
        <v>22.0</v>
      </c>
      <c r="C387" s="59" t="s">
        <v>1464</v>
      </c>
      <c r="D387" s="59"/>
      <c r="E387" s="59"/>
      <c r="F387" s="60" t="s">
        <v>1619</v>
      </c>
      <c r="G387" s="60" t="s">
        <v>1620</v>
      </c>
      <c r="H387" s="60" t="s">
        <v>1621</v>
      </c>
      <c r="I387" s="59"/>
      <c r="J387" s="31"/>
      <c r="K387" s="55">
        <v>46107.0</v>
      </c>
    </row>
    <row r="388" ht="15.75" hidden="1" customHeight="1">
      <c r="A388" s="64">
        <v>46098.0</v>
      </c>
      <c r="B388" s="59"/>
      <c r="C388" s="59"/>
      <c r="D388" s="59"/>
      <c r="E388" s="59"/>
      <c r="F388" s="60" t="s">
        <v>1276</v>
      </c>
      <c r="G388" s="60"/>
      <c r="H388" s="60"/>
      <c r="I388" s="59"/>
      <c r="J388" s="31"/>
      <c r="K388" s="31"/>
    </row>
    <row r="389" ht="15.75" hidden="1" customHeight="1">
      <c r="A389" s="58">
        <v>46099.0</v>
      </c>
      <c r="B389" s="59">
        <v>23.0</v>
      </c>
      <c r="C389" s="59" t="s">
        <v>1274</v>
      </c>
      <c r="D389" s="59" t="s">
        <v>849</v>
      </c>
      <c r="E389" s="59"/>
      <c r="F389" s="60" t="s">
        <v>1622</v>
      </c>
      <c r="G389" s="60"/>
      <c r="H389" s="60"/>
      <c r="I389" s="59"/>
      <c r="J389" s="31"/>
      <c r="K389" s="31"/>
    </row>
    <row r="390" ht="15.75" hidden="1" customHeight="1">
      <c r="A390" s="58">
        <v>46100.0</v>
      </c>
      <c r="B390" s="59">
        <v>24.0</v>
      </c>
      <c r="C390" s="59" t="s">
        <v>1274</v>
      </c>
      <c r="D390" s="59" t="s">
        <v>849</v>
      </c>
      <c r="E390" s="59"/>
      <c r="F390" s="60" t="s">
        <v>1623</v>
      </c>
      <c r="G390" s="60" t="s">
        <v>1624</v>
      </c>
      <c r="H390" s="60" t="s">
        <v>1625</v>
      </c>
      <c r="I390" s="59"/>
      <c r="J390" s="31"/>
      <c r="K390" s="31"/>
    </row>
    <row r="391" ht="15.75" hidden="1" customHeight="1">
      <c r="A391" s="58">
        <v>46101.0</v>
      </c>
      <c r="B391" s="59">
        <v>25.0</v>
      </c>
      <c r="C391" s="59" t="s">
        <v>1423</v>
      </c>
      <c r="D391" s="59" t="s">
        <v>849</v>
      </c>
      <c r="E391" s="59"/>
      <c r="F391" s="60" t="s">
        <v>1626</v>
      </c>
      <c r="G391" s="60" t="s">
        <v>1627</v>
      </c>
      <c r="H391" s="60"/>
      <c r="I391" s="59"/>
      <c r="J391" s="31"/>
      <c r="K391" s="55">
        <v>46106.0</v>
      </c>
    </row>
    <row r="392" ht="15.75" hidden="1" customHeight="1">
      <c r="A392" s="64">
        <v>46102.0</v>
      </c>
      <c r="B392" s="59">
        <v>26.0</v>
      </c>
      <c r="C392" s="59" t="s">
        <v>1274</v>
      </c>
      <c r="D392" s="59" t="s">
        <v>849</v>
      </c>
      <c r="E392" s="59"/>
      <c r="F392" s="60" t="s">
        <v>1628</v>
      </c>
      <c r="G392" s="60" t="s">
        <v>1629</v>
      </c>
      <c r="H392" s="60" t="s">
        <v>1630</v>
      </c>
      <c r="I392" s="59"/>
      <c r="J392" s="31"/>
      <c r="K392" s="31" t="s">
        <v>551</v>
      </c>
    </row>
    <row r="393" ht="15.75" hidden="1" customHeight="1">
      <c r="A393" s="64">
        <v>46104.0</v>
      </c>
      <c r="B393" s="59">
        <v>27.0</v>
      </c>
      <c r="C393" s="59" t="s">
        <v>1423</v>
      </c>
      <c r="D393" s="59" t="s">
        <v>849</v>
      </c>
      <c r="E393" s="59" t="s">
        <v>1631</v>
      </c>
      <c r="F393" s="60" t="s">
        <v>1632</v>
      </c>
      <c r="G393" s="60" t="s">
        <v>1633</v>
      </c>
      <c r="H393" s="60"/>
      <c r="I393" s="59"/>
      <c r="J393" s="31"/>
      <c r="K393" s="55">
        <v>46106.0</v>
      </c>
    </row>
    <row r="394" ht="15.75" hidden="1" customHeight="1">
      <c r="A394" s="64">
        <v>46104.0</v>
      </c>
      <c r="B394" s="59">
        <v>28.0</v>
      </c>
      <c r="C394" s="59" t="s">
        <v>1246</v>
      </c>
      <c r="D394" s="59"/>
      <c r="E394" s="59"/>
      <c r="F394" s="60" t="s">
        <v>1634</v>
      </c>
      <c r="G394" s="60" t="s">
        <v>1635</v>
      </c>
      <c r="H394" s="60" t="s">
        <v>1636</v>
      </c>
      <c r="I394" s="59"/>
      <c r="J394" s="31"/>
      <c r="K394" s="55">
        <v>46107.0</v>
      </c>
    </row>
    <row r="395" ht="15.75" hidden="1" customHeight="1">
      <c r="A395" s="64">
        <v>46104.0</v>
      </c>
      <c r="B395" s="59">
        <v>29.0</v>
      </c>
      <c r="C395" s="59" t="s">
        <v>1423</v>
      </c>
      <c r="D395" s="59"/>
      <c r="E395" s="59"/>
      <c r="F395" s="60" t="s">
        <v>1637</v>
      </c>
      <c r="G395" s="60" t="s">
        <v>1638</v>
      </c>
      <c r="H395" s="60"/>
      <c r="I395" s="59"/>
      <c r="J395" s="31"/>
      <c r="K395" s="55">
        <v>46106.0</v>
      </c>
    </row>
    <row r="396" ht="15.75" hidden="1" customHeight="1">
      <c r="A396" s="64">
        <v>46104.0</v>
      </c>
      <c r="B396" s="59">
        <v>30.0</v>
      </c>
      <c r="C396" s="59" t="s">
        <v>1246</v>
      </c>
      <c r="D396" s="59"/>
      <c r="E396" s="59"/>
      <c r="F396" s="60" t="s">
        <v>1639</v>
      </c>
      <c r="G396" s="60" t="s">
        <v>1640</v>
      </c>
      <c r="H396" s="60"/>
      <c r="I396" s="59"/>
      <c r="J396" s="31"/>
      <c r="K396" s="55">
        <v>46107.0</v>
      </c>
    </row>
    <row r="397" ht="15.75" hidden="1" customHeight="1">
      <c r="A397" s="64">
        <v>46105.0</v>
      </c>
      <c r="B397" s="59"/>
      <c r="C397" s="59"/>
      <c r="D397" s="59"/>
      <c r="E397" s="59"/>
      <c r="F397" s="60" t="s">
        <v>1276</v>
      </c>
      <c r="G397" s="60"/>
      <c r="H397" s="60"/>
      <c r="I397" s="59"/>
      <c r="J397" s="31"/>
      <c r="K397" s="31"/>
    </row>
    <row r="398" ht="15.75" hidden="1" customHeight="1">
      <c r="A398" s="64">
        <v>46106.0</v>
      </c>
      <c r="B398" s="59"/>
      <c r="C398" s="59"/>
      <c r="D398" s="59"/>
      <c r="E398" s="59"/>
      <c r="F398" s="60" t="s">
        <v>1276</v>
      </c>
      <c r="G398" s="60"/>
      <c r="H398" s="60"/>
      <c r="I398" s="59"/>
      <c r="J398" s="31"/>
      <c r="K398" s="31"/>
    </row>
    <row r="399" ht="15.75" hidden="1" customHeight="1">
      <c r="A399" s="64">
        <v>46107.0</v>
      </c>
      <c r="B399" s="59"/>
      <c r="C399" s="59"/>
      <c r="D399" s="59"/>
      <c r="E399" s="59"/>
      <c r="F399" s="60" t="s">
        <v>1276</v>
      </c>
      <c r="G399" s="60"/>
      <c r="H399" s="60"/>
      <c r="I399" s="59"/>
      <c r="J399" s="31"/>
      <c r="K399" s="31"/>
    </row>
    <row r="400" ht="15.75" hidden="1" customHeight="1">
      <c r="A400" s="64">
        <v>46108.0</v>
      </c>
      <c r="B400" s="59"/>
      <c r="C400" s="59"/>
      <c r="D400" s="59"/>
      <c r="E400" s="59"/>
      <c r="F400" s="60" t="s">
        <v>1276</v>
      </c>
      <c r="G400" s="60"/>
      <c r="H400" s="60"/>
      <c r="I400" s="59"/>
      <c r="J400" s="31"/>
      <c r="K400" s="31"/>
    </row>
    <row r="401" ht="15.75" hidden="1" customHeight="1">
      <c r="A401" s="64">
        <v>46109.0</v>
      </c>
      <c r="B401" s="59"/>
      <c r="C401" s="59"/>
      <c r="D401" s="59"/>
      <c r="E401" s="59"/>
      <c r="F401" s="60" t="s">
        <v>1276</v>
      </c>
      <c r="G401" s="60"/>
      <c r="H401" s="60"/>
      <c r="I401" s="59"/>
      <c r="J401" s="31"/>
      <c r="K401" s="31"/>
    </row>
    <row r="402" ht="15.75" hidden="1" customHeight="1">
      <c r="A402" s="64">
        <v>46111.0</v>
      </c>
      <c r="B402" s="59"/>
      <c r="C402" s="59"/>
      <c r="D402" s="59"/>
      <c r="E402" s="59"/>
      <c r="F402" s="60" t="s">
        <v>1276</v>
      </c>
      <c r="G402" s="60"/>
      <c r="H402" s="60"/>
      <c r="I402" s="59"/>
      <c r="J402" s="31"/>
      <c r="K402" s="31"/>
    </row>
    <row r="403" ht="15.75" hidden="1" customHeight="1">
      <c r="A403" s="64">
        <v>46112.0</v>
      </c>
      <c r="B403" s="59"/>
      <c r="C403" s="59"/>
      <c r="D403" s="59"/>
      <c r="E403" s="59"/>
      <c r="F403" s="60" t="s">
        <v>1276</v>
      </c>
      <c r="G403" s="60"/>
      <c r="H403" s="60"/>
      <c r="I403" s="59"/>
      <c r="J403" s="31"/>
      <c r="K403" s="31"/>
    </row>
    <row r="404" ht="15.75" customHeight="1">
      <c r="A404" s="59"/>
      <c r="B404" s="59"/>
      <c r="C404" s="59"/>
      <c r="D404" s="59"/>
      <c r="E404" s="59"/>
      <c r="F404" s="60"/>
      <c r="G404" s="60"/>
      <c r="H404" s="60"/>
      <c r="I404" s="59"/>
      <c r="J404" s="31"/>
      <c r="K404" s="31"/>
    </row>
    <row r="405" ht="15.75" customHeight="1">
      <c r="A405" s="64">
        <v>46113.0</v>
      </c>
      <c r="B405" s="59">
        <v>1.0</v>
      </c>
      <c r="C405" s="59" t="s">
        <v>1274</v>
      </c>
      <c r="D405" s="59"/>
      <c r="E405" s="59"/>
      <c r="F405" s="60" t="s">
        <v>1641</v>
      </c>
      <c r="G405" s="60" t="s">
        <v>1642</v>
      </c>
      <c r="H405" s="60" t="s">
        <v>1643</v>
      </c>
      <c r="I405" s="59"/>
      <c r="J405" s="31"/>
      <c r="K405" s="62">
        <v>46116.0</v>
      </c>
    </row>
    <row r="406" ht="15.75" customHeight="1">
      <c r="A406" s="64">
        <v>46114.0</v>
      </c>
      <c r="B406" s="59">
        <v>2.0</v>
      </c>
      <c r="C406" s="59" t="s">
        <v>1644</v>
      </c>
      <c r="D406" s="59"/>
      <c r="E406" s="59"/>
      <c r="F406" s="60" t="s">
        <v>1645</v>
      </c>
      <c r="G406" s="60" t="s">
        <v>1646</v>
      </c>
      <c r="H406" s="60"/>
      <c r="I406" s="59"/>
      <c r="J406" s="31"/>
      <c r="K406" s="55">
        <v>46118.0</v>
      </c>
    </row>
    <row r="407" ht="15.75" customHeight="1">
      <c r="A407" s="64">
        <v>46114.0</v>
      </c>
      <c r="B407" s="59">
        <v>3.0</v>
      </c>
      <c r="C407" s="59" t="s">
        <v>1644</v>
      </c>
      <c r="D407" s="59"/>
      <c r="E407" s="59"/>
      <c r="F407" s="60" t="s">
        <v>1647</v>
      </c>
      <c r="G407" s="60" t="s">
        <v>1648</v>
      </c>
      <c r="H407" s="60" t="s">
        <v>1649</v>
      </c>
      <c r="I407" s="59"/>
      <c r="J407" s="31"/>
      <c r="K407" s="55">
        <v>46120.0</v>
      </c>
    </row>
    <row r="408" ht="15.75" customHeight="1">
      <c r="A408" s="64">
        <v>46114.0</v>
      </c>
      <c r="B408" s="59">
        <v>4.0</v>
      </c>
      <c r="C408" s="59" t="s">
        <v>1274</v>
      </c>
      <c r="D408" s="59"/>
      <c r="E408" s="59"/>
      <c r="F408" s="60" t="s">
        <v>1650</v>
      </c>
      <c r="G408" s="60"/>
      <c r="H408" s="60"/>
      <c r="I408" s="59"/>
      <c r="J408" s="31"/>
      <c r="K408" s="62">
        <v>46116.0</v>
      </c>
    </row>
    <row r="409" ht="15.75" customHeight="1">
      <c r="A409" s="63">
        <v>46115.0</v>
      </c>
      <c r="B409" s="59">
        <v>5.0</v>
      </c>
      <c r="C409" s="59" t="s">
        <v>1518</v>
      </c>
      <c r="D409" s="59"/>
      <c r="E409" s="59"/>
      <c r="F409" s="60" t="s">
        <v>1651</v>
      </c>
      <c r="G409" s="60" t="s">
        <v>1652</v>
      </c>
      <c r="H409" s="60" t="s">
        <v>1653</v>
      </c>
      <c r="I409" s="59"/>
      <c r="J409" s="31"/>
      <c r="K409" s="62">
        <v>46119.0</v>
      </c>
    </row>
    <row r="410" ht="15.75" customHeight="1">
      <c r="A410" s="63">
        <v>46115.0</v>
      </c>
      <c r="B410" s="59">
        <v>6.0</v>
      </c>
      <c r="C410" s="59" t="s">
        <v>1518</v>
      </c>
      <c r="D410" s="59"/>
      <c r="E410" s="59"/>
      <c r="F410" s="60" t="s">
        <v>1654</v>
      </c>
      <c r="G410" s="60" t="s">
        <v>1655</v>
      </c>
      <c r="H410" s="60" t="s">
        <v>1656</v>
      </c>
      <c r="I410" s="59"/>
      <c r="J410" s="31"/>
      <c r="K410" s="62">
        <v>46116.0</v>
      </c>
    </row>
    <row r="411" ht="15.75" customHeight="1">
      <c r="A411" s="63">
        <v>46115.0</v>
      </c>
      <c r="B411" s="59">
        <v>7.0</v>
      </c>
      <c r="C411" s="59" t="s">
        <v>1518</v>
      </c>
      <c r="D411" s="59"/>
      <c r="E411" s="59"/>
      <c r="F411" s="60" t="s">
        <v>1657</v>
      </c>
      <c r="G411" s="60" t="s">
        <v>1658</v>
      </c>
      <c r="H411" s="60" t="s">
        <v>1659</v>
      </c>
      <c r="I411" s="59"/>
      <c r="J411" s="31"/>
      <c r="K411" s="62">
        <v>46116.0</v>
      </c>
    </row>
    <row r="412" ht="15.75" customHeight="1">
      <c r="A412" s="64">
        <v>46116.0</v>
      </c>
      <c r="B412" s="59">
        <v>8.0</v>
      </c>
      <c r="C412" s="59" t="s">
        <v>1274</v>
      </c>
      <c r="D412" s="59"/>
      <c r="E412" s="59"/>
      <c r="F412" s="60"/>
      <c r="G412" s="60" t="s">
        <v>1660</v>
      </c>
      <c r="H412" s="60" t="s">
        <v>1661</v>
      </c>
      <c r="I412" s="59"/>
      <c r="J412" s="31"/>
      <c r="K412" s="31"/>
    </row>
    <row r="413" ht="15.75" customHeight="1">
      <c r="A413" s="64">
        <v>46116.0</v>
      </c>
      <c r="B413" s="59">
        <v>9.0</v>
      </c>
      <c r="C413" s="59" t="s">
        <v>1274</v>
      </c>
      <c r="D413" s="59"/>
      <c r="E413" s="59"/>
      <c r="F413" s="60"/>
      <c r="G413" s="60" t="s">
        <v>1662</v>
      </c>
      <c r="H413" s="60" t="s">
        <v>1663</v>
      </c>
      <c r="I413" s="59"/>
      <c r="J413" s="31"/>
      <c r="K413" s="55">
        <v>46120.0</v>
      </c>
    </row>
    <row r="414" ht="15.75" customHeight="1">
      <c r="A414" s="64">
        <v>46118.0</v>
      </c>
      <c r="B414" s="59"/>
      <c r="C414" s="59"/>
      <c r="D414" s="59"/>
      <c r="E414" s="59"/>
      <c r="F414" s="60" t="s">
        <v>1426</v>
      </c>
      <c r="G414" s="60"/>
      <c r="H414" s="60"/>
      <c r="I414" s="59"/>
      <c r="J414" s="31"/>
      <c r="K414" s="31"/>
    </row>
    <row r="415" ht="15.75" customHeight="1">
      <c r="A415" s="64">
        <v>46119.0</v>
      </c>
      <c r="B415" s="59">
        <v>10.0</v>
      </c>
      <c r="C415" s="59" t="s">
        <v>1246</v>
      </c>
      <c r="D415" s="59"/>
      <c r="E415" s="59"/>
      <c r="F415" s="60" t="s">
        <v>1664</v>
      </c>
      <c r="G415" s="60" t="s">
        <v>1665</v>
      </c>
      <c r="H415" s="60" t="s">
        <v>1666</v>
      </c>
      <c r="I415" s="59"/>
      <c r="J415" s="31"/>
      <c r="K415" s="62">
        <v>46121.0</v>
      </c>
    </row>
    <row r="416" ht="15.75" customHeight="1">
      <c r="A416" s="63">
        <v>46120.0</v>
      </c>
      <c r="B416" s="59">
        <v>11.0</v>
      </c>
      <c r="C416" s="59" t="s">
        <v>1246</v>
      </c>
      <c r="D416" s="59"/>
      <c r="E416" s="59"/>
      <c r="F416" s="60" t="s">
        <v>1667</v>
      </c>
      <c r="G416" s="60" t="s">
        <v>1668</v>
      </c>
      <c r="H416" s="60" t="s">
        <v>1669</v>
      </c>
      <c r="I416" s="59"/>
      <c r="J416" s="31"/>
      <c r="K416" s="62">
        <v>46122.0</v>
      </c>
    </row>
    <row r="417" ht="15.75" customHeight="1">
      <c r="A417" s="64">
        <v>46121.0</v>
      </c>
      <c r="B417" s="59"/>
      <c r="C417" s="59"/>
      <c r="D417" s="59"/>
      <c r="E417" s="59"/>
      <c r="F417" s="60" t="s">
        <v>1426</v>
      </c>
      <c r="G417" s="60"/>
      <c r="H417" s="60"/>
      <c r="I417" s="59"/>
      <c r="J417" s="31"/>
      <c r="K417" s="31"/>
    </row>
    <row r="418" ht="15.75" customHeight="1">
      <c r="A418" s="64">
        <v>46122.0</v>
      </c>
      <c r="B418" s="59"/>
      <c r="C418" s="59"/>
      <c r="D418" s="59"/>
      <c r="E418" s="59"/>
      <c r="F418" s="60" t="s">
        <v>1426</v>
      </c>
      <c r="G418" s="60"/>
      <c r="H418" s="60"/>
      <c r="I418" s="59"/>
      <c r="J418" s="31"/>
      <c r="K418" s="31"/>
    </row>
    <row r="419" ht="15.75" customHeight="1">
      <c r="A419" s="67">
        <v>46123.0</v>
      </c>
      <c r="B419" s="59"/>
      <c r="C419" s="59"/>
      <c r="D419" s="59"/>
      <c r="E419" s="59"/>
      <c r="F419" s="60" t="s">
        <v>1426</v>
      </c>
      <c r="G419" s="60"/>
      <c r="H419" s="60"/>
      <c r="I419" s="59"/>
      <c r="J419" s="31"/>
      <c r="K419" s="31"/>
    </row>
    <row r="420" ht="15.75" customHeight="1">
      <c r="A420" s="64">
        <v>46125.0</v>
      </c>
      <c r="B420" s="59"/>
      <c r="C420" s="59"/>
      <c r="D420" s="59"/>
      <c r="E420" s="59"/>
      <c r="F420" s="60" t="s">
        <v>1426</v>
      </c>
      <c r="G420" s="60"/>
      <c r="H420" s="60"/>
      <c r="I420" s="59"/>
      <c r="J420" s="31"/>
      <c r="K420" s="31"/>
    </row>
    <row r="421" ht="15.75" customHeight="1">
      <c r="A421" s="64">
        <v>46127.0</v>
      </c>
      <c r="B421" s="59">
        <v>12.0</v>
      </c>
      <c r="C421" s="59" t="s">
        <v>1670</v>
      </c>
      <c r="D421" s="59"/>
      <c r="E421" s="59"/>
      <c r="F421" s="60" t="s">
        <v>1671</v>
      </c>
      <c r="G421" s="60"/>
      <c r="H421" s="60"/>
      <c r="I421" s="59"/>
      <c r="J421" s="31"/>
      <c r="K421" s="31"/>
    </row>
    <row r="422" ht="15.75" customHeight="1">
      <c r="A422" s="63">
        <v>46128.0</v>
      </c>
      <c r="B422" s="59">
        <v>13.0</v>
      </c>
      <c r="C422" s="59" t="s">
        <v>1518</v>
      </c>
      <c r="D422" s="59"/>
      <c r="E422" s="59"/>
      <c r="F422" s="60" t="s">
        <v>1672</v>
      </c>
      <c r="G422" s="60"/>
      <c r="H422" s="60"/>
      <c r="I422" s="59"/>
      <c r="J422" s="31"/>
      <c r="K422" s="31"/>
    </row>
    <row r="423" ht="15.75" customHeight="1">
      <c r="A423" s="63">
        <v>46128.0</v>
      </c>
      <c r="B423" s="59">
        <v>14.0</v>
      </c>
      <c r="C423" s="59" t="s">
        <v>1518</v>
      </c>
      <c r="D423" s="59"/>
      <c r="E423" s="59"/>
      <c r="F423" s="60" t="s">
        <v>1673</v>
      </c>
      <c r="G423" s="60"/>
      <c r="H423" s="60"/>
      <c r="I423" s="59"/>
      <c r="J423" s="31"/>
      <c r="K423" s="31"/>
    </row>
    <row r="424" ht="15.75" customHeight="1">
      <c r="A424" s="63">
        <v>46128.0</v>
      </c>
      <c r="B424" s="59">
        <v>15.0</v>
      </c>
      <c r="C424" s="59" t="s">
        <v>1518</v>
      </c>
      <c r="D424" s="59"/>
      <c r="E424" s="59"/>
      <c r="F424" s="60" t="s">
        <v>1674</v>
      </c>
      <c r="G424" s="60"/>
      <c r="H424" s="60"/>
      <c r="I424" s="59"/>
      <c r="J424" s="31"/>
      <c r="K424" s="31"/>
    </row>
    <row r="425" ht="15.75" customHeight="1">
      <c r="A425" s="63">
        <v>46128.0</v>
      </c>
      <c r="B425" s="59">
        <v>16.0</v>
      </c>
      <c r="C425" s="59" t="s">
        <v>1518</v>
      </c>
      <c r="D425" s="59"/>
      <c r="E425" s="59"/>
      <c r="F425" s="60" t="s">
        <v>1675</v>
      </c>
      <c r="G425" s="60"/>
      <c r="H425" s="60"/>
      <c r="I425" s="59"/>
      <c r="J425" s="31"/>
      <c r="K425" s="31"/>
    </row>
    <row r="426" ht="15.75" customHeight="1">
      <c r="A426" s="64">
        <v>46129.0</v>
      </c>
      <c r="B426" s="59">
        <v>17.0</v>
      </c>
      <c r="C426" s="59" t="s">
        <v>1329</v>
      </c>
      <c r="D426" s="59"/>
      <c r="E426" s="59"/>
      <c r="F426" s="60" t="s">
        <v>1676</v>
      </c>
      <c r="G426" s="60"/>
      <c r="H426" s="60"/>
      <c r="I426" s="59"/>
      <c r="J426" s="31"/>
      <c r="K426" s="31"/>
    </row>
    <row r="427" ht="15.75" customHeight="1">
      <c r="A427" s="64">
        <v>46129.0</v>
      </c>
      <c r="B427" s="59"/>
      <c r="C427" s="59" t="s">
        <v>1677</v>
      </c>
      <c r="D427" s="59"/>
      <c r="E427" s="59"/>
      <c r="F427" s="60" t="s">
        <v>1678</v>
      </c>
      <c r="G427" s="60"/>
      <c r="H427" s="60"/>
      <c r="I427" s="59"/>
      <c r="J427" s="31"/>
      <c r="K427" s="31"/>
    </row>
    <row r="428" ht="15.75" customHeight="1">
      <c r="A428" s="64">
        <v>46129.0</v>
      </c>
      <c r="B428" s="59"/>
      <c r="C428" s="59" t="s">
        <v>1329</v>
      </c>
      <c r="D428" s="59"/>
      <c r="E428" s="59"/>
      <c r="F428" s="60" t="s">
        <v>1679</v>
      </c>
      <c r="G428" s="60"/>
      <c r="H428" s="60"/>
      <c r="I428" s="59"/>
      <c r="J428" s="31"/>
      <c r="K428" s="31"/>
    </row>
    <row r="429" ht="15.75" customHeight="1">
      <c r="A429" s="64">
        <v>46129.0</v>
      </c>
      <c r="B429" s="59"/>
      <c r="C429" s="59" t="s">
        <v>1329</v>
      </c>
      <c r="D429" s="59"/>
      <c r="E429" s="59"/>
      <c r="F429" s="60" t="s">
        <v>1680</v>
      </c>
      <c r="G429" s="60"/>
      <c r="H429" s="60"/>
      <c r="I429" s="59"/>
      <c r="J429" s="31"/>
      <c r="K429" s="31"/>
    </row>
    <row r="430" ht="15.75" customHeight="1">
      <c r="A430" s="64">
        <v>46129.0</v>
      </c>
      <c r="B430" s="59"/>
      <c r="C430" s="59" t="s">
        <v>1329</v>
      </c>
      <c r="D430" s="59"/>
      <c r="E430" s="59"/>
      <c r="F430" s="60" t="s">
        <v>1681</v>
      </c>
      <c r="G430" s="60"/>
      <c r="H430" s="60"/>
      <c r="I430" s="59"/>
      <c r="J430" s="31"/>
      <c r="K430" s="31"/>
    </row>
    <row r="431" ht="15.75" customHeight="1">
      <c r="F431" s="11"/>
      <c r="G431" s="11"/>
      <c r="H431" s="11"/>
      <c r="J431" s="9"/>
      <c r="K431" s="9"/>
    </row>
    <row r="432" ht="15.75" customHeight="1">
      <c r="F432" s="11"/>
      <c r="G432" s="11"/>
      <c r="H432" s="11"/>
      <c r="J432" s="9"/>
      <c r="K432" s="9"/>
    </row>
    <row r="433" ht="15.75" customHeight="1">
      <c r="F433" s="11"/>
      <c r="G433" s="11"/>
      <c r="H433" s="11"/>
      <c r="J433" s="9"/>
      <c r="K433" s="9"/>
    </row>
    <row r="434" ht="15.75" customHeight="1">
      <c r="F434" s="11"/>
      <c r="G434" s="11"/>
      <c r="H434" s="11"/>
      <c r="J434" s="9"/>
      <c r="K434" s="9"/>
    </row>
    <row r="435" ht="15.75" customHeight="1">
      <c r="F435" s="11"/>
      <c r="G435" s="11"/>
      <c r="H435" s="11"/>
      <c r="J435" s="9"/>
      <c r="K435" s="9"/>
    </row>
    <row r="436" ht="15.75" customHeight="1">
      <c r="F436" s="11"/>
      <c r="G436" s="11"/>
      <c r="H436" s="11"/>
      <c r="J436" s="9"/>
      <c r="K436" s="9"/>
    </row>
    <row r="437" ht="15.75" customHeight="1">
      <c r="F437" s="11"/>
      <c r="G437" s="11"/>
      <c r="H437" s="11"/>
      <c r="J437" s="9"/>
      <c r="K437" s="9"/>
    </row>
    <row r="438" ht="15.75" customHeight="1">
      <c r="F438" s="11"/>
      <c r="G438" s="11"/>
      <c r="H438" s="11"/>
      <c r="J438" s="9"/>
      <c r="K438" s="9"/>
    </row>
    <row r="439" ht="15.75" customHeight="1">
      <c r="F439" s="11"/>
      <c r="G439" s="11"/>
      <c r="H439" s="11"/>
      <c r="J439" s="9"/>
      <c r="K439" s="9"/>
    </row>
    <row r="440" ht="15.75" customHeight="1">
      <c r="F440" s="11"/>
      <c r="G440" s="11"/>
      <c r="H440" s="11"/>
      <c r="J440" s="9"/>
      <c r="K440" s="9"/>
    </row>
    <row r="441" ht="15.75" customHeight="1">
      <c r="F441" s="11"/>
      <c r="G441" s="11"/>
      <c r="H441" s="11"/>
      <c r="J441" s="9"/>
      <c r="K441" s="9"/>
    </row>
    <row r="442" ht="15.75" customHeight="1">
      <c r="F442" s="11"/>
      <c r="G442" s="11"/>
      <c r="H442" s="11"/>
      <c r="J442" s="9"/>
      <c r="K442" s="9"/>
    </row>
    <row r="443" ht="15.75" customHeight="1">
      <c r="F443" s="11"/>
      <c r="G443" s="11"/>
      <c r="H443" s="11"/>
      <c r="J443" s="9"/>
      <c r="K443" s="9"/>
    </row>
    <row r="444" ht="15.75" customHeight="1">
      <c r="F444" s="11"/>
      <c r="G444" s="11"/>
      <c r="H444" s="11"/>
      <c r="J444" s="9"/>
      <c r="K444" s="9"/>
    </row>
    <row r="445" ht="15.75" customHeight="1">
      <c r="F445" s="11"/>
      <c r="G445" s="11"/>
      <c r="H445" s="11"/>
      <c r="J445" s="9"/>
      <c r="K445" s="9"/>
    </row>
    <row r="446" ht="15.75" customHeight="1">
      <c r="F446" s="11"/>
      <c r="G446" s="11"/>
      <c r="H446" s="11"/>
      <c r="J446" s="9"/>
      <c r="K446" s="9"/>
    </row>
    <row r="447" ht="15.75" customHeight="1">
      <c r="F447" s="11"/>
      <c r="G447" s="11"/>
      <c r="H447" s="11"/>
      <c r="J447" s="9"/>
      <c r="K447" s="9"/>
    </row>
    <row r="448" ht="15.75" customHeight="1">
      <c r="F448" s="11"/>
      <c r="G448" s="11"/>
      <c r="H448" s="11"/>
      <c r="J448" s="9"/>
      <c r="K448" s="9"/>
    </row>
    <row r="449" ht="15.75" customHeight="1">
      <c r="F449" s="11"/>
      <c r="G449" s="11"/>
      <c r="H449" s="11"/>
      <c r="J449" s="9"/>
      <c r="K449" s="9"/>
    </row>
    <row r="450" ht="15.75" customHeight="1">
      <c r="F450" s="11"/>
      <c r="G450" s="11"/>
      <c r="H450" s="11"/>
      <c r="J450" s="9"/>
      <c r="K450" s="9"/>
    </row>
    <row r="451" ht="15.75" customHeight="1">
      <c r="F451" s="11"/>
      <c r="G451" s="11"/>
      <c r="H451" s="11"/>
      <c r="J451" s="9"/>
      <c r="K451" s="9"/>
    </row>
    <row r="452" ht="15.75" customHeight="1">
      <c r="F452" s="11"/>
      <c r="G452" s="11"/>
      <c r="H452" s="11"/>
      <c r="J452" s="9"/>
      <c r="K452" s="9"/>
    </row>
    <row r="453" ht="15.75" customHeight="1">
      <c r="F453" s="11"/>
      <c r="G453" s="11"/>
      <c r="H453" s="11"/>
      <c r="J453" s="9"/>
      <c r="K453" s="9"/>
    </row>
    <row r="454" ht="15.75" customHeight="1">
      <c r="F454" s="11"/>
      <c r="G454" s="11"/>
      <c r="H454" s="11"/>
      <c r="J454" s="9"/>
      <c r="K454" s="9"/>
    </row>
    <row r="455" ht="15.75" customHeight="1">
      <c r="F455" s="11"/>
      <c r="G455" s="11"/>
      <c r="H455" s="11"/>
      <c r="J455" s="9"/>
      <c r="K455" s="9"/>
    </row>
    <row r="456" ht="15.75" customHeight="1">
      <c r="F456" s="11"/>
      <c r="G456" s="11"/>
      <c r="H456" s="11"/>
      <c r="J456" s="9"/>
      <c r="K456" s="9"/>
    </row>
    <row r="457" ht="15.75" customHeight="1">
      <c r="F457" s="11"/>
      <c r="G457" s="11"/>
      <c r="H457" s="11"/>
      <c r="J457" s="9"/>
      <c r="K457" s="9"/>
    </row>
    <row r="458" ht="15.75" customHeight="1">
      <c r="F458" s="11"/>
      <c r="G458" s="11"/>
      <c r="H458" s="11"/>
      <c r="J458" s="9"/>
      <c r="K458" s="9"/>
    </row>
    <row r="459" ht="15.75" customHeight="1">
      <c r="F459" s="11"/>
      <c r="G459" s="11"/>
      <c r="H459" s="11"/>
      <c r="J459" s="9"/>
      <c r="K459" s="9"/>
    </row>
    <row r="460" ht="15.75" customHeight="1">
      <c r="F460" s="11"/>
      <c r="G460" s="11"/>
      <c r="H460" s="11"/>
      <c r="J460" s="9"/>
      <c r="K460" s="9"/>
    </row>
    <row r="461" ht="15.75" customHeight="1">
      <c r="F461" s="11"/>
      <c r="G461" s="11"/>
      <c r="H461" s="11"/>
      <c r="J461" s="9"/>
      <c r="K461" s="9"/>
    </row>
    <row r="462" ht="15.75" customHeight="1">
      <c r="F462" s="11"/>
      <c r="G462" s="11"/>
      <c r="H462" s="11"/>
      <c r="J462" s="9"/>
      <c r="K462" s="9"/>
    </row>
    <row r="463" ht="15.75" customHeight="1">
      <c r="F463" s="11"/>
      <c r="G463" s="11"/>
      <c r="H463" s="11"/>
      <c r="J463" s="9"/>
      <c r="K463" s="9"/>
    </row>
    <row r="464" ht="15.75" customHeight="1">
      <c r="F464" s="11"/>
      <c r="G464" s="11"/>
      <c r="H464" s="11"/>
      <c r="J464" s="9"/>
      <c r="K464" s="9"/>
    </row>
    <row r="465" ht="15.75" customHeight="1">
      <c r="F465" s="11"/>
      <c r="G465" s="11"/>
      <c r="H465" s="11"/>
      <c r="J465" s="9"/>
      <c r="K465" s="9"/>
    </row>
    <row r="466" ht="15.75" customHeight="1">
      <c r="F466" s="11"/>
      <c r="G466" s="11"/>
      <c r="H466" s="11"/>
      <c r="J466" s="9"/>
      <c r="K466" s="9"/>
    </row>
    <row r="467" ht="15.75" customHeight="1">
      <c r="F467" s="11"/>
      <c r="G467" s="11"/>
      <c r="H467" s="11"/>
      <c r="J467" s="9"/>
      <c r="K467" s="9"/>
    </row>
    <row r="468" ht="15.75" customHeight="1">
      <c r="F468" s="11"/>
      <c r="G468" s="11"/>
      <c r="H468" s="11"/>
      <c r="J468" s="9"/>
      <c r="K468" s="9"/>
    </row>
    <row r="469" ht="15.75" customHeight="1">
      <c r="F469" s="11"/>
      <c r="G469" s="11"/>
      <c r="H469" s="11"/>
      <c r="J469" s="9"/>
      <c r="K469" s="9"/>
    </row>
    <row r="470" ht="15.75" customHeight="1">
      <c r="F470" s="11"/>
      <c r="G470" s="11"/>
      <c r="H470" s="11"/>
      <c r="J470" s="9"/>
      <c r="K470" s="9"/>
    </row>
    <row r="471" ht="15.75" customHeight="1">
      <c r="F471" s="11"/>
      <c r="G471" s="11"/>
      <c r="H471" s="11"/>
      <c r="J471" s="9"/>
      <c r="K471" s="9"/>
    </row>
    <row r="472" ht="15.75" customHeight="1">
      <c r="F472" s="11"/>
      <c r="G472" s="11"/>
      <c r="H472" s="11"/>
      <c r="J472" s="9"/>
      <c r="K472" s="9"/>
    </row>
    <row r="473" ht="15.75" customHeight="1">
      <c r="F473" s="11"/>
      <c r="G473" s="11"/>
      <c r="H473" s="11"/>
      <c r="J473" s="9"/>
      <c r="K473" s="9"/>
    </row>
    <row r="474" ht="15.75" customHeight="1">
      <c r="F474" s="11"/>
      <c r="G474" s="11"/>
      <c r="H474" s="11"/>
      <c r="J474" s="9"/>
      <c r="K474" s="9"/>
    </row>
    <row r="475" ht="15.75" customHeight="1">
      <c r="F475" s="11"/>
      <c r="G475" s="11"/>
      <c r="H475" s="11"/>
      <c r="J475" s="9"/>
      <c r="K475" s="9"/>
    </row>
    <row r="476" ht="15.75" customHeight="1">
      <c r="F476" s="11"/>
      <c r="G476" s="11"/>
      <c r="H476" s="11"/>
      <c r="J476" s="9"/>
      <c r="K476" s="9"/>
    </row>
    <row r="477" ht="15.75" customHeight="1">
      <c r="F477" s="11"/>
      <c r="G477" s="11"/>
      <c r="H477" s="11"/>
      <c r="J477" s="9"/>
      <c r="K477" s="9"/>
    </row>
    <row r="478" ht="15.75" customHeight="1">
      <c r="F478" s="11"/>
      <c r="G478" s="11"/>
      <c r="H478" s="11"/>
      <c r="J478" s="9"/>
      <c r="K478" s="9"/>
    </row>
    <row r="479" ht="15.75" customHeight="1">
      <c r="F479" s="11"/>
      <c r="G479" s="11"/>
      <c r="H479" s="11"/>
      <c r="J479" s="9"/>
      <c r="K479" s="9"/>
    </row>
    <row r="480" ht="15.75" customHeight="1">
      <c r="F480" s="11"/>
      <c r="G480" s="11"/>
      <c r="H480" s="11"/>
      <c r="J480" s="9"/>
      <c r="K480" s="9"/>
    </row>
    <row r="481" ht="15.75" customHeight="1">
      <c r="F481" s="11"/>
      <c r="G481" s="11"/>
      <c r="H481" s="11"/>
      <c r="J481" s="9"/>
      <c r="K481" s="9"/>
    </row>
    <row r="482" ht="15.75" customHeight="1">
      <c r="F482" s="11"/>
      <c r="G482" s="11"/>
      <c r="H482" s="11"/>
      <c r="J482" s="9"/>
      <c r="K482" s="9"/>
    </row>
    <row r="483" ht="15.75" customHeight="1">
      <c r="F483" s="11"/>
      <c r="G483" s="11"/>
      <c r="H483" s="11"/>
      <c r="J483" s="9"/>
      <c r="K483" s="9"/>
    </row>
    <row r="484" ht="15.75" customHeight="1">
      <c r="F484" s="11"/>
      <c r="G484" s="11"/>
      <c r="H484" s="11"/>
      <c r="J484" s="9"/>
      <c r="K484" s="9"/>
    </row>
    <row r="485" ht="15.75" customHeight="1">
      <c r="F485" s="11"/>
      <c r="G485" s="11"/>
      <c r="H485" s="11"/>
      <c r="J485" s="9"/>
      <c r="K485" s="9"/>
    </row>
    <row r="486" ht="15.75" customHeight="1">
      <c r="F486" s="11"/>
      <c r="G486" s="11"/>
      <c r="H486" s="11"/>
      <c r="J486" s="9"/>
      <c r="K486" s="9"/>
    </row>
    <row r="487" ht="15.75" customHeight="1">
      <c r="F487" s="11"/>
      <c r="G487" s="11"/>
      <c r="H487" s="11"/>
      <c r="J487" s="9"/>
      <c r="K487" s="9"/>
    </row>
    <row r="488" ht="15.75" customHeight="1">
      <c r="F488" s="11"/>
      <c r="G488" s="11"/>
      <c r="H488" s="11"/>
      <c r="J488" s="9"/>
      <c r="K488" s="9"/>
    </row>
    <row r="489" ht="15.75" customHeight="1">
      <c r="F489" s="11"/>
      <c r="G489" s="11"/>
      <c r="H489" s="11"/>
      <c r="J489" s="9"/>
      <c r="K489" s="9"/>
    </row>
    <row r="490" ht="15.75" customHeight="1">
      <c r="F490" s="11"/>
      <c r="G490" s="11"/>
      <c r="H490" s="11"/>
      <c r="J490" s="9"/>
      <c r="K490" s="9"/>
    </row>
    <row r="491" ht="15.75" customHeight="1">
      <c r="F491" s="11"/>
      <c r="G491" s="11"/>
      <c r="H491" s="11"/>
      <c r="J491" s="9"/>
      <c r="K491" s="9"/>
    </row>
    <row r="492" ht="15.75" customHeight="1">
      <c r="F492" s="11"/>
      <c r="G492" s="11"/>
      <c r="H492" s="11"/>
      <c r="J492" s="9"/>
      <c r="K492" s="9"/>
    </row>
    <row r="493" ht="15.75" customHeight="1">
      <c r="F493" s="11"/>
      <c r="G493" s="11"/>
      <c r="H493" s="11"/>
      <c r="J493" s="9"/>
      <c r="K493" s="9"/>
    </row>
    <row r="494" ht="15.75" customHeight="1">
      <c r="F494" s="11"/>
      <c r="G494" s="11"/>
      <c r="H494" s="11"/>
      <c r="J494" s="9"/>
      <c r="K494" s="9"/>
    </row>
    <row r="495" ht="15.75" customHeight="1">
      <c r="F495" s="11"/>
      <c r="G495" s="11"/>
      <c r="H495" s="11"/>
      <c r="J495" s="9"/>
      <c r="K495" s="9"/>
    </row>
    <row r="496" ht="15.75" customHeight="1">
      <c r="F496" s="11"/>
      <c r="G496" s="11"/>
      <c r="H496" s="11"/>
      <c r="J496" s="9"/>
      <c r="K496" s="9"/>
    </row>
    <row r="497" ht="15.75" customHeight="1">
      <c r="F497" s="11"/>
      <c r="G497" s="11"/>
      <c r="H497" s="11"/>
      <c r="J497" s="9"/>
      <c r="K497" s="9"/>
    </row>
    <row r="498" ht="15.75" customHeight="1">
      <c r="F498" s="11"/>
      <c r="G498" s="11"/>
      <c r="H498" s="11"/>
      <c r="J498" s="9"/>
      <c r="K498" s="9"/>
    </row>
    <row r="499" ht="15.75" customHeight="1">
      <c r="F499" s="11"/>
      <c r="G499" s="11"/>
      <c r="H499" s="11"/>
      <c r="J499" s="9"/>
      <c r="K499" s="9"/>
    </row>
    <row r="500" ht="15.75" customHeight="1">
      <c r="F500" s="11"/>
      <c r="G500" s="11"/>
      <c r="H500" s="11"/>
      <c r="J500" s="9"/>
      <c r="K500" s="9"/>
    </row>
    <row r="501" ht="15.75" customHeight="1">
      <c r="F501" s="11"/>
      <c r="G501" s="11"/>
      <c r="H501" s="11"/>
      <c r="J501" s="9"/>
      <c r="K501" s="9"/>
    </row>
    <row r="502" ht="15.75" customHeight="1">
      <c r="F502" s="11"/>
      <c r="G502" s="11"/>
      <c r="H502" s="11"/>
      <c r="J502" s="9"/>
      <c r="K502" s="9"/>
    </row>
    <row r="503" ht="15.75" customHeight="1">
      <c r="F503" s="11"/>
      <c r="G503" s="11"/>
      <c r="H503" s="11"/>
      <c r="J503" s="9"/>
      <c r="K503" s="9"/>
    </row>
    <row r="504" ht="15.75" customHeight="1">
      <c r="F504" s="11"/>
      <c r="G504" s="11"/>
      <c r="H504" s="11"/>
      <c r="J504" s="9"/>
      <c r="K504" s="9"/>
    </row>
    <row r="505" ht="15.75" customHeight="1">
      <c r="F505" s="11"/>
      <c r="G505" s="11"/>
      <c r="H505" s="11"/>
      <c r="J505" s="9"/>
      <c r="K505" s="9"/>
    </row>
    <row r="506" ht="15.75" customHeight="1">
      <c r="F506" s="11"/>
      <c r="G506" s="11"/>
      <c r="H506" s="11"/>
      <c r="J506" s="9"/>
      <c r="K506" s="9"/>
    </row>
    <row r="507" ht="15.75" customHeight="1">
      <c r="F507" s="11"/>
      <c r="G507" s="11"/>
      <c r="H507" s="11"/>
      <c r="J507" s="9"/>
      <c r="K507" s="9"/>
    </row>
    <row r="508" ht="15.75" customHeight="1">
      <c r="F508" s="11"/>
      <c r="G508" s="11"/>
      <c r="H508" s="11"/>
      <c r="J508" s="9"/>
      <c r="K508" s="9"/>
    </row>
    <row r="509" ht="15.75" customHeight="1">
      <c r="F509" s="11"/>
      <c r="G509" s="11"/>
      <c r="H509" s="11"/>
      <c r="J509" s="9"/>
      <c r="K509" s="9"/>
    </row>
    <row r="510" ht="15.75" customHeight="1">
      <c r="F510" s="11"/>
      <c r="G510" s="11"/>
      <c r="H510" s="11"/>
      <c r="J510" s="9"/>
      <c r="K510" s="9"/>
    </row>
    <row r="511" ht="15.75" customHeight="1">
      <c r="F511" s="11"/>
      <c r="G511" s="11"/>
      <c r="H511" s="11"/>
      <c r="J511" s="9"/>
      <c r="K511" s="9"/>
    </row>
    <row r="512" ht="15.75" customHeight="1">
      <c r="F512" s="11"/>
      <c r="G512" s="11"/>
      <c r="H512" s="11"/>
      <c r="J512" s="9"/>
      <c r="K512" s="9"/>
    </row>
    <row r="513" ht="15.75" customHeight="1">
      <c r="F513" s="11"/>
      <c r="G513" s="11"/>
      <c r="H513" s="11"/>
      <c r="J513" s="9"/>
      <c r="K513" s="9"/>
    </row>
    <row r="514" ht="15.75" customHeight="1">
      <c r="F514" s="11"/>
      <c r="G514" s="11"/>
      <c r="H514" s="11"/>
      <c r="J514" s="9"/>
      <c r="K514" s="9"/>
    </row>
    <row r="515" ht="15.75" customHeight="1">
      <c r="F515" s="11"/>
      <c r="G515" s="11"/>
      <c r="H515" s="11"/>
      <c r="J515" s="9"/>
      <c r="K515" s="9"/>
    </row>
    <row r="516" ht="15.75" customHeight="1">
      <c r="F516" s="11"/>
      <c r="G516" s="11"/>
      <c r="H516" s="11"/>
      <c r="J516" s="9"/>
      <c r="K516" s="9"/>
    </row>
    <row r="517" ht="15.75" customHeight="1">
      <c r="F517" s="11"/>
      <c r="G517" s="11"/>
      <c r="H517" s="11"/>
      <c r="J517" s="9"/>
      <c r="K517" s="9"/>
    </row>
    <row r="518" ht="15.75" customHeight="1">
      <c r="F518" s="11"/>
      <c r="G518" s="11"/>
      <c r="H518" s="11"/>
      <c r="J518" s="9"/>
      <c r="K518" s="9"/>
    </row>
    <row r="519" ht="15.75" customHeight="1">
      <c r="F519" s="11"/>
      <c r="G519" s="11"/>
      <c r="H519" s="11"/>
      <c r="J519" s="9"/>
      <c r="K519" s="9"/>
    </row>
    <row r="520" ht="15.75" customHeight="1">
      <c r="F520" s="11"/>
      <c r="G520" s="11"/>
      <c r="H520" s="11"/>
      <c r="J520" s="9"/>
      <c r="K520" s="9"/>
    </row>
    <row r="521" ht="15.75" customHeight="1">
      <c r="F521" s="11"/>
      <c r="G521" s="11"/>
      <c r="H521" s="11"/>
      <c r="J521" s="9"/>
      <c r="K521" s="9"/>
    </row>
    <row r="522" ht="15.75" customHeight="1">
      <c r="F522" s="11"/>
      <c r="G522" s="11"/>
      <c r="H522" s="11"/>
      <c r="J522" s="9"/>
      <c r="K522" s="9"/>
    </row>
    <row r="523" ht="15.75" customHeight="1">
      <c r="F523" s="11"/>
      <c r="G523" s="11"/>
      <c r="H523" s="11"/>
      <c r="J523" s="9"/>
      <c r="K523" s="9"/>
    </row>
    <row r="524" ht="15.75" customHeight="1">
      <c r="F524" s="11"/>
      <c r="G524" s="11"/>
      <c r="H524" s="11"/>
      <c r="J524" s="9"/>
      <c r="K524" s="9"/>
    </row>
    <row r="525" ht="15.75" customHeight="1">
      <c r="F525" s="11"/>
      <c r="G525" s="11"/>
      <c r="H525" s="11"/>
      <c r="J525" s="9"/>
      <c r="K525" s="9"/>
    </row>
    <row r="526" ht="15.75" customHeight="1">
      <c r="F526" s="11"/>
      <c r="G526" s="11"/>
      <c r="H526" s="11"/>
      <c r="J526" s="9"/>
      <c r="K526" s="9"/>
    </row>
    <row r="527" ht="15.75" customHeight="1">
      <c r="F527" s="11"/>
      <c r="G527" s="11"/>
      <c r="H527" s="11"/>
      <c r="J527" s="9"/>
      <c r="K527" s="9"/>
    </row>
    <row r="528" ht="15.75" customHeight="1">
      <c r="F528" s="11"/>
      <c r="G528" s="11"/>
      <c r="H528" s="11"/>
      <c r="J528" s="9"/>
      <c r="K528" s="9"/>
    </row>
    <row r="529" ht="15.75" customHeight="1">
      <c r="F529" s="11"/>
      <c r="G529" s="11"/>
      <c r="H529" s="11"/>
      <c r="J529" s="9"/>
      <c r="K529" s="9"/>
    </row>
    <row r="530" ht="15.75" customHeight="1">
      <c r="F530" s="11"/>
      <c r="G530" s="11"/>
      <c r="H530" s="11"/>
      <c r="J530" s="9"/>
      <c r="K530" s="9"/>
    </row>
    <row r="531" ht="15.75" customHeight="1">
      <c r="F531" s="11"/>
      <c r="G531" s="11"/>
      <c r="H531" s="11"/>
      <c r="J531" s="9"/>
      <c r="K531" s="9"/>
    </row>
    <row r="532" ht="15.75" customHeight="1">
      <c r="F532" s="11"/>
      <c r="G532" s="11"/>
      <c r="H532" s="11"/>
      <c r="J532" s="9"/>
      <c r="K532" s="9"/>
    </row>
    <row r="533" ht="15.75" customHeight="1">
      <c r="F533" s="11"/>
      <c r="G533" s="11"/>
      <c r="H533" s="11"/>
      <c r="J533" s="9"/>
      <c r="K533" s="9"/>
    </row>
    <row r="534" ht="15.75" customHeight="1">
      <c r="F534" s="11"/>
      <c r="G534" s="11"/>
      <c r="H534" s="11"/>
      <c r="J534" s="9"/>
      <c r="K534" s="9"/>
    </row>
    <row r="535" ht="15.75" customHeight="1">
      <c r="F535" s="11"/>
      <c r="G535" s="11"/>
      <c r="H535" s="11"/>
      <c r="J535" s="9"/>
      <c r="K535" s="9"/>
    </row>
    <row r="536" ht="15.75" customHeight="1">
      <c r="F536" s="11"/>
      <c r="G536" s="11"/>
      <c r="H536" s="11"/>
      <c r="J536" s="9"/>
      <c r="K536" s="9"/>
    </row>
    <row r="537" ht="15.75" customHeight="1">
      <c r="F537" s="11"/>
      <c r="G537" s="11"/>
      <c r="H537" s="11"/>
      <c r="J537" s="9"/>
      <c r="K537" s="9"/>
    </row>
    <row r="538" ht="15.75" customHeight="1">
      <c r="F538" s="11"/>
      <c r="G538" s="11"/>
      <c r="H538" s="11"/>
      <c r="J538" s="9"/>
      <c r="K538" s="9"/>
    </row>
    <row r="539" ht="15.75" customHeight="1">
      <c r="F539" s="11"/>
      <c r="G539" s="11"/>
      <c r="H539" s="11"/>
      <c r="J539" s="9"/>
      <c r="K539" s="9"/>
    </row>
    <row r="540" ht="15.75" customHeight="1">
      <c r="F540" s="11"/>
      <c r="G540" s="11"/>
      <c r="H540" s="11"/>
      <c r="J540" s="9"/>
      <c r="K540" s="9"/>
    </row>
    <row r="541" ht="15.75" customHeight="1">
      <c r="F541" s="11"/>
      <c r="G541" s="11"/>
      <c r="H541" s="11"/>
      <c r="J541" s="9"/>
      <c r="K541" s="9"/>
    </row>
    <row r="542" ht="15.75" customHeight="1">
      <c r="F542" s="11"/>
      <c r="G542" s="11"/>
      <c r="H542" s="11"/>
      <c r="J542" s="9"/>
      <c r="K542" s="9"/>
    </row>
    <row r="543" ht="15.75" customHeight="1">
      <c r="F543" s="11"/>
      <c r="G543" s="11"/>
      <c r="H543" s="11"/>
      <c r="J543" s="9"/>
      <c r="K543" s="9"/>
    </row>
    <row r="544" ht="15.75" customHeight="1">
      <c r="F544" s="11"/>
      <c r="G544" s="11"/>
      <c r="H544" s="11"/>
      <c r="J544" s="9"/>
      <c r="K544" s="9"/>
    </row>
    <row r="545" ht="15.75" customHeight="1">
      <c r="F545" s="11"/>
      <c r="G545" s="11"/>
      <c r="H545" s="11"/>
      <c r="J545" s="9"/>
      <c r="K545" s="9"/>
    </row>
    <row r="546" ht="15.75" customHeight="1">
      <c r="F546" s="11"/>
      <c r="G546" s="11"/>
      <c r="H546" s="11"/>
      <c r="J546" s="9"/>
      <c r="K546" s="9"/>
    </row>
    <row r="547" ht="15.75" customHeight="1">
      <c r="F547" s="11"/>
      <c r="G547" s="11"/>
      <c r="H547" s="11"/>
      <c r="J547" s="9"/>
      <c r="K547" s="9"/>
    </row>
    <row r="548" ht="15.75" customHeight="1">
      <c r="F548" s="11"/>
      <c r="G548" s="11"/>
      <c r="H548" s="11"/>
      <c r="J548" s="9"/>
      <c r="K548" s="9"/>
    </row>
    <row r="549" ht="15.75" customHeight="1">
      <c r="F549" s="11"/>
      <c r="G549" s="11"/>
      <c r="H549" s="11"/>
      <c r="J549" s="9"/>
      <c r="K549" s="9"/>
    </row>
    <row r="550" ht="15.75" customHeight="1">
      <c r="F550" s="11"/>
      <c r="G550" s="11"/>
      <c r="H550" s="11"/>
      <c r="J550" s="9"/>
      <c r="K550" s="9"/>
    </row>
    <row r="551" ht="15.75" customHeight="1">
      <c r="F551" s="11"/>
      <c r="G551" s="11"/>
      <c r="H551" s="11"/>
      <c r="J551" s="9"/>
      <c r="K551" s="9"/>
    </row>
    <row r="552" ht="15.75" customHeight="1">
      <c r="F552" s="11"/>
      <c r="G552" s="11"/>
      <c r="H552" s="11"/>
      <c r="J552" s="9"/>
      <c r="K552" s="9"/>
    </row>
    <row r="553" ht="15.75" customHeight="1">
      <c r="F553" s="11"/>
      <c r="G553" s="11"/>
      <c r="H553" s="11"/>
      <c r="J553" s="9"/>
      <c r="K553" s="9"/>
    </row>
    <row r="554" ht="15.75" customHeight="1">
      <c r="F554" s="11"/>
      <c r="G554" s="11"/>
      <c r="H554" s="11"/>
      <c r="J554" s="9"/>
      <c r="K554" s="9"/>
    </row>
    <row r="555" ht="15.75" customHeight="1">
      <c r="F555" s="11"/>
      <c r="G555" s="11"/>
      <c r="H555" s="11"/>
      <c r="J555" s="9"/>
      <c r="K555" s="9"/>
    </row>
    <row r="556" ht="15.75" customHeight="1">
      <c r="F556" s="11"/>
      <c r="G556" s="11"/>
      <c r="H556" s="11"/>
      <c r="J556" s="9"/>
      <c r="K556" s="9"/>
    </row>
    <row r="557" ht="15.75" customHeight="1">
      <c r="F557" s="11"/>
      <c r="G557" s="11"/>
      <c r="H557" s="11"/>
      <c r="J557" s="9"/>
      <c r="K557" s="9"/>
    </row>
    <row r="558" ht="15.75" customHeight="1">
      <c r="F558" s="11"/>
      <c r="G558" s="11"/>
      <c r="H558" s="11"/>
      <c r="J558" s="9"/>
      <c r="K558" s="9"/>
    </row>
    <row r="559" ht="15.75" customHeight="1">
      <c r="F559" s="11"/>
      <c r="G559" s="11"/>
      <c r="H559" s="11"/>
      <c r="J559" s="9"/>
      <c r="K559" s="9"/>
    </row>
    <row r="560" ht="15.75" customHeight="1">
      <c r="F560" s="11"/>
      <c r="G560" s="11"/>
      <c r="H560" s="11"/>
      <c r="J560" s="9"/>
      <c r="K560" s="9"/>
    </row>
    <row r="561" ht="15.75" customHeight="1">
      <c r="F561" s="11"/>
      <c r="G561" s="11"/>
      <c r="H561" s="11"/>
      <c r="J561" s="9"/>
      <c r="K561" s="9"/>
    </row>
    <row r="562" ht="15.75" customHeight="1">
      <c r="F562" s="11"/>
      <c r="G562" s="11"/>
      <c r="H562" s="11"/>
      <c r="J562" s="9"/>
      <c r="K562" s="9"/>
    </row>
    <row r="563" ht="15.75" customHeight="1">
      <c r="F563" s="11"/>
      <c r="G563" s="11"/>
      <c r="H563" s="11"/>
      <c r="J563" s="9"/>
      <c r="K563" s="9"/>
    </row>
    <row r="564" ht="15.75" customHeight="1">
      <c r="F564" s="11"/>
      <c r="G564" s="11"/>
      <c r="H564" s="11"/>
      <c r="J564" s="9"/>
      <c r="K564" s="9"/>
    </row>
    <row r="565" ht="15.75" customHeight="1">
      <c r="F565" s="11"/>
      <c r="G565" s="11"/>
      <c r="H565" s="11"/>
      <c r="J565" s="9"/>
      <c r="K565" s="9"/>
    </row>
    <row r="566" ht="15.75" customHeight="1">
      <c r="F566" s="11"/>
      <c r="G566" s="11"/>
      <c r="H566" s="11"/>
      <c r="J566" s="9"/>
      <c r="K566" s="9"/>
    </row>
    <row r="567" ht="15.75" customHeight="1">
      <c r="F567" s="11"/>
      <c r="G567" s="11"/>
      <c r="H567" s="11"/>
      <c r="J567" s="9"/>
      <c r="K567" s="9"/>
    </row>
    <row r="568" ht="15.75" customHeight="1">
      <c r="F568" s="11"/>
      <c r="G568" s="11"/>
      <c r="H568" s="11"/>
      <c r="J568" s="9"/>
      <c r="K568" s="9"/>
    </row>
    <row r="569" ht="15.75" customHeight="1">
      <c r="F569" s="11"/>
      <c r="G569" s="11"/>
      <c r="H569" s="11"/>
      <c r="J569" s="9"/>
      <c r="K569" s="9"/>
    </row>
    <row r="570" ht="15.75" customHeight="1">
      <c r="F570" s="11"/>
      <c r="G570" s="11"/>
      <c r="H570" s="11"/>
      <c r="J570" s="9"/>
      <c r="K570" s="9"/>
    </row>
    <row r="571" ht="15.75" customHeight="1">
      <c r="F571" s="11"/>
      <c r="G571" s="11"/>
      <c r="H571" s="11"/>
      <c r="J571" s="9"/>
      <c r="K571" s="9"/>
    </row>
    <row r="572" ht="15.75" customHeight="1">
      <c r="F572" s="11"/>
      <c r="G572" s="11"/>
      <c r="H572" s="11"/>
      <c r="J572" s="9"/>
      <c r="K572" s="9"/>
    </row>
    <row r="573" ht="15.75" customHeight="1">
      <c r="F573" s="11"/>
      <c r="G573" s="11"/>
      <c r="H573" s="11"/>
      <c r="J573" s="9"/>
      <c r="K573" s="9"/>
    </row>
    <row r="574" ht="15.75" customHeight="1">
      <c r="F574" s="11"/>
      <c r="G574" s="11"/>
      <c r="H574" s="11"/>
      <c r="J574" s="9"/>
      <c r="K574" s="9"/>
    </row>
    <row r="575" ht="15.75" customHeight="1">
      <c r="F575" s="11"/>
      <c r="G575" s="11"/>
      <c r="H575" s="11"/>
      <c r="J575" s="9"/>
      <c r="K575" s="9"/>
    </row>
    <row r="576" ht="15.75" customHeight="1">
      <c r="F576" s="11"/>
      <c r="G576" s="11"/>
      <c r="H576" s="11"/>
      <c r="J576" s="9"/>
      <c r="K576" s="9"/>
    </row>
    <row r="577" ht="15.75" customHeight="1">
      <c r="F577" s="11"/>
      <c r="G577" s="11"/>
      <c r="H577" s="11"/>
      <c r="J577" s="9"/>
      <c r="K577" s="9"/>
    </row>
    <row r="578" ht="15.75" customHeight="1">
      <c r="F578" s="11"/>
      <c r="G578" s="11"/>
      <c r="H578" s="11"/>
      <c r="J578" s="9"/>
      <c r="K578" s="9"/>
    </row>
    <row r="579" ht="15.75" customHeight="1">
      <c r="F579" s="11"/>
      <c r="G579" s="11"/>
      <c r="H579" s="11"/>
      <c r="J579" s="9"/>
      <c r="K579" s="9"/>
    </row>
    <row r="580" ht="15.75" customHeight="1">
      <c r="F580" s="11"/>
      <c r="G580" s="11"/>
      <c r="H580" s="11"/>
      <c r="J580" s="9"/>
      <c r="K580" s="9"/>
    </row>
    <row r="581" ht="15.75" customHeight="1">
      <c r="F581" s="11"/>
      <c r="G581" s="11"/>
      <c r="H581" s="11"/>
      <c r="J581" s="9"/>
      <c r="K581" s="9"/>
    </row>
    <row r="582" ht="15.75" customHeight="1">
      <c r="F582" s="11"/>
      <c r="G582" s="11"/>
      <c r="H582" s="11"/>
      <c r="J582" s="9"/>
      <c r="K582" s="9"/>
    </row>
    <row r="583" ht="15.75" customHeight="1">
      <c r="F583" s="11"/>
      <c r="G583" s="11"/>
      <c r="H583" s="11"/>
      <c r="J583" s="9"/>
      <c r="K583" s="9"/>
    </row>
    <row r="584" ht="15.75" customHeight="1">
      <c r="F584" s="11"/>
      <c r="G584" s="11"/>
      <c r="H584" s="11"/>
      <c r="J584" s="9"/>
      <c r="K584" s="9"/>
    </row>
    <row r="585" ht="15.75" customHeight="1">
      <c r="F585" s="11"/>
      <c r="G585" s="11"/>
      <c r="H585" s="11"/>
      <c r="J585" s="9"/>
      <c r="K585" s="9"/>
    </row>
    <row r="586" ht="15.75" customHeight="1">
      <c r="F586" s="11"/>
      <c r="G586" s="11"/>
      <c r="H586" s="11"/>
      <c r="J586" s="9"/>
      <c r="K586" s="9"/>
    </row>
    <row r="587" ht="15.75" customHeight="1">
      <c r="F587" s="11"/>
      <c r="G587" s="11"/>
      <c r="H587" s="11"/>
      <c r="J587" s="9"/>
      <c r="K587" s="9"/>
    </row>
    <row r="588" ht="15.75" customHeight="1">
      <c r="F588" s="11"/>
      <c r="G588" s="11"/>
      <c r="H588" s="11"/>
      <c r="J588" s="9"/>
      <c r="K588" s="9"/>
    </row>
    <row r="589" ht="15.75" customHeight="1">
      <c r="F589" s="11"/>
      <c r="G589" s="11"/>
      <c r="H589" s="11"/>
      <c r="J589" s="9"/>
      <c r="K589" s="9"/>
    </row>
    <row r="590" ht="15.75" customHeight="1">
      <c r="F590" s="11"/>
      <c r="G590" s="11"/>
      <c r="H590" s="11"/>
      <c r="J590" s="9"/>
      <c r="K590" s="9"/>
    </row>
    <row r="591" ht="15.75" customHeight="1">
      <c r="F591" s="11"/>
      <c r="G591" s="11"/>
      <c r="H591" s="11"/>
      <c r="J591" s="9"/>
      <c r="K591" s="9"/>
    </row>
    <row r="592" ht="15.75" customHeight="1">
      <c r="F592" s="11"/>
      <c r="G592" s="11"/>
      <c r="H592" s="11"/>
      <c r="J592" s="9"/>
      <c r="K592" s="9"/>
    </row>
    <row r="593" ht="15.75" customHeight="1">
      <c r="F593" s="11"/>
      <c r="G593" s="11"/>
      <c r="H593" s="11"/>
      <c r="J593" s="9"/>
      <c r="K593" s="9"/>
    </row>
    <row r="594" ht="15.75" customHeight="1">
      <c r="F594" s="11"/>
      <c r="G594" s="11"/>
      <c r="H594" s="11"/>
      <c r="J594" s="9"/>
      <c r="K594" s="9"/>
    </row>
    <row r="595" ht="15.75" customHeight="1">
      <c r="F595" s="11"/>
      <c r="G595" s="11"/>
      <c r="H595" s="11"/>
      <c r="J595" s="9"/>
      <c r="K595" s="9"/>
    </row>
    <row r="596" ht="15.75" customHeight="1">
      <c r="F596" s="11"/>
      <c r="G596" s="11"/>
      <c r="H596" s="11"/>
      <c r="J596" s="9"/>
      <c r="K596" s="9"/>
    </row>
    <row r="597" ht="15.75" customHeight="1">
      <c r="F597" s="11"/>
      <c r="G597" s="11"/>
      <c r="H597" s="11"/>
      <c r="J597" s="9"/>
      <c r="K597" s="9"/>
    </row>
    <row r="598" ht="15.75" customHeight="1">
      <c r="F598" s="11"/>
      <c r="G598" s="11"/>
      <c r="H598" s="11"/>
      <c r="J598" s="9"/>
      <c r="K598" s="9"/>
    </row>
    <row r="599" ht="15.75" customHeight="1">
      <c r="F599" s="11"/>
      <c r="G599" s="11"/>
      <c r="H599" s="11"/>
      <c r="J599" s="9"/>
      <c r="K599" s="9"/>
    </row>
    <row r="600" ht="15.75" customHeight="1">
      <c r="F600" s="11"/>
      <c r="G600" s="11"/>
      <c r="H600" s="11"/>
      <c r="J600" s="9"/>
      <c r="K600" s="9"/>
    </row>
    <row r="601" ht="15.75" customHeight="1">
      <c r="F601" s="11"/>
      <c r="G601" s="11"/>
      <c r="H601" s="11"/>
      <c r="J601" s="9"/>
      <c r="K601" s="9"/>
    </row>
    <row r="602" ht="15.75" customHeight="1">
      <c r="F602" s="11"/>
      <c r="G602" s="11"/>
      <c r="H602" s="11"/>
      <c r="J602" s="9"/>
      <c r="K602" s="9"/>
    </row>
    <row r="603" ht="15.75" customHeight="1">
      <c r="F603" s="11"/>
      <c r="G603" s="11"/>
      <c r="H603" s="11"/>
      <c r="J603" s="9"/>
      <c r="K603" s="9"/>
    </row>
    <row r="604" ht="15.75" customHeight="1">
      <c r="F604" s="11"/>
      <c r="G604" s="11"/>
      <c r="H604" s="11"/>
      <c r="J604" s="9"/>
      <c r="K604" s="9"/>
    </row>
    <row r="605" ht="15.75" customHeight="1">
      <c r="F605" s="11"/>
      <c r="G605" s="11"/>
      <c r="H605" s="11"/>
      <c r="J605" s="9"/>
      <c r="K605" s="9"/>
    </row>
    <row r="606" ht="15.75" customHeight="1">
      <c r="F606" s="11"/>
      <c r="G606" s="11"/>
      <c r="H606" s="11"/>
      <c r="J606" s="9"/>
      <c r="K606" s="9"/>
    </row>
    <row r="607" ht="15.75" customHeight="1">
      <c r="F607" s="11"/>
      <c r="G607" s="11"/>
      <c r="H607" s="11"/>
      <c r="J607" s="9"/>
      <c r="K607" s="9"/>
    </row>
    <row r="608" ht="15.75" customHeight="1">
      <c r="F608" s="11"/>
      <c r="G608" s="11"/>
      <c r="H608" s="11"/>
      <c r="J608" s="9"/>
      <c r="K608" s="9"/>
    </row>
    <row r="609" ht="15.75" customHeight="1">
      <c r="F609" s="11"/>
      <c r="G609" s="11"/>
      <c r="H609" s="11"/>
      <c r="J609" s="9"/>
      <c r="K609" s="9"/>
    </row>
    <row r="610" ht="15.75" customHeight="1">
      <c r="F610" s="11"/>
      <c r="G610" s="11"/>
      <c r="H610" s="11"/>
      <c r="J610" s="9"/>
      <c r="K610" s="9"/>
    </row>
    <row r="611" ht="15.75" customHeight="1">
      <c r="F611" s="11"/>
      <c r="G611" s="11"/>
      <c r="H611" s="11"/>
      <c r="J611" s="9"/>
      <c r="K611" s="9"/>
    </row>
    <row r="612" ht="15.75" customHeight="1">
      <c r="F612" s="11"/>
      <c r="G612" s="11"/>
      <c r="H612" s="11"/>
      <c r="J612" s="9"/>
      <c r="K612" s="9"/>
    </row>
    <row r="613" ht="15.75" customHeight="1">
      <c r="F613" s="11"/>
      <c r="G613" s="11"/>
      <c r="H613" s="11"/>
      <c r="J613" s="9"/>
      <c r="K613" s="9"/>
    </row>
    <row r="614" ht="15.75" customHeight="1">
      <c r="F614" s="11"/>
      <c r="G614" s="11"/>
      <c r="H614" s="11"/>
      <c r="J614" s="9"/>
      <c r="K614" s="9"/>
    </row>
    <row r="615" ht="15.75" customHeight="1">
      <c r="F615" s="11"/>
      <c r="G615" s="11"/>
      <c r="H615" s="11"/>
      <c r="J615" s="9"/>
      <c r="K615" s="9"/>
    </row>
    <row r="616" ht="15.75" customHeight="1">
      <c r="F616" s="11"/>
      <c r="G616" s="11"/>
      <c r="H616" s="11"/>
      <c r="J616" s="9"/>
      <c r="K616" s="9"/>
    </row>
    <row r="617" ht="15.75" customHeight="1">
      <c r="F617" s="11"/>
      <c r="G617" s="11"/>
      <c r="H617" s="11"/>
      <c r="J617" s="9"/>
      <c r="K617" s="9"/>
    </row>
    <row r="618" ht="15.75" customHeight="1">
      <c r="F618" s="11"/>
      <c r="G618" s="11"/>
      <c r="H618" s="11"/>
      <c r="J618" s="9"/>
      <c r="K618" s="9"/>
    </row>
    <row r="619" ht="15.75" customHeight="1">
      <c r="F619" s="11"/>
      <c r="G619" s="11"/>
      <c r="H619" s="11"/>
      <c r="J619" s="9"/>
      <c r="K619" s="9"/>
    </row>
    <row r="620" ht="15.75" customHeight="1">
      <c r="F620" s="11"/>
      <c r="G620" s="11"/>
      <c r="H620" s="11"/>
      <c r="J620" s="9"/>
      <c r="K620" s="9"/>
    </row>
    <row r="621" ht="15.75" customHeight="1">
      <c r="F621" s="11"/>
      <c r="G621" s="11"/>
      <c r="H621" s="11"/>
      <c r="J621" s="9"/>
      <c r="K621" s="9"/>
    </row>
    <row r="622" ht="15.75" customHeight="1">
      <c r="F622" s="11"/>
      <c r="G622" s="11"/>
      <c r="H622" s="11"/>
      <c r="J622" s="9"/>
      <c r="K622" s="9"/>
    </row>
    <row r="623" ht="15.75" customHeight="1">
      <c r="F623" s="11"/>
      <c r="G623" s="11"/>
      <c r="H623" s="11"/>
      <c r="J623" s="9"/>
      <c r="K623" s="9"/>
    </row>
    <row r="624" ht="15.75" customHeight="1">
      <c r="F624" s="11"/>
      <c r="G624" s="11"/>
      <c r="H624" s="11"/>
      <c r="J624" s="9"/>
      <c r="K624" s="9"/>
    </row>
    <row r="625" ht="15.75" customHeight="1">
      <c r="F625" s="11"/>
      <c r="G625" s="11"/>
      <c r="H625" s="11"/>
      <c r="J625" s="9"/>
      <c r="K625" s="9"/>
    </row>
    <row r="626" ht="15.75" customHeight="1">
      <c r="F626" s="11"/>
      <c r="G626" s="11"/>
      <c r="H626" s="11"/>
      <c r="J626" s="9"/>
      <c r="K626" s="9"/>
    </row>
    <row r="627" ht="15.75" customHeight="1">
      <c r="F627" s="11"/>
      <c r="G627" s="11"/>
      <c r="H627" s="11"/>
      <c r="J627" s="9"/>
      <c r="K627" s="9"/>
    </row>
    <row r="628" ht="15.75" customHeight="1">
      <c r="F628" s="11"/>
      <c r="G628" s="11"/>
      <c r="H628" s="11"/>
      <c r="J628" s="9"/>
      <c r="K628" s="9"/>
    </row>
    <row r="629" ht="15.75" customHeight="1">
      <c r="F629" s="11"/>
      <c r="G629" s="11"/>
      <c r="H629" s="11"/>
      <c r="J629" s="9"/>
      <c r="K629" s="9"/>
    </row>
    <row r="630" ht="15.75" customHeight="1">
      <c r="F630" s="11"/>
      <c r="G630" s="11"/>
      <c r="H630" s="11"/>
      <c r="J630" s="9"/>
      <c r="K630" s="9"/>
    </row>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30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5" width="12.63"/>
    <col customWidth="1" min="6" max="6" width="54.13"/>
    <col customWidth="1" min="7" max="8" width="88.75"/>
    <col customWidth="1" min="9" max="9" width="49.75"/>
  </cols>
  <sheetData>
    <row r="1" ht="15.75" customHeight="1">
      <c r="A1" s="68" t="s">
        <v>1021</v>
      </c>
      <c r="B1" s="68" t="s">
        <v>1022</v>
      </c>
      <c r="C1" s="68" t="s">
        <v>1023</v>
      </c>
      <c r="D1" s="68" t="s">
        <v>1024</v>
      </c>
      <c r="E1" s="68" t="s">
        <v>1025</v>
      </c>
      <c r="F1" s="3" t="s">
        <v>1026</v>
      </c>
      <c r="G1" s="3" t="s">
        <v>1027</v>
      </c>
      <c r="H1" s="3" t="s">
        <v>1682</v>
      </c>
      <c r="I1" s="3" t="s">
        <v>1683</v>
      </c>
      <c r="J1" s="5"/>
      <c r="K1" s="5"/>
      <c r="L1" s="5"/>
      <c r="M1" s="5"/>
      <c r="N1" s="5"/>
      <c r="O1" s="5"/>
      <c r="P1" s="5"/>
      <c r="Q1" s="5"/>
      <c r="R1" s="5"/>
      <c r="S1" s="5"/>
      <c r="T1" s="5"/>
      <c r="U1" s="5"/>
      <c r="V1" s="5"/>
      <c r="W1" s="5"/>
      <c r="X1" s="5"/>
      <c r="Y1" s="5"/>
      <c r="Z1" s="5"/>
      <c r="AA1" s="5"/>
    </row>
    <row r="2" ht="13.5" hidden="1" customHeight="1">
      <c r="A2" s="26">
        <v>45840.0</v>
      </c>
      <c r="B2" s="9">
        <v>1.0</v>
      </c>
      <c r="C2" s="10" t="s">
        <v>1684</v>
      </c>
      <c r="D2" s="69" t="s">
        <v>849</v>
      </c>
      <c r="E2" s="5" t="s">
        <v>1685</v>
      </c>
      <c r="F2" s="11"/>
      <c r="G2" s="11" t="s">
        <v>1686</v>
      </c>
      <c r="H2" s="11"/>
      <c r="I2" s="70" t="s">
        <v>1687</v>
      </c>
    </row>
    <row r="3" ht="13.5" hidden="1" customHeight="1">
      <c r="A3" s="26">
        <v>45840.0</v>
      </c>
      <c r="B3" s="9">
        <v>1.0</v>
      </c>
      <c r="C3" s="10" t="s">
        <v>1688</v>
      </c>
      <c r="D3" s="69" t="s">
        <v>1689</v>
      </c>
      <c r="E3" s="5" t="s">
        <v>1685</v>
      </c>
      <c r="F3" s="71" t="s">
        <v>1690</v>
      </c>
      <c r="G3" s="72" t="s">
        <v>1691</v>
      </c>
      <c r="H3" s="72"/>
      <c r="I3" s="11"/>
    </row>
    <row r="4" ht="13.5" hidden="1" customHeight="1">
      <c r="A4" s="26">
        <v>45846.0</v>
      </c>
      <c r="B4" s="9">
        <v>1.0</v>
      </c>
      <c r="C4" s="10" t="s">
        <v>1692</v>
      </c>
      <c r="D4" s="69" t="s">
        <v>1689</v>
      </c>
      <c r="E4" s="5" t="s">
        <v>1685</v>
      </c>
      <c r="F4" s="72" t="s">
        <v>1693</v>
      </c>
      <c r="G4" s="11" t="s">
        <v>1694</v>
      </c>
      <c r="H4" s="11"/>
      <c r="I4" s="11"/>
    </row>
    <row r="5" ht="13.5" hidden="1" customHeight="1">
      <c r="A5" s="26">
        <v>45852.0</v>
      </c>
      <c r="B5" s="9">
        <v>1.0</v>
      </c>
      <c r="C5" s="10" t="s">
        <v>1684</v>
      </c>
      <c r="D5" s="69" t="s">
        <v>849</v>
      </c>
      <c r="E5" s="5" t="s">
        <v>1685</v>
      </c>
      <c r="F5" s="11" t="s">
        <v>1695</v>
      </c>
      <c r="G5" s="73" t="s">
        <v>1696</v>
      </c>
      <c r="H5" s="73"/>
      <c r="I5" s="11" t="s">
        <v>1697</v>
      </c>
    </row>
    <row r="6" ht="13.5" hidden="1" customHeight="1">
      <c r="A6" s="26">
        <v>45855.0</v>
      </c>
      <c r="B6" s="9">
        <v>1.0</v>
      </c>
      <c r="C6" s="10" t="s">
        <v>1692</v>
      </c>
      <c r="D6" s="69" t="s">
        <v>849</v>
      </c>
      <c r="E6" s="5" t="s">
        <v>1685</v>
      </c>
      <c r="F6" s="11" t="s">
        <v>1698</v>
      </c>
      <c r="G6" s="11" t="s">
        <v>1699</v>
      </c>
      <c r="H6" s="11"/>
      <c r="I6" s="11"/>
    </row>
    <row r="7" ht="13.5" hidden="1" customHeight="1">
      <c r="A7" s="26">
        <v>45856.0</v>
      </c>
      <c r="B7" s="9">
        <v>1.0</v>
      </c>
      <c r="C7" s="10" t="s">
        <v>1700</v>
      </c>
      <c r="D7" s="69" t="s">
        <v>1689</v>
      </c>
      <c r="E7" s="5" t="s">
        <v>1685</v>
      </c>
      <c r="F7" s="11" t="s">
        <v>1701</v>
      </c>
      <c r="G7" s="11" t="s">
        <v>1702</v>
      </c>
      <c r="H7" s="11"/>
      <c r="I7" s="11"/>
    </row>
    <row r="8" ht="13.5" hidden="1" customHeight="1">
      <c r="A8" s="26">
        <v>45859.0</v>
      </c>
      <c r="B8" s="9">
        <v>1.0</v>
      </c>
      <c r="C8" s="10" t="s">
        <v>1692</v>
      </c>
      <c r="D8" s="69" t="s">
        <v>849</v>
      </c>
      <c r="E8" s="5" t="s">
        <v>1685</v>
      </c>
      <c r="F8" s="11" t="s">
        <v>1703</v>
      </c>
      <c r="G8" s="11" t="s">
        <v>1704</v>
      </c>
      <c r="H8" s="11"/>
      <c r="I8" s="11" t="s">
        <v>1705</v>
      </c>
    </row>
    <row r="9" ht="13.5" hidden="1" customHeight="1">
      <c r="A9" s="26">
        <v>45860.0</v>
      </c>
      <c r="B9" s="9">
        <v>1.0</v>
      </c>
      <c r="C9" s="10" t="s">
        <v>1706</v>
      </c>
      <c r="D9" s="69" t="s">
        <v>1689</v>
      </c>
      <c r="E9" s="5" t="s">
        <v>1685</v>
      </c>
      <c r="F9" s="11" t="s">
        <v>1707</v>
      </c>
      <c r="G9" s="11" t="s">
        <v>1708</v>
      </c>
      <c r="H9" s="11"/>
      <c r="I9" s="11"/>
    </row>
    <row r="10" ht="13.5" hidden="1" customHeight="1">
      <c r="A10" s="26">
        <v>45867.0</v>
      </c>
      <c r="B10" s="9">
        <v>1.0</v>
      </c>
      <c r="C10" s="10" t="s">
        <v>1692</v>
      </c>
      <c r="D10" s="69" t="s">
        <v>849</v>
      </c>
      <c r="E10" s="5" t="s">
        <v>1685</v>
      </c>
      <c r="F10" s="11" t="s">
        <v>1709</v>
      </c>
      <c r="G10" s="11" t="s">
        <v>1710</v>
      </c>
      <c r="H10" s="11"/>
      <c r="I10" s="11" t="s">
        <v>1711</v>
      </c>
    </row>
    <row r="11" ht="13.5" hidden="1" customHeight="1">
      <c r="A11" s="26">
        <v>45875.0</v>
      </c>
      <c r="B11" s="9">
        <v>1.0</v>
      </c>
      <c r="C11" s="10" t="s">
        <v>1700</v>
      </c>
      <c r="D11" s="69" t="s">
        <v>849</v>
      </c>
      <c r="E11" s="5" t="s">
        <v>1685</v>
      </c>
      <c r="F11" s="11"/>
      <c r="G11" s="11" t="s">
        <v>1712</v>
      </c>
      <c r="H11" s="11"/>
      <c r="I11" s="11" t="s">
        <v>1713</v>
      </c>
    </row>
    <row r="12" ht="13.5" hidden="1" customHeight="1">
      <c r="A12" s="26">
        <v>45887.0</v>
      </c>
      <c r="B12" s="9">
        <v>1.0</v>
      </c>
      <c r="C12" s="10" t="s">
        <v>1714</v>
      </c>
      <c r="D12" s="69" t="s">
        <v>849</v>
      </c>
      <c r="E12" s="5" t="s">
        <v>1685</v>
      </c>
      <c r="F12" s="74" t="s">
        <v>1715</v>
      </c>
      <c r="G12" s="11" t="s">
        <v>1716</v>
      </c>
      <c r="H12" s="11"/>
      <c r="I12" s="11" t="s">
        <v>1717</v>
      </c>
    </row>
    <row r="13" ht="13.5" hidden="1" customHeight="1">
      <c r="A13" s="26">
        <v>45891.0</v>
      </c>
      <c r="B13" s="9">
        <v>1.0</v>
      </c>
      <c r="C13" s="10" t="s">
        <v>1700</v>
      </c>
      <c r="D13" s="69" t="s">
        <v>849</v>
      </c>
      <c r="E13" s="5" t="s">
        <v>1685</v>
      </c>
      <c r="F13" s="11" t="s">
        <v>1718</v>
      </c>
      <c r="G13" s="11" t="s">
        <v>1719</v>
      </c>
      <c r="H13" s="11"/>
      <c r="I13" s="11"/>
    </row>
    <row r="14" ht="13.5" hidden="1" customHeight="1">
      <c r="A14" s="26">
        <v>45889.0</v>
      </c>
      <c r="B14" s="9">
        <v>1.0</v>
      </c>
      <c r="C14" s="10" t="s">
        <v>1720</v>
      </c>
      <c r="D14" s="69" t="s">
        <v>849</v>
      </c>
      <c r="E14" s="5" t="s">
        <v>1685</v>
      </c>
      <c r="F14" s="11" t="s">
        <v>1721</v>
      </c>
      <c r="G14" s="11" t="s">
        <v>1722</v>
      </c>
      <c r="H14" s="11"/>
      <c r="I14" s="11"/>
    </row>
    <row r="15" ht="13.5" hidden="1" customHeight="1">
      <c r="A15" s="26">
        <v>45897.0</v>
      </c>
      <c r="B15" s="9">
        <v>1.0</v>
      </c>
      <c r="C15" s="10" t="s">
        <v>1723</v>
      </c>
      <c r="D15" s="69" t="s">
        <v>849</v>
      </c>
      <c r="E15" s="5" t="s">
        <v>1685</v>
      </c>
      <c r="F15" s="11" t="s">
        <v>1724</v>
      </c>
      <c r="G15" s="11"/>
      <c r="H15" s="11"/>
      <c r="I15" s="11"/>
    </row>
    <row r="16" ht="13.5" hidden="1" customHeight="1">
      <c r="A16" s="26">
        <v>45903.0</v>
      </c>
      <c r="B16" s="9">
        <v>1.0</v>
      </c>
      <c r="C16" s="10" t="s">
        <v>1714</v>
      </c>
      <c r="D16" s="69" t="s">
        <v>849</v>
      </c>
      <c r="E16" s="5" t="s">
        <v>1685</v>
      </c>
      <c r="F16" s="11" t="s">
        <v>1725</v>
      </c>
      <c r="G16" s="11"/>
      <c r="H16" s="11"/>
      <c r="I16" s="11"/>
    </row>
    <row r="17" ht="13.5" hidden="1" customHeight="1">
      <c r="A17" s="26">
        <v>45904.0</v>
      </c>
      <c r="B17" s="9">
        <v>1.0</v>
      </c>
      <c r="C17" s="5" t="s">
        <v>1692</v>
      </c>
      <c r="D17" s="69" t="s">
        <v>849</v>
      </c>
      <c r="E17" s="5" t="s">
        <v>1685</v>
      </c>
      <c r="F17" s="11" t="s">
        <v>1726</v>
      </c>
      <c r="G17" s="11" t="s">
        <v>1727</v>
      </c>
      <c r="H17" s="11"/>
      <c r="I17" s="11"/>
    </row>
    <row r="18" ht="13.5" hidden="1" customHeight="1">
      <c r="A18" s="26">
        <v>45904.0</v>
      </c>
      <c r="B18" s="9">
        <v>1.0</v>
      </c>
      <c r="C18" s="10" t="s">
        <v>1700</v>
      </c>
      <c r="D18" s="69" t="s">
        <v>849</v>
      </c>
      <c r="E18" s="5" t="s">
        <v>1685</v>
      </c>
      <c r="F18" s="11" t="s">
        <v>1728</v>
      </c>
      <c r="G18" s="11"/>
      <c r="H18" s="11"/>
      <c r="I18" s="11"/>
    </row>
    <row r="19" ht="13.5" hidden="1" customHeight="1">
      <c r="A19" s="26">
        <v>45904.0</v>
      </c>
      <c r="B19" s="9">
        <v>1.0</v>
      </c>
      <c r="C19" s="10" t="s">
        <v>1729</v>
      </c>
      <c r="D19" s="69" t="s">
        <v>849</v>
      </c>
      <c r="E19" s="5" t="s">
        <v>1685</v>
      </c>
      <c r="F19" s="11" t="s">
        <v>1730</v>
      </c>
      <c r="G19" s="11"/>
      <c r="H19" s="11"/>
      <c r="I19" s="11"/>
    </row>
    <row r="20" ht="13.5" hidden="1" customHeight="1">
      <c r="A20" s="26">
        <v>45904.0</v>
      </c>
      <c r="B20" s="9">
        <v>1.0</v>
      </c>
      <c r="C20" s="10" t="s">
        <v>1720</v>
      </c>
      <c r="D20" s="69" t="s">
        <v>849</v>
      </c>
      <c r="E20" s="5" t="s">
        <v>1685</v>
      </c>
      <c r="F20" s="11" t="s">
        <v>1731</v>
      </c>
      <c r="G20" s="11" t="s">
        <v>1732</v>
      </c>
      <c r="H20" s="11"/>
      <c r="I20" s="11"/>
    </row>
    <row r="21" ht="13.5" hidden="1" customHeight="1">
      <c r="A21" s="26">
        <v>45905.0</v>
      </c>
      <c r="B21" s="9">
        <v>1.0</v>
      </c>
      <c r="C21" s="10" t="s">
        <v>1714</v>
      </c>
      <c r="D21" s="69" t="s">
        <v>849</v>
      </c>
      <c r="E21" s="5" t="s">
        <v>1685</v>
      </c>
      <c r="F21" s="11" t="s">
        <v>1733</v>
      </c>
      <c r="G21" s="11" t="s">
        <v>1734</v>
      </c>
      <c r="H21" s="11"/>
      <c r="I21" s="70" t="s">
        <v>1735</v>
      </c>
    </row>
    <row r="22" ht="13.5" hidden="1" customHeight="1">
      <c r="A22" s="26">
        <v>45919.0</v>
      </c>
      <c r="B22" s="9">
        <v>1.0</v>
      </c>
      <c r="C22" s="10" t="s">
        <v>1714</v>
      </c>
      <c r="D22" s="69" t="s">
        <v>849</v>
      </c>
      <c r="E22" s="5" t="s">
        <v>1685</v>
      </c>
      <c r="F22" s="11" t="s">
        <v>1736</v>
      </c>
      <c r="G22" s="11"/>
      <c r="H22" s="11"/>
      <c r="I22" s="11"/>
    </row>
    <row r="23" ht="13.5" hidden="1" customHeight="1">
      <c r="A23" s="26">
        <v>45919.0</v>
      </c>
      <c r="B23" s="9">
        <v>1.0</v>
      </c>
      <c r="C23" s="5" t="s">
        <v>1692</v>
      </c>
      <c r="D23" s="69" t="s">
        <v>849</v>
      </c>
      <c r="E23" s="5" t="s">
        <v>1685</v>
      </c>
      <c r="F23" s="11" t="s">
        <v>1737</v>
      </c>
      <c r="G23" s="11" t="s">
        <v>1738</v>
      </c>
      <c r="H23" s="11"/>
      <c r="I23" s="11" t="s">
        <v>1739</v>
      </c>
    </row>
    <row r="24" ht="13.5" hidden="1" customHeight="1">
      <c r="A24" s="26">
        <v>45924.0</v>
      </c>
      <c r="B24" s="9">
        <v>1.0</v>
      </c>
      <c r="C24" s="10" t="s">
        <v>1723</v>
      </c>
      <c r="D24" s="69" t="s">
        <v>849</v>
      </c>
      <c r="E24" s="5" t="s">
        <v>1685</v>
      </c>
      <c r="F24" s="11" t="s">
        <v>1740</v>
      </c>
      <c r="G24" s="11"/>
      <c r="H24" s="11"/>
      <c r="I24" s="11"/>
    </row>
    <row r="25" ht="15.75" hidden="1" customHeight="1">
      <c r="A25" s="26">
        <v>45926.0</v>
      </c>
      <c r="B25" s="9">
        <v>1.0</v>
      </c>
      <c r="C25" s="5" t="s">
        <v>1692</v>
      </c>
      <c r="D25" s="69" t="s">
        <v>849</v>
      </c>
      <c r="E25" s="5" t="s">
        <v>1685</v>
      </c>
      <c r="F25" s="11" t="s">
        <v>1741</v>
      </c>
      <c r="G25" s="11"/>
      <c r="H25" s="11"/>
      <c r="I25" s="11"/>
    </row>
    <row r="26" ht="17.25" hidden="1" customHeight="1">
      <c r="A26" s="75">
        <v>45933.0</v>
      </c>
      <c r="B26" s="76">
        <v>1.0</v>
      </c>
      <c r="C26" s="5" t="s">
        <v>1742</v>
      </c>
      <c r="D26" s="69" t="s">
        <v>849</v>
      </c>
      <c r="E26" s="5" t="s">
        <v>1685</v>
      </c>
      <c r="F26" s="11"/>
      <c r="G26" s="11"/>
      <c r="H26" s="11"/>
      <c r="I26" s="11"/>
    </row>
    <row r="27" ht="15.75" hidden="1" customHeight="1">
      <c r="A27" s="75">
        <v>45936.0</v>
      </c>
      <c r="B27" s="76">
        <v>1.0</v>
      </c>
      <c r="C27" s="5" t="s">
        <v>1692</v>
      </c>
      <c r="D27" s="69" t="s">
        <v>849</v>
      </c>
      <c r="E27" s="5" t="s">
        <v>1685</v>
      </c>
      <c r="F27" s="11" t="s">
        <v>1743</v>
      </c>
      <c r="G27" s="11" t="s">
        <v>1744</v>
      </c>
      <c r="H27" s="11"/>
      <c r="I27" s="11"/>
      <c r="K27" s="75"/>
      <c r="L27" s="76"/>
      <c r="M27" s="5"/>
      <c r="N27" s="69"/>
      <c r="O27" s="5"/>
    </row>
    <row r="28" ht="15.75" hidden="1" customHeight="1">
      <c r="A28" s="75">
        <v>45937.0</v>
      </c>
      <c r="B28" s="76">
        <v>1.0</v>
      </c>
      <c r="C28" s="5" t="s">
        <v>1745</v>
      </c>
      <c r="D28" s="69" t="s">
        <v>26</v>
      </c>
      <c r="E28" s="5" t="s">
        <v>1685</v>
      </c>
      <c r="F28" s="11" t="s">
        <v>1746</v>
      </c>
      <c r="G28" s="11" t="s">
        <v>1747</v>
      </c>
      <c r="H28" s="11"/>
      <c r="I28" s="11"/>
      <c r="K28" s="75"/>
      <c r="L28" s="76"/>
      <c r="M28" s="5"/>
      <c r="N28" s="69"/>
      <c r="O28" s="5"/>
    </row>
    <row r="29" ht="15.75" hidden="1" customHeight="1">
      <c r="A29" s="75">
        <v>45937.0</v>
      </c>
      <c r="B29" s="76">
        <v>2.0</v>
      </c>
      <c r="C29" s="5" t="s">
        <v>1692</v>
      </c>
      <c r="D29" s="69" t="s">
        <v>26</v>
      </c>
      <c r="E29" s="5" t="s">
        <v>1042</v>
      </c>
      <c r="F29" s="11" t="s">
        <v>1748</v>
      </c>
      <c r="G29" s="77" t="s">
        <v>1749</v>
      </c>
      <c r="H29" s="77"/>
      <c r="I29" s="11"/>
      <c r="K29" s="75"/>
      <c r="L29" s="76"/>
      <c r="M29" s="5"/>
      <c r="N29" s="69"/>
      <c r="O29" s="5"/>
    </row>
    <row r="30" ht="15.75" hidden="1" customHeight="1">
      <c r="A30" s="75">
        <v>45938.0</v>
      </c>
      <c r="B30" s="76">
        <v>1.0</v>
      </c>
      <c r="C30" s="5" t="s">
        <v>1692</v>
      </c>
      <c r="D30" s="69" t="s">
        <v>849</v>
      </c>
      <c r="E30" s="5" t="s">
        <v>1685</v>
      </c>
      <c r="F30" s="11" t="s">
        <v>1750</v>
      </c>
      <c r="G30" s="11"/>
      <c r="H30" s="11"/>
      <c r="I30" s="11"/>
      <c r="K30" s="75"/>
      <c r="L30" s="76"/>
      <c r="M30" s="5"/>
      <c r="N30" s="69"/>
      <c r="O30" s="5"/>
    </row>
    <row r="31" ht="15.75" hidden="1" customHeight="1">
      <c r="A31" s="75">
        <v>45940.0</v>
      </c>
      <c r="B31" s="76">
        <v>1.0</v>
      </c>
      <c r="C31" s="5" t="s">
        <v>1720</v>
      </c>
      <c r="D31" s="69" t="s">
        <v>849</v>
      </c>
      <c r="E31" s="5" t="s">
        <v>1685</v>
      </c>
      <c r="F31" s="11" t="s">
        <v>1751</v>
      </c>
      <c r="G31" s="11" t="s">
        <v>1752</v>
      </c>
      <c r="H31" s="11"/>
      <c r="I31" s="70" t="s">
        <v>1753</v>
      </c>
      <c r="K31" s="75"/>
      <c r="L31" s="76"/>
      <c r="M31" s="5"/>
      <c r="N31" s="69"/>
      <c r="O31" s="5"/>
    </row>
    <row r="32" ht="15.75" hidden="1" customHeight="1">
      <c r="A32" s="75">
        <v>45943.0</v>
      </c>
      <c r="B32" s="76">
        <v>1.0</v>
      </c>
      <c r="C32" s="5" t="s">
        <v>1720</v>
      </c>
      <c r="D32" s="69" t="s">
        <v>1689</v>
      </c>
      <c r="E32" s="5" t="s">
        <v>1685</v>
      </c>
      <c r="F32" s="11" t="s">
        <v>1754</v>
      </c>
      <c r="G32" s="11"/>
      <c r="H32" s="11"/>
      <c r="I32" s="11"/>
      <c r="K32" s="75"/>
      <c r="L32" s="76"/>
      <c r="M32" s="5"/>
      <c r="N32" s="69"/>
      <c r="O32" s="5"/>
    </row>
    <row r="33" ht="15.75" hidden="1" customHeight="1">
      <c r="A33" s="75">
        <v>45943.0</v>
      </c>
      <c r="B33" s="76">
        <v>2.0</v>
      </c>
      <c r="C33" s="5" t="s">
        <v>1720</v>
      </c>
      <c r="D33" s="69" t="s">
        <v>1689</v>
      </c>
      <c r="E33" s="5" t="s">
        <v>1755</v>
      </c>
      <c r="F33" s="11" t="s">
        <v>1756</v>
      </c>
      <c r="G33" s="11" t="s">
        <v>1757</v>
      </c>
      <c r="H33" s="11"/>
      <c r="I33" s="11"/>
      <c r="K33" s="75"/>
      <c r="L33" s="76"/>
      <c r="M33" s="5"/>
      <c r="N33" s="69"/>
      <c r="O33" s="5"/>
    </row>
    <row r="34" ht="15.75" hidden="1" customHeight="1">
      <c r="A34" s="75">
        <v>45944.0</v>
      </c>
      <c r="B34" s="76">
        <v>1.0</v>
      </c>
      <c r="C34" s="5" t="s">
        <v>1758</v>
      </c>
      <c r="D34" s="69" t="s">
        <v>1689</v>
      </c>
      <c r="E34" s="69" t="s">
        <v>1689</v>
      </c>
      <c r="F34" s="11" t="s">
        <v>1759</v>
      </c>
      <c r="G34" s="11"/>
      <c r="H34" s="11"/>
      <c r="I34" s="11"/>
      <c r="K34" s="75"/>
      <c r="L34" s="76"/>
      <c r="M34" s="5"/>
      <c r="N34" s="69"/>
      <c r="O34" s="5"/>
    </row>
    <row r="35" ht="15.75" hidden="1" customHeight="1">
      <c r="A35" s="75">
        <v>45945.0</v>
      </c>
      <c r="B35" s="76">
        <v>1.0</v>
      </c>
      <c r="C35" s="5" t="s">
        <v>1714</v>
      </c>
      <c r="D35" s="69" t="s">
        <v>26</v>
      </c>
      <c r="E35" s="5" t="s">
        <v>1760</v>
      </c>
      <c r="F35" s="11" t="s">
        <v>1761</v>
      </c>
      <c r="G35" s="11"/>
      <c r="H35" s="11"/>
      <c r="I35" s="11"/>
      <c r="K35" s="75"/>
      <c r="L35" s="76"/>
      <c r="M35" s="5"/>
      <c r="N35" s="69"/>
      <c r="O35" s="5"/>
    </row>
    <row r="36" ht="15.75" hidden="1" customHeight="1">
      <c r="A36" s="75">
        <v>45947.0</v>
      </c>
      <c r="B36" s="76"/>
      <c r="C36" s="5"/>
      <c r="D36" s="69"/>
      <c r="E36" s="5"/>
      <c r="F36" s="11" t="s">
        <v>1276</v>
      </c>
      <c r="G36" s="11"/>
      <c r="H36" s="11"/>
      <c r="I36" s="11"/>
      <c r="K36" s="75"/>
      <c r="L36" s="76"/>
      <c r="M36" s="5"/>
      <c r="N36" s="69"/>
      <c r="O36" s="5"/>
    </row>
    <row r="37" ht="15.75" hidden="1" customHeight="1">
      <c r="A37" s="75">
        <v>45951.0</v>
      </c>
      <c r="B37" s="76">
        <v>1.0</v>
      </c>
      <c r="C37" s="5" t="s">
        <v>1762</v>
      </c>
      <c r="D37" s="69" t="s">
        <v>1689</v>
      </c>
      <c r="E37" s="69" t="s">
        <v>1689</v>
      </c>
      <c r="F37" s="11" t="s">
        <v>1763</v>
      </c>
      <c r="G37" s="11"/>
      <c r="H37" s="11"/>
      <c r="I37" s="11"/>
      <c r="K37" s="75"/>
      <c r="L37" s="76"/>
      <c r="M37" s="5"/>
      <c r="N37" s="69"/>
      <c r="O37" s="5"/>
    </row>
    <row r="38" ht="15.75" hidden="1" customHeight="1">
      <c r="A38" s="75">
        <v>45952.0</v>
      </c>
      <c r="B38" s="76">
        <v>1.0</v>
      </c>
      <c r="C38" s="5" t="s">
        <v>1706</v>
      </c>
      <c r="D38" s="69" t="s">
        <v>1689</v>
      </c>
      <c r="E38" s="5" t="s">
        <v>1685</v>
      </c>
      <c r="F38" s="11" t="s">
        <v>1764</v>
      </c>
      <c r="G38" s="11" t="s">
        <v>1765</v>
      </c>
      <c r="H38" s="11"/>
      <c r="I38" s="11" t="s">
        <v>1766</v>
      </c>
      <c r="K38" s="75"/>
      <c r="L38" s="76"/>
      <c r="M38" s="5"/>
      <c r="N38" s="69"/>
      <c r="O38" s="5"/>
    </row>
    <row r="39" ht="15.75" hidden="1" customHeight="1">
      <c r="A39" s="75">
        <v>45953.0</v>
      </c>
      <c r="B39" s="76"/>
      <c r="C39" s="5"/>
      <c r="D39" s="69"/>
      <c r="E39" s="5"/>
      <c r="F39" s="11" t="s">
        <v>1276</v>
      </c>
      <c r="G39" s="11"/>
      <c r="H39" s="11"/>
      <c r="I39" s="11"/>
      <c r="K39" s="75"/>
      <c r="L39" s="76"/>
      <c r="M39" s="5"/>
      <c r="N39" s="69"/>
      <c r="O39" s="5"/>
    </row>
    <row r="40" ht="15.75" hidden="1" customHeight="1">
      <c r="A40" s="75">
        <v>45954.0</v>
      </c>
      <c r="B40" s="76"/>
      <c r="C40" s="5"/>
      <c r="D40" s="69"/>
      <c r="E40" s="5"/>
      <c r="F40" s="11" t="s">
        <v>1276</v>
      </c>
      <c r="G40" s="11"/>
      <c r="H40" s="11"/>
      <c r="I40" s="11"/>
      <c r="K40" s="75"/>
      <c r="L40" s="76"/>
      <c r="M40" s="5"/>
      <c r="N40" s="69"/>
      <c r="O40" s="5"/>
    </row>
    <row r="41" ht="15.75" hidden="1" customHeight="1">
      <c r="A41" s="75">
        <v>45957.0</v>
      </c>
      <c r="B41" s="76"/>
      <c r="D41" s="69"/>
      <c r="E41" s="5"/>
      <c r="F41" s="11"/>
      <c r="G41" s="11" t="s">
        <v>1767</v>
      </c>
      <c r="H41" s="11"/>
      <c r="I41" s="70" t="s">
        <v>1768</v>
      </c>
      <c r="K41" s="75"/>
      <c r="L41" s="76"/>
      <c r="M41" s="5"/>
      <c r="N41" s="69"/>
      <c r="O41" s="5"/>
    </row>
    <row r="42" ht="15.75" hidden="1" customHeight="1">
      <c r="A42" s="75">
        <v>45958.0</v>
      </c>
      <c r="B42" s="76">
        <v>1.0</v>
      </c>
      <c r="C42" s="5" t="s">
        <v>1692</v>
      </c>
      <c r="D42" s="69" t="s">
        <v>1689</v>
      </c>
      <c r="E42" s="5" t="s">
        <v>1685</v>
      </c>
      <c r="F42" s="11" t="s">
        <v>1769</v>
      </c>
      <c r="G42" s="11" t="s">
        <v>1770</v>
      </c>
      <c r="H42" s="11"/>
      <c r="I42" s="11"/>
      <c r="K42" s="75"/>
      <c r="L42" s="76"/>
      <c r="M42" s="5"/>
      <c r="N42" s="69"/>
      <c r="O42" s="5"/>
    </row>
    <row r="43" ht="15.75" hidden="1" customHeight="1">
      <c r="A43" s="75">
        <v>45959.0</v>
      </c>
      <c r="B43" s="76">
        <v>1.0</v>
      </c>
      <c r="C43" s="5" t="s">
        <v>1729</v>
      </c>
      <c r="D43" s="69" t="s">
        <v>1689</v>
      </c>
      <c r="E43" s="69" t="s">
        <v>1689</v>
      </c>
      <c r="F43" s="11" t="s">
        <v>1771</v>
      </c>
      <c r="G43" s="11"/>
      <c r="H43" s="11"/>
      <c r="I43" s="11"/>
      <c r="K43" s="75"/>
      <c r="L43" s="76"/>
      <c r="M43" s="5"/>
      <c r="N43" s="69"/>
      <c r="O43" s="5"/>
    </row>
    <row r="44" ht="15.75" hidden="1" customHeight="1">
      <c r="A44" s="75">
        <v>45959.0</v>
      </c>
      <c r="B44" s="76">
        <v>2.0</v>
      </c>
      <c r="C44" s="5" t="s">
        <v>1692</v>
      </c>
      <c r="D44" s="69" t="s">
        <v>1689</v>
      </c>
      <c r="E44" s="5" t="s">
        <v>1685</v>
      </c>
      <c r="F44" s="11" t="s">
        <v>1772</v>
      </c>
      <c r="G44" s="11"/>
      <c r="H44" s="11"/>
      <c r="I44" s="11"/>
      <c r="K44" s="75"/>
      <c r="L44" s="76"/>
      <c r="M44" s="5"/>
      <c r="N44" s="69"/>
      <c r="O44" s="5"/>
    </row>
    <row r="45" ht="15.75" hidden="1" customHeight="1">
      <c r="A45" s="75">
        <v>45960.0</v>
      </c>
      <c r="B45" s="76"/>
      <c r="C45" s="5"/>
      <c r="D45" s="69"/>
      <c r="E45" s="5"/>
      <c r="F45" s="11" t="s">
        <v>1276</v>
      </c>
      <c r="G45" s="11"/>
      <c r="H45" s="11"/>
      <c r="I45" s="11"/>
      <c r="K45" s="75"/>
      <c r="L45" s="76"/>
      <c r="M45" s="5"/>
      <c r="N45" s="69"/>
      <c r="O45" s="5"/>
    </row>
    <row r="46" ht="15.75" hidden="1" customHeight="1">
      <c r="A46" s="75">
        <v>45961.0</v>
      </c>
      <c r="B46" s="76"/>
      <c r="C46" s="5" t="s">
        <v>1742</v>
      </c>
      <c r="D46" s="69" t="s">
        <v>1032</v>
      </c>
      <c r="E46" s="5" t="s">
        <v>1042</v>
      </c>
      <c r="F46" s="11" t="s">
        <v>1773</v>
      </c>
      <c r="G46" s="11"/>
      <c r="H46" s="11"/>
      <c r="I46" s="11"/>
      <c r="K46" s="75"/>
      <c r="L46" s="76"/>
      <c r="M46" s="5"/>
      <c r="N46" s="69"/>
      <c r="O46" s="5"/>
    </row>
    <row r="47" ht="15.75" hidden="1" customHeight="1">
      <c r="A47" s="75">
        <v>45964.0</v>
      </c>
      <c r="B47" s="76"/>
      <c r="C47" s="5" t="s">
        <v>1745</v>
      </c>
      <c r="D47" s="69" t="s">
        <v>1774</v>
      </c>
      <c r="E47" s="5" t="s">
        <v>1685</v>
      </c>
      <c r="F47" s="11" t="s">
        <v>1775</v>
      </c>
      <c r="G47" s="11"/>
      <c r="H47" s="11"/>
      <c r="I47" s="11"/>
      <c r="K47" s="75"/>
      <c r="L47" s="76"/>
      <c r="M47" s="5"/>
      <c r="N47" s="69"/>
      <c r="O47" s="5"/>
    </row>
    <row r="48" ht="15.75" hidden="1" customHeight="1">
      <c r="A48" s="75">
        <v>45965.0</v>
      </c>
      <c r="B48" s="76"/>
      <c r="C48" s="5" t="s">
        <v>1742</v>
      </c>
      <c r="D48" s="69" t="s">
        <v>1774</v>
      </c>
      <c r="E48" s="5" t="s">
        <v>1685</v>
      </c>
      <c r="F48" s="11" t="s">
        <v>1776</v>
      </c>
      <c r="G48" s="11"/>
      <c r="H48" s="11"/>
      <c r="I48" s="11"/>
      <c r="K48" s="75"/>
      <c r="L48" s="76"/>
      <c r="M48" s="5"/>
      <c r="N48" s="69"/>
      <c r="O48" s="5"/>
    </row>
    <row r="49" ht="15.75" hidden="1" customHeight="1">
      <c r="A49" s="75">
        <v>45966.0</v>
      </c>
      <c r="B49" s="76"/>
      <c r="C49" s="5" t="s">
        <v>1777</v>
      </c>
      <c r="D49" s="69" t="s">
        <v>1774</v>
      </c>
      <c r="E49" s="69" t="s">
        <v>1774</v>
      </c>
      <c r="F49" s="11" t="s">
        <v>1778</v>
      </c>
      <c r="G49" s="73" t="s">
        <v>1779</v>
      </c>
      <c r="H49" s="73"/>
      <c r="I49" s="11"/>
      <c r="K49" s="75"/>
      <c r="L49" s="76"/>
      <c r="M49" s="5"/>
      <c r="N49" s="69"/>
      <c r="O49" s="5"/>
    </row>
    <row r="50" ht="15.75" hidden="1" customHeight="1">
      <c r="A50" s="75">
        <v>45967.0</v>
      </c>
      <c r="B50" s="76"/>
      <c r="C50" s="5"/>
      <c r="D50" s="69"/>
      <c r="E50" s="5"/>
      <c r="F50" s="11" t="s">
        <v>1276</v>
      </c>
      <c r="G50" s="11"/>
      <c r="H50" s="11"/>
      <c r="I50" s="11"/>
      <c r="K50" s="75"/>
      <c r="L50" s="76"/>
      <c r="M50" s="5"/>
      <c r="N50" s="69"/>
      <c r="O50" s="5"/>
    </row>
    <row r="51" ht="15.75" hidden="1" customHeight="1">
      <c r="A51" s="75">
        <v>45968.0</v>
      </c>
      <c r="B51" s="76"/>
      <c r="C51" s="5" t="s">
        <v>1780</v>
      </c>
      <c r="D51" s="69" t="s">
        <v>849</v>
      </c>
      <c r="E51" s="5" t="s">
        <v>1685</v>
      </c>
      <c r="F51" s="11"/>
      <c r="G51" s="11" t="s">
        <v>1781</v>
      </c>
      <c r="H51" s="11"/>
      <c r="I51" s="11" t="s">
        <v>1782</v>
      </c>
      <c r="K51" s="75"/>
      <c r="L51" s="76"/>
      <c r="M51" s="5"/>
      <c r="N51" s="69"/>
      <c r="O51" s="5"/>
    </row>
    <row r="52" ht="15.75" hidden="1" customHeight="1">
      <c r="A52" s="75">
        <v>45971.0</v>
      </c>
      <c r="B52" s="76"/>
      <c r="C52" s="5"/>
      <c r="D52" s="69"/>
      <c r="E52" s="5"/>
      <c r="F52" s="11" t="s">
        <v>1276</v>
      </c>
      <c r="G52" s="11"/>
      <c r="H52" s="11"/>
      <c r="I52" s="11"/>
      <c r="K52" s="75"/>
      <c r="L52" s="76"/>
      <c r="M52" s="5"/>
      <c r="N52" s="69"/>
      <c r="O52" s="5"/>
    </row>
    <row r="53" ht="15.75" hidden="1" customHeight="1">
      <c r="A53" s="75">
        <v>45972.0</v>
      </c>
      <c r="B53" s="76"/>
      <c r="C53" s="5"/>
      <c r="D53" s="69"/>
      <c r="E53" s="5"/>
      <c r="F53" s="11" t="s">
        <v>1276</v>
      </c>
      <c r="G53" s="11"/>
      <c r="H53" s="11"/>
      <c r="I53" s="11"/>
      <c r="K53" s="75"/>
      <c r="L53" s="76"/>
      <c r="M53" s="5"/>
      <c r="N53" s="69"/>
      <c r="O53" s="5"/>
    </row>
    <row r="54" ht="15.75" hidden="1" customHeight="1">
      <c r="A54" s="75">
        <v>45973.0</v>
      </c>
      <c r="B54" s="76"/>
      <c r="C54" s="5"/>
      <c r="D54" s="69"/>
      <c r="E54" s="5"/>
      <c r="F54" s="11" t="s">
        <v>1276</v>
      </c>
      <c r="G54" s="11"/>
      <c r="H54" s="11"/>
      <c r="I54" s="11"/>
      <c r="K54" s="75"/>
      <c r="L54" s="76"/>
      <c r="M54" s="5"/>
      <c r="N54" s="69"/>
      <c r="O54" s="5"/>
    </row>
    <row r="55" ht="15.75" hidden="1" customHeight="1">
      <c r="A55" s="75">
        <v>45974.0</v>
      </c>
      <c r="B55" s="76"/>
      <c r="C55" s="5"/>
      <c r="D55" s="69"/>
      <c r="E55" s="5"/>
      <c r="F55" s="11" t="s">
        <v>1276</v>
      </c>
      <c r="G55" s="11"/>
      <c r="H55" s="11"/>
      <c r="I55" s="11"/>
      <c r="K55" s="75"/>
      <c r="L55" s="76"/>
      <c r="M55" s="5"/>
      <c r="N55" s="69"/>
      <c r="O55" s="5"/>
    </row>
    <row r="56" ht="15.75" hidden="1" customHeight="1">
      <c r="A56" s="75">
        <v>45975.0</v>
      </c>
      <c r="B56" s="76"/>
      <c r="C56" s="5"/>
      <c r="D56" s="69"/>
      <c r="E56" s="5"/>
      <c r="F56" s="78" t="s">
        <v>1783</v>
      </c>
      <c r="G56" s="11"/>
      <c r="H56" s="11"/>
      <c r="I56" s="11"/>
      <c r="K56" s="75"/>
      <c r="L56" s="76"/>
      <c r="M56" s="5"/>
      <c r="N56" s="69"/>
      <c r="O56" s="5"/>
    </row>
    <row r="57" ht="15.75" hidden="1" customHeight="1">
      <c r="A57" s="75">
        <v>45978.0</v>
      </c>
      <c r="B57" s="76"/>
      <c r="C57" s="5"/>
      <c r="D57" s="69"/>
      <c r="E57" s="5"/>
      <c r="F57" s="11" t="s">
        <v>1276</v>
      </c>
      <c r="G57" s="11"/>
      <c r="H57" s="11"/>
      <c r="I57" s="11"/>
      <c r="K57" s="75"/>
      <c r="L57" s="76"/>
      <c r="M57" s="5"/>
      <c r="N57" s="69"/>
      <c r="O57" s="5"/>
    </row>
    <row r="58" ht="15.75" hidden="1" customHeight="1">
      <c r="A58" s="75">
        <v>45979.0</v>
      </c>
      <c r="B58" s="76"/>
      <c r="C58" s="5"/>
      <c r="D58" s="69"/>
      <c r="E58" s="5"/>
      <c r="F58" s="11" t="s">
        <v>1276</v>
      </c>
      <c r="G58" s="11"/>
      <c r="H58" s="11"/>
      <c r="I58" s="11"/>
      <c r="K58" s="75"/>
      <c r="L58" s="76"/>
      <c r="M58" s="5"/>
      <c r="N58" s="69"/>
      <c r="O58" s="5"/>
    </row>
    <row r="59" ht="15.75" hidden="1" customHeight="1">
      <c r="A59" s="75">
        <v>45980.0</v>
      </c>
      <c r="B59" s="76">
        <v>1.0</v>
      </c>
      <c r="C59" s="5" t="s">
        <v>1784</v>
      </c>
      <c r="D59" s="69" t="s">
        <v>849</v>
      </c>
      <c r="E59" s="5" t="s">
        <v>1685</v>
      </c>
      <c r="F59" s="74" t="s">
        <v>1785</v>
      </c>
      <c r="G59" s="11"/>
      <c r="H59" s="11"/>
      <c r="I59" s="11"/>
      <c r="K59" s="75"/>
      <c r="L59" s="76"/>
      <c r="M59" s="5"/>
      <c r="N59" s="69"/>
      <c r="O59" s="5"/>
    </row>
    <row r="60" ht="15.75" hidden="1" customHeight="1">
      <c r="A60" s="75">
        <v>45980.0</v>
      </c>
      <c r="B60" s="76">
        <v>2.0</v>
      </c>
      <c r="C60" s="5" t="s">
        <v>1692</v>
      </c>
      <c r="D60" s="69" t="s">
        <v>1774</v>
      </c>
      <c r="E60" s="5" t="s">
        <v>1685</v>
      </c>
      <c r="F60" s="11" t="s">
        <v>1786</v>
      </c>
      <c r="G60" s="11" t="s">
        <v>1787</v>
      </c>
      <c r="H60" s="11"/>
      <c r="I60" s="11" t="s">
        <v>1788</v>
      </c>
      <c r="K60" s="75"/>
      <c r="L60" s="76"/>
      <c r="M60" s="5"/>
      <c r="N60" s="69"/>
      <c r="O60" s="5"/>
    </row>
    <row r="61" ht="15.75" hidden="1" customHeight="1">
      <c r="A61" s="75">
        <v>45981.0</v>
      </c>
      <c r="B61" s="76">
        <v>1.0</v>
      </c>
      <c r="C61" s="5" t="s">
        <v>1700</v>
      </c>
      <c r="D61" s="69" t="s">
        <v>1774</v>
      </c>
      <c r="E61" s="5" t="s">
        <v>1685</v>
      </c>
      <c r="F61" s="11" t="s">
        <v>1789</v>
      </c>
      <c r="G61" s="11" t="s">
        <v>1790</v>
      </c>
      <c r="H61" s="11"/>
      <c r="I61" s="11" t="s">
        <v>1791</v>
      </c>
      <c r="K61" s="75"/>
      <c r="L61" s="76"/>
      <c r="M61" s="5"/>
      <c r="N61" s="69"/>
      <c r="O61" s="5"/>
    </row>
    <row r="62" ht="15.75" hidden="1" customHeight="1">
      <c r="A62" s="75">
        <v>45982.0</v>
      </c>
      <c r="B62" s="76"/>
      <c r="C62" s="5"/>
      <c r="D62" s="69"/>
      <c r="E62" s="5"/>
      <c r="F62" s="11" t="s">
        <v>1276</v>
      </c>
      <c r="G62" s="11"/>
      <c r="H62" s="11"/>
      <c r="I62" s="11"/>
      <c r="K62" s="75"/>
      <c r="L62" s="76"/>
      <c r="M62" s="5"/>
      <c r="N62" s="69"/>
      <c r="O62" s="5"/>
    </row>
    <row r="63" ht="15.75" hidden="1" customHeight="1">
      <c r="A63" s="75">
        <v>45985.0</v>
      </c>
      <c r="B63" s="76">
        <v>1.0</v>
      </c>
      <c r="C63" s="5" t="s">
        <v>1706</v>
      </c>
      <c r="D63" s="69" t="s">
        <v>1774</v>
      </c>
      <c r="E63" s="5" t="s">
        <v>1685</v>
      </c>
      <c r="F63" s="11" t="s">
        <v>1792</v>
      </c>
      <c r="G63" s="11" t="s">
        <v>1793</v>
      </c>
      <c r="H63" s="11"/>
      <c r="I63" s="11"/>
      <c r="K63" s="75"/>
      <c r="L63" s="76"/>
      <c r="M63" s="5"/>
      <c r="N63" s="69"/>
      <c r="O63" s="5"/>
    </row>
    <row r="64" ht="15.75" hidden="1" customHeight="1">
      <c r="A64" s="75">
        <v>45985.0</v>
      </c>
      <c r="B64" s="76">
        <v>2.0</v>
      </c>
      <c r="C64" s="5" t="s">
        <v>1794</v>
      </c>
      <c r="D64" s="69" t="s">
        <v>849</v>
      </c>
      <c r="E64" s="5" t="s">
        <v>1685</v>
      </c>
      <c r="F64" s="11" t="s">
        <v>1795</v>
      </c>
      <c r="G64" s="11"/>
      <c r="H64" s="11"/>
      <c r="I64" s="11"/>
      <c r="K64" s="75"/>
      <c r="L64" s="76"/>
      <c r="M64" s="5"/>
      <c r="N64" s="69"/>
      <c r="O64" s="5"/>
    </row>
    <row r="65" ht="15.75" hidden="1" customHeight="1">
      <c r="A65" s="75">
        <v>45986.0</v>
      </c>
      <c r="B65" s="76"/>
      <c r="C65" s="5"/>
      <c r="D65" s="69"/>
      <c r="E65" s="5"/>
      <c r="F65" s="11" t="s">
        <v>1276</v>
      </c>
      <c r="G65" s="11"/>
      <c r="H65" s="11"/>
      <c r="I65" s="11"/>
      <c r="K65" s="75"/>
      <c r="L65" s="76"/>
      <c r="M65" s="5"/>
      <c r="N65" s="69"/>
      <c r="O65" s="5"/>
    </row>
    <row r="66" ht="15.75" hidden="1" customHeight="1">
      <c r="A66" s="75">
        <v>45987.0</v>
      </c>
      <c r="B66" s="76"/>
      <c r="C66" s="5"/>
      <c r="D66" s="69"/>
      <c r="E66" s="5"/>
      <c r="F66" s="11" t="s">
        <v>1276</v>
      </c>
      <c r="G66" s="11"/>
      <c r="H66" s="11"/>
      <c r="I66" s="11"/>
      <c r="K66" s="75"/>
      <c r="L66" s="76"/>
      <c r="M66" s="5"/>
      <c r="N66" s="69"/>
      <c r="O66" s="5"/>
    </row>
    <row r="67" ht="15.75" hidden="1" customHeight="1">
      <c r="A67" s="76" t="s">
        <v>1796</v>
      </c>
      <c r="B67" s="76"/>
      <c r="C67" s="5"/>
      <c r="D67" s="69"/>
      <c r="E67" s="5"/>
      <c r="F67" s="11" t="s">
        <v>1276</v>
      </c>
      <c r="G67" s="11"/>
      <c r="H67" s="11"/>
      <c r="I67" s="11"/>
      <c r="K67" s="75"/>
      <c r="L67" s="76"/>
      <c r="M67" s="5"/>
      <c r="N67" s="69"/>
      <c r="O67" s="5"/>
    </row>
    <row r="68" ht="15.75" hidden="1" customHeight="1">
      <c r="A68" s="75">
        <v>45989.0</v>
      </c>
      <c r="B68" s="76"/>
      <c r="C68" s="5"/>
      <c r="D68" s="69"/>
      <c r="E68" s="5"/>
      <c r="F68" s="11"/>
      <c r="G68" s="11"/>
      <c r="H68" s="11"/>
      <c r="I68" s="11"/>
      <c r="K68" s="75"/>
      <c r="L68" s="76"/>
      <c r="M68" s="5"/>
      <c r="N68" s="69"/>
      <c r="O68" s="5"/>
    </row>
    <row r="69" ht="15.75" hidden="1" customHeight="1">
      <c r="A69" s="75">
        <v>45992.0</v>
      </c>
      <c r="B69" s="76"/>
      <c r="C69" s="5"/>
      <c r="D69" s="69"/>
      <c r="E69" s="5"/>
      <c r="F69" s="11" t="s">
        <v>1276</v>
      </c>
      <c r="G69" s="11"/>
      <c r="H69" s="11"/>
      <c r="I69" s="11"/>
      <c r="K69" s="75"/>
      <c r="L69" s="76"/>
      <c r="M69" s="5"/>
      <c r="N69" s="69"/>
      <c r="O69" s="5"/>
    </row>
    <row r="70" ht="15.75" hidden="1" customHeight="1">
      <c r="A70" s="75">
        <v>45993.0</v>
      </c>
      <c r="B70" s="76"/>
      <c r="C70" s="5"/>
      <c r="D70" s="69"/>
      <c r="E70" s="5"/>
      <c r="F70" s="11" t="s">
        <v>1276</v>
      </c>
      <c r="G70" s="11"/>
      <c r="H70" s="11"/>
      <c r="I70" s="11"/>
      <c r="K70" s="75"/>
      <c r="L70" s="76"/>
      <c r="M70" s="5"/>
      <c r="N70" s="69"/>
      <c r="O70" s="5"/>
    </row>
    <row r="71" ht="15.75" hidden="1" customHeight="1">
      <c r="A71" s="75">
        <v>45994.0</v>
      </c>
      <c r="B71" s="76"/>
      <c r="C71" s="5"/>
      <c r="D71" s="69"/>
      <c r="E71" s="5"/>
      <c r="F71" s="11" t="s">
        <v>1276</v>
      </c>
      <c r="G71" s="11"/>
      <c r="H71" s="11"/>
      <c r="I71" s="11"/>
      <c r="K71" s="75"/>
      <c r="L71" s="76"/>
      <c r="M71" s="5"/>
      <c r="N71" s="69"/>
      <c r="O71" s="5"/>
    </row>
    <row r="72" ht="15.75" hidden="1" customHeight="1">
      <c r="A72" s="75">
        <v>45995.0</v>
      </c>
      <c r="B72" s="76"/>
      <c r="C72" s="5"/>
      <c r="D72" s="69"/>
      <c r="E72" s="5"/>
      <c r="F72" s="11" t="s">
        <v>1276</v>
      </c>
      <c r="G72" s="11"/>
      <c r="H72" s="11"/>
      <c r="I72" s="11"/>
      <c r="K72" s="75"/>
      <c r="L72" s="76"/>
      <c r="M72" s="5"/>
      <c r="N72" s="69"/>
      <c r="O72" s="5"/>
    </row>
    <row r="73" ht="15.75" hidden="1" customHeight="1">
      <c r="A73" s="75">
        <v>45996.0</v>
      </c>
      <c r="B73" s="76"/>
      <c r="C73" s="5"/>
      <c r="D73" s="69"/>
      <c r="E73" s="5"/>
      <c r="F73" s="11" t="s">
        <v>1276</v>
      </c>
      <c r="G73" s="11"/>
      <c r="H73" s="11"/>
      <c r="I73" s="11"/>
      <c r="K73" s="75"/>
      <c r="L73" s="76"/>
      <c r="M73" s="5"/>
      <c r="N73" s="69"/>
      <c r="O73" s="5"/>
    </row>
    <row r="74" ht="15.75" hidden="1" customHeight="1">
      <c r="A74" s="75">
        <v>45999.0</v>
      </c>
      <c r="B74" s="76"/>
      <c r="C74" s="5"/>
      <c r="D74" s="69"/>
      <c r="E74" s="5"/>
      <c r="F74" s="11" t="s">
        <v>1276</v>
      </c>
      <c r="G74" s="11"/>
      <c r="H74" s="11"/>
      <c r="I74" s="11"/>
      <c r="K74" s="75"/>
      <c r="L74" s="76"/>
      <c r="M74" s="5"/>
      <c r="N74" s="69"/>
      <c r="O74" s="5"/>
    </row>
    <row r="75" ht="15.75" hidden="1" customHeight="1">
      <c r="A75" s="75">
        <v>46000.0</v>
      </c>
      <c r="B75" s="76">
        <v>1.0</v>
      </c>
      <c r="C75" s="5" t="s">
        <v>1729</v>
      </c>
      <c r="D75" s="69" t="s">
        <v>849</v>
      </c>
      <c r="E75" s="5" t="s">
        <v>1685</v>
      </c>
      <c r="F75" s="11" t="s">
        <v>1797</v>
      </c>
      <c r="G75" s="11" t="s">
        <v>1798</v>
      </c>
      <c r="H75" s="11"/>
      <c r="I75" s="11"/>
      <c r="K75" s="75"/>
      <c r="L75" s="76"/>
      <c r="M75" s="5"/>
      <c r="N75" s="69"/>
      <c r="O75" s="5"/>
    </row>
    <row r="76" ht="15.75" hidden="1" customHeight="1">
      <c r="A76" s="75">
        <v>46001.0</v>
      </c>
      <c r="B76" s="76"/>
      <c r="C76" s="5"/>
      <c r="D76" s="69"/>
      <c r="E76" s="5"/>
      <c r="F76" s="11" t="s">
        <v>1276</v>
      </c>
      <c r="G76" s="11"/>
      <c r="H76" s="11"/>
      <c r="I76" s="11"/>
      <c r="K76" s="75"/>
      <c r="L76" s="76"/>
      <c r="M76" s="5"/>
      <c r="N76" s="69"/>
      <c r="O76" s="5"/>
    </row>
    <row r="77" ht="15.75" hidden="1" customHeight="1">
      <c r="A77" s="75">
        <v>46002.0</v>
      </c>
      <c r="B77" s="76">
        <v>1.0</v>
      </c>
      <c r="C77" s="5" t="s">
        <v>1799</v>
      </c>
      <c r="D77" s="69" t="s">
        <v>849</v>
      </c>
      <c r="E77" s="5" t="s">
        <v>1685</v>
      </c>
      <c r="F77" s="11" t="s">
        <v>1800</v>
      </c>
      <c r="G77" s="11"/>
      <c r="H77" s="11"/>
      <c r="I77" s="11"/>
      <c r="K77" s="75"/>
      <c r="L77" s="76"/>
      <c r="M77" s="5"/>
      <c r="N77" s="69"/>
      <c r="O77" s="5"/>
    </row>
    <row r="78" ht="15.75" hidden="1" customHeight="1">
      <c r="A78" s="75">
        <v>46003.0</v>
      </c>
      <c r="B78" s="76"/>
      <c r="C78" s="5"/>
      <c r="D78" s="69"/>
      <c r="E78" s="5"/>
      <c r="F78" s="11" t="s">
        <v>1276</v>
      </c>
      <c r="G78" s="11"/>
      <c r="H78" s="11"/>
      <c r="I78" s="11"/>
      <c r="K78" s="75"/>
      <c r="L78" s="76"/>
      <c r="M78" s="5"/>
      <c r="N78" s="69"/>
      <c r="O78" s="5"/>
    </row>
    <row r="79" ht="15.75" hidden="1" customHeight="1">
      <c r="A79" s="75">
        <v>46006.0</v>
      </c>
      <c r="B79" s="76">
        <v>1.0</v>
      </c>
      <c r="C79" s="5" t="s">
        <v>1729</v>
      </c>
      <c r="D79" s="69" t="s">
        <v>1689</v>
      </c>
      <c r="E79" s="5" t="s">
        <v>1685</v>
      </c>
      <c r="F79" s="11" t="s">
        <v>1801</v>
      </c>
      <c r="G79" s="11" t="s">
        <v>1802</v>
      </c>
      <c r="H79" s="11"/>
      <c r="I79" s="11"/>
      <c r="K79" s="75"/>
      <c r="L79" s="76"/>
      <c r="M79" s="5"/>
      <c r="N79" s="69"/>
      <c r="O79" s="5"/>
    </row>
    <row r="80" ht="15.75" hidden="1" customHeight="1">
      <c r="A80" s="75">
        <v>46007.0</v>
      </c>
      <c r="B80" s="76"/>
      <c r="C80" s="5"/>
      <c r="D80" s="69"/>
      <c r="E80" s="5"/>
      <c r="F80" s="11" t="s">
        <v>1276</v>
      </c>
      <c r="G80" s="11"/>
      <c r="H80" s="11"/>
      <c r="I80" s="11"/>
      <c r="K80" s="75"/>
      <c r="L80" s="76"/>
      <c r="M80" s="5"/>
      <c r="N80" s="69"/>
      <c r="O80" s="5"/>
    </row>
    <row r="81" ht="15.75" hidden="1" customHeight="1">
      <c r="A81" s="75">
        <v>46008.0</v>
      </c>
      <c r="B81" s="76"/>
      <c r="C81" s="5"/>
      <c r="D81" s="69"/>
      <c r="E81" s="5"/>
      <c r="F81" s="11" t="s">
        <v>1276</v>
      </c>
      <c r="G81" s="11"/>
      <c r="H81" s="11"/>
      <c r="I81" s="11"/>
      <c r="K81" s="75"/>
      <c r="L81" s="76"/>
      <c r="M81" s="5"/>
      <c r="N81" s="69"/>
      <c r="O81" s="5"/>
    </row>
    <row r="82" ht="15.75" hidden="1" customHeight="1">
      <c r="A82" s="75">
        <v>46009.0</v>
      </c>
      <c r="B82" s="76"/>
      <c r="C82" s="5"/>
      <c r="D82" s="69"/>
      <c r="E82" s="5"/>
      <c r="F82" s="11" t="s">
        <v>1276</v>
      </c>
      <c r="G82" s="11"/>
      <c r="H82" s="11"/>
      <c r="I82" s="11"/>
      <c r="K82" s="75"/>
      <c r="L82" s="76"/>
      <c r="M82" s="5"/>
      <c r="N82" s="69"/>
      <c r="O82" s="5"/>
    </row>
    <row r="83" ht="15.75" hidden="1" customHeight="1">
      <c r="A83" s="75">
        <v>155586.0</v>
      </c>
      <c r="B83" s="76"/>
      <c r="C83" s="5"/>
      <c r="D83" s="69"/>
      <c r="E83" s="5"/>
      <c r="F83" s="11" t="s">
        <v>1276</v>
      </c>
      <c r="G83" s="11"/>
      <c r="H83" s="11"/>
      <c r="I83" s="11"/>
      <c r="K83" s="75"/>
      <c r="L83" s="76"/>
      <c r="M83" s="5"/>
      <c r="N83" s="69"/>
      <c r="O83" s="5"/>
    </row>
    <row r="84" ht="15.75" hidden="1" customHeight="1">
      <c r="A84" s="75">
        <v>46015.0</v>
      </c>
      <c r="B84" s="76"/>
      <c r="C84" s="5"/>
      <c r="D84" s="69"/>
      <c r="E84" s="5"/>
      <c r="F84" s="11" t="s">
        <v>1276</v>
      </c>
      <c r="G84" s="11"/>
      <c r="H84" s="11"/>
      <c r="I84" s="11"/>
      <c r="K84" s="75"/>
      <c r="L84" s="76"/>
      <c r="M84" s="5"/>
      <c r="N84" s="69"/>
      <c r="O84" s="5"/>
    </row>
    <row r="85" ht="15.75" hidden="1" customHeight="1">
      <c r="A85" s="75">
        <v>46017.0</v>
      </c>
      <c r="B85" s="76"/>
      <c r="C85" s="5"/>
      <c r="D85" s="69"/>
      <c r="E85" s="5"/>
      <c r="F85" s="11" t="s">
        <v>1276</v>
      </c>
      <c r="G85" s="11"/>
      <c r="H85" s="11"/>
      <c r="I85" s="11"/>
      <c r="K85" s="75"/>
      <c r="L85" s="76"/>
      <c r="M85" s="5"/>
      <c r="N85" s="69"/>
      <c r="O85" s="5"/>
    </row>
    <row r="86" ht="15.75" hidden="1" customHeight="1">
      <c r="A86" s="75">
        <v>46018.0</v>
      </c>
      <c r="B86" s="76"/>
      <c r="C86" s="5" t="s">
        <v>1692</v>
      </c>
      <c r="D86" s="69" t="s">
        <v>1689</v>
      </c>
      <c r="E86" s="5" t="s">
        <v>1685</v>
      </c>
      <c r="F86" s="11" t="s">
        <v>1803</v>
      </c>
      <c r="G86" s="73" t="s">
        <v>1804</v>
      </c>
      <c r="H86" s="73"/>
      <c r="I86" s="11"/>
      <c r="K86" s="75"/>
      <c r="L86" s="76"/>
      <c r="M86" s="5"/>
      <c r="N86" s="69"/>
      <c r="O86" s="5"/>
    </row>
    <row r="87" ht="15.75" hidden="1" customHeight="1">
      <c r="A87" s="75">
        <v>46020.0</v>
      </c>
      <c r="B87" s="76"/>
      <c r="C87" s="5" t="s">
        <v>1720</v>
      </c>
      <c r="D87" s="69" t="s">
        <v>1689</v>
      </c>
      <c r="E87" s="5" t="s">
        <v>1685</v>
      </c>
      <c r="F87" s="11" t="s">
        <v>1805</v>
      </c>
      <c r="G87" s="11" t="s">
        <v>1806</v>
      </c>
      <c r="H87" s="11"/>
      <c r="I87" s="11"/>
      <c r="K87" s="75"/>
      <c r="L87" s="76"/>
      <c r="M87" s="5"/>
      <c r="N87" s="69"/>
      <c r="O87" s="5"/>
    </row>
    <row r="88" ht="15.75" hidden="1" customHeight="1">
      <c r="A88" s="75">
        <v>46021.0</v>
      </c>
      <c r="B88" s="76"/>
      <c r="C88" s="5"/>
      <c r="D88" s="69"/>
      <c r="E88" s="5"/>
      <c r="F88" s="11" t="s">
        <v>1358</v>
      </c>
      <c r="G88" s="11"/>
      <c r="H88" s="11"/>
      <c r="I88" s="11"/>
      <c r="K88" s="75"/>
      <c r="L88" s="76"/>
      <c r="M88" s="5"/>
      <c r="N88" s="69"/>
      <c r="O88" s="5"/>
    </row>
    <row r="89" ht="15.75" hidden="1" customHeight="1">
      <c r="A89" s="75">
        <v>46022.0</v>
      </c>
      <c r="B89" s="76"/>
      <c r="C89" s="5" t="s">
        <v>1807</v>
      </c>
      <c r="D89" s="69" t="s">
        <v>1689</v>
      </c>
      <c r="E89" s="5" t="s">
        <v>1685</v>
      </c>
      <c r="F89" s="71" t="s">
        <v>1808</v>
      </c>
      <c r="G89" s="11" t="s">
        <v>1809</v>
      </c>
      <c r="H89" s="11"/>
      <c r="I89" s="11"/>
      <c r="K89" s="75"/>
      <c r="L89" s="76"/>
      <c r="M89" s="5"/>
      <c r="N89" s="69"/>
      <c r="O89" s="5"/>
    </row>
    <row r="90" ht="15.75" hidden="1" customHeight="1">
      <c r="A90" s="75">
        <v>46022.0</v>
      </c>
      <c r="B90" s="76"/>
      <c r="C90" s="5" t="s">
        <v>1810</v>
      </c>
      <c r="D90" s="69" t="s">
        <v>1689</v>
      </c>
      <c r="E90" s="5" t="s">
        <v>1685</v>
      </c>
      <c r="F90" s="11" t="s">
        <v>1811</v>
      </c>
      <c r="G90" s="11"/>
      <c r="H90" s="11"/>
      <c r="I90" s="11"/>
      <c r="K90" s="75"/>
      <c r="L90" s="76"/>
      <c r="M90" s="5"/>
      <c r="N90" s="69"/>
      <c r="O90" s="5"/>
    </row>
    <row r="91" ht="15.75" customHeight="1">
      <c r="A91" s="75">
        <v>46024.0</v>
      </c>
      <c r="B91" s="76"/>
      <c r="C91" s="5" t="s">
        <v>1810</v>
      </c>
      <c r="D91" s="69" t="s">
        <v>1689</v>
      </c>
      <c r="E91" s="5" t="s">
        <v>1685</v>
      </c>
      <c r="F91" s="74" t="s">
        <v>1812</v>
      </c>
      <c r="G91" s="11"/>
      <c r="H91" s="11"/>
      <c r="I91" s="11"/>
      <c r="K91" s="75"/>
      <c r="L91" s="76"/>
      <c r="M91" s="5"/>
      <c r="N91" s="69"/>
      <c r="O91" s="5"/>
    </row>
    <row r="92" ht="15.75" customHeight="1">
      <c r="A92" s="75">
        <v>46024.0</v>
      </c>
      <c r="B92" s="76"/>
      <c r="C92" s="5" t="s">
        <v>1692</v>
      </c>
      <c r="D92" s="69" t="s">
        <v>1689</v>
      </c>
      <c r="E92" s="5" t="s">
        <v>1685</v>
      </c>
      <c r="F92" s="11" t="s">
        <v>1813</v>
      </c>
      <c r="G92" s="11" t="s">
        <v>1814</v>
      </c>
      <c r="H92" s="11"/>
      <c r="I92" s="11" t="s">
        <v>1815</v>
      </c>
      <c r="K92" s="75"/>
      <c r="L92" s="76"/>
      <c r="M92" s="5"/>
      <c r="N92" s="69"/>
      <c r="O92" s="5"/>
    </row>
    <row r="93" ht="15.75" customHeight="1">
      <c r="A93" s="75">
        <v>46027.0</v>
      </c>
      <c r="B93" s="76"/>
      <c r="C93" s="5" t="s">
        <v>1745</v>
      </c>
      <c r="D93" s="69" t="s">
        <v>849</v>
      </c>
      <c r="E93" s="5" t="s">
        <v>1685</v>
      </c>
      <c r="F93" s="11" t="s">
        <v>1816</v>
      </c>
      <c r="G93" s="11" t="s">
        <v>1817</v>
      </c>
      <c r="H93" s="11"/>
      <c r="I93" s="11"/>
      <c r="K93" s="75"/>
      <c r="L93" s="76"/>
      <c r="M93" s="5"/>
      <c r="N93" s="69"/>
      <c r="O93" s="5"/>
    </row>
    <row r="94" ht="15.75" customHeight="1">
      <c r="A94" s="75">
        <v>46028.0</v>
      </c>
      <c r="B94" s="76"/>
      <c r="C94" s="5" t="s">
        <v>1745</v>
      </c>
      <c r="D94" s="69" t="s">
        <v>849</v>
      </c>
      <c r="E94" s="5" t="s">
        <v>1685</v>
      </c>
      <c r="F94" s="11" t="s">
        <v>1818</v>
      </c>
      <c r="G94" s="11"/>
      <c r="H94" s="11"/>
      <c r="I94" s="11"/>
      <c r="K94" s="75"/>
      <c r="L94" s="76"/>
      <c r="M94" s="5"/>
      <c r="N94" s="69"/>
      <c r="O94" s="5"/>
    </row>
    <row r="95" ht="15.75" customHeight="1">
      <c r="A95" s="75">
        <v>46028.0</v>
      </c>
      <c r="B95" s="76"/>
      <c r="C95" s="5" t="s">
        <v>1745</v>
      </c>
      <c r="D95" s="69" t="s">
        <v>849</v>
      </c>
      <c r="E95" s="5" t="s">
        <v>1685</v>
      </c>
      <c r="F95" s="11" t="s">
        <v>1819</v>
      </c>
      <c r="G95" s="11"/>
      <c r="H95" s="11"/>
      <c r="I95" s="11"/>
      <c r="K95" s="75"/>
      <c r="L95" s="76"/>
      <c r="M95" s="5"/>
      <c r="N95" s="69"/>
      <c r="O95" s="5"/>
    </row>
    <row r="96" ht="15.75" customHeight="1">
      <c r="A96" s="75">
        <v>46028.0</v>
      </c>
      <c r="B96" s="76"/>
      <c r="C96" s="5" t="s">
        <v>1745</v>
      </c>
      <c r="D96" s="69" t="s">
        <v>849</v>
      </c>
      <c r="E96" s="5" t="s">
        <v>1685</v>
      </c>
      <c r="F96" s="11" t="s">
        <v>1820</v>
      </c>
      <c r="G96" s="11"/>
      <c r="H96" s="11"/>
      <c r="I96" s="11"/>
      <c r="K96" s="75"/>
      <c r="L96" s="76"/>
      <c r="M96" s="5"/>
      <c r="N96" s="69"/>
      <c r="O96" s="5"/>
    </row>
    <row r="97" ht="15.75" customHeight="1">
      <c r="A97" s="75">
        <v>46030.0</v>
      </c>
      <c r="B97" s="76"/>
      <c r="C97" s="5"/>
      <c r="D97" s="69"/>
      <c r="E97" s="5"/>
      <c r="F97" s="11" t="s">
        <v>1332</v>
      </c>
      <c r="G97" s="11"/>
      <c r="H97" s="11"/>
      <c r="I97" s="11"/>
      <c r="K97" s="75"/>
      <c r="L97" s="76"/>
      <c r="M97" s="5"/>
      <c r="N97" s="69"/>
      <c r="O97" s="5"/>
    </row>
    <row r="98" ht="15.75" customHeight="1">
      <c r="A98" s="75">
        <v>46032.0</v>
      </c>
      <c r="B98" s="76"/>
      <c r="C98" s="5" t="s">
        <v>1692</v>
      </c>
      <c r="D98" s="69" t="s">
        <v>849</v>
      </c>
      <c r="E98" s="5" t="s">
        <v>1685</v>
      </c>
      <c r="F98" s="11" t="s">
        <v>1821</v>
      </c>
      <c r="G98" s="11" t="s">
        <v>1822</v>
      </c>
      <c r="H98" s="11"/>
      <c r="I98" s="70" t="s">
        <v>1823</v>
      </c>
      <c r="K98" s="75"/>
      <c r="L98" s="76"/>
      <c r="M98" s="5"/>
      <c r="N98" s="69"/>
      <c r="O98" s="5"/>
    </row>
    <row r="99" ht="15.75" customHeight="1">
      <c r="A99" s="75">
        <v>46034.0</v>
      </c>
      <c r="B99" s="76"/>
      <c r="C99" s="5" t="s">
        <v>1688</v>
      </c>
      <c r="D99" s="69" t="s">
        <v>849</v>
      </c>
      <c r="E99" s="5" t="s">
        <v>1685</v>
      </c>
      <c r="F99" s="11" t="s">
        <v>1824</v>
      </c>
      <c r="G99" s="11" t="s">
        <v>1825</v>
      </c>
      <c r="H99" s="11"/>
      <c r="I99" s="11"/>
      <c r="K99" s="75"/>
      <c r="L99" s="76"/>
      <c r="M99" s="5"/>
      <c r="N99" s="69"/>
      <c r="O99" s="5"/>
    </row>
    <row r="100" ht="15.75" customHeight="1">
      <c r="A100" s="75">
        <v>46039.0</v>
      </c>
      <c r="B100" s="76">
        <v>1.0</v>
      </c>
      <c r="C100" s="5"/>
      <c r="D100" s="69"/>
      <c r="E100" s="5"/>
      <c r="F100" s="11" t="s">
        <v>1276</v>
      </c>
      <c r="G100" s="11" t="s">
        <v>1826</v>
      </c>
      <c r="H100" s="11"/>
      <c r="I100" s="11" t="s">
        <v>1827</v>
      </c>
      <c r="K100" s="75"/>
      <c r="L100" s="76"/>
      <c r="M100" s="5"/>
      <c r="N100" s="69"/>
      <c r="O100" s="5"/>
    </row>
    <row r="101" ht="15.75" customHeight="1">
      <c r="A101" s="75">
        <v>46042.0</v>
      </c>
      <c r="B101" s="76">
        <v>1.0</v>
      </c>
      <c r="C101" s="5" t="s">
        <v>1758</v>
      </c>
      <c r="D101" s="69" t="s">
        <v>1689</v>
      </c>
      <c r="E101" s="5"/>
      <c r="F101" s="11" t="s">
        <v>1828</v>
      </c>
      <c r="G101" s="11"/>
      <c r="H101" s="11"/>
      <c r="I101" s="11"/>
      <c r="K101" s="75"/>
      <c r="L101" s="76"/>
      <c r="M101" s="5"/>
      <c r="N101" s="69"/>
      <c r="O101" s="5"/>
    </row>
    <row r="102" ht="15.75" customHeight="1">
      <c r="A102" s="75">
        <v>46043.0</v>
      </c>
      <c r="B102" s="76">
        <v>1.0</v>
      </c>
      <c r="C102" s="5" t="s">
        <v>1829</v>
      </c>
      <c r="D102" s="69" t="s">
        <v>1689</v>
      </c>
      <c r="E102" s="5"/>
      <c r="F102" s="11" t="s">
        <v>1830</v>
      </c>
      <c r="G102" s="11"/>
      <c r="H102" s="11"/>
      <c r="I102" s="11"/>
      <c r="K102" s="75"/>
      <c r="L102" s="76"/>
      <c r="M102" s="5"/>
      <c r="N102" s="69"/>
      <c r="O102" s="5"/>
    </row>
    <row r="103" ht="15.75" customHeight="1">
      <c r="A103" s="75">
        <v>46043.0</v>
      </c>
      <c r="B103" s="76">
        <v>2.0</v>
      </c>
      <c r="C103" s="5" t="s">
        <v>1720</v>
      </c>
      <c r="D103" s="69"/>
      <c r="E103" s="5"/>
      <c r="F103" s="11" t="s">
        <v>1831</v>
      </c>
      <c r="G103" s="11"/>
      <c r="H103" s="11"/>
      <c r="I103" s="11"/>
      <c r="K103" s="75"/>
      <c r="L103" s="76"/>
      <c r="M103" s="5"/>
      <c r="N103" s="69"/>
      <c r="O103" s="5"/>
    </row>
    <row r="104" ht="15.75" customHeight="1">
      <c r="A104" s="75">
        <v>46044.0</v>
      </c>
      <c r="B104" s="76">
        <v>1.0</v>
      </c>
      <c r="C104" s="5" t="s">
        <v>1700</v>
      </c>
      <c r="D104" s="69"/>
      <c r="E104" s="5"/>
      <c r="F104" s="11" t="s">
        <v>1832</v>
      </c>
      <c r="G104" s="11" t="s">
        <v>1833</v>
      </c>
      <c r="H104" s="79">
        <v>46045.0</v>
      </c>
      <c r="I104" s="11"/>
      <c r="K104" s="75"/>
      <c r="L104" s="76"/>
      <c r="M104" s="5"/>
      <c r="N104" s="69"/>
      <c r="O104" s="5"/>
    </row>
    <row r="105" ht="15.75" customHeight="1">
      <c r="A105" s="75">
        <v>46045.0</v>
      </c>
      <c r="B105" s="76">
        <v>1.0</v>
      </c>
      <c r="C105" s="5" t="s">
        <v>1706</v>
      </c>
      <c r="D105" s="69"/>
      <c r="E105" s="5" t="s">
        <v>1834</v>
      </c>
      <c r="F105" s="11" t="s">
        <v>1835</v>
      </c>
      <c r="G105" s="11"/>
      <c r="H105" s="11"/>
      <c r="I105" s="11"/>
      <c r="K105" s="75"/>
      <c r="L105" s="76"/>
      <c r="M105" s="5"/>
      <c r="N105" s="69"/>
      <c r="O105" s="5"/>
    </row>
    <row r="106" ht="15.75" customHeight="1">
      <c r="A106" s="75"/>
      <c r="B106" s="76"/>
      <c r="C106" s="5"/>
      <c r="D106" s="69"/>
      <c r="E106" s="5"/>
      <c r="F106" s="11"/>
      <c r="G106" s="11"/>
      <c r="H106" s="11"/>
      <c r="I106" s="11"/>
      <c r="K106" s="75"/>
      <c r="L106" s="76"/>
      <c r="M106" s="5"/>
      <c r="N106" s="69"/>
      <c r="O106" s="5"/>
    </row>
    <row r="107" ht="15.75" customHeight="1">
      <c r="A107" s="75"/>
      <c r="B107" s="76"/>
      <c r="C107" s="5"/>
      <c r="D107" s="69"/>
      <c r="E107" s="5"/>
      <c r="F107" s="11"/>
      <c r="G107" s="11"/>
      <c r="H107" s="11"/>
      <c r="I107" s="11"/>
      <c r="K107" s="75"/>
      <c r="L107" s="76"/>
      <c r="M107" s="5"/>
      <c r="N107" s="69"/>
      <c r="O107" s="5"/>
    </row>
    <row r="108" ht="15.75" customHeight="1">
      <c r="A108" s="75"/>
      <c r="B108" s="76"/>
      <c r="C108" s="5"/>
      <c r="D108" s="69"/>
      <c r="E108" s="5"/>
      <c r="F108" s="11"/>
      <c r="G108" s="11"/>
      <c r="H108" s="11"/>
      <c r="I108" s="11"/>
      <c r="K108" s="75"/>
      <c r="L108" s="76"/>
      <c r="M108" s="5"/>
      <c r="N108" s="69"/>
      <c r="O108" s="5"/>
    </row>
    <row r="109" ht="15.75" customHeight="1">
      <c r="A109" s="75"/>
      <c r="B109" s="76"/>
      <c r="C109" s="5"/>
      <c r="D109" s="69"/>
      <c r="E109" s="5"/>
      <c r="F109" s="11"/>
      <c r="G109" s="11"/>
      <c r="H109" s="11"/>
      <c r="I109" s="11"/>
      <c r="K109" s="75"/>
      <c r="L109" s="76"/>
      <c r="M109" s="5"/>
      <c r="N109" s="69"/>
      <c r="O109" s="5"/>
    </row>
    <row r="110" ht="15.75" customHeight="1">
      <c r="A110" s="75"/>
      <c r="B110" s="76"/>
      <c r="C110" s="5"/>
      <c r="D110" s="69"/>
      <c r="E110" s="5"/>
      <c r="F110" s="11"/>
      <c r="G110" s="11"/>
      <c r="H110" s="11"/>
      <c r="I110" s="11"/>
      <c r="K110" s="75"/>
      <c r="L110" s="76"/>
      <c r="M110" s="5"/>
      <c r="N110" s="69"/>
      <c r="O110" s="5"/>
    </row>
    <row r="111" ht="15.75" customHeight="1">
      <c r="A111" s="75"/>
      <c r="B111" s="76"/>
      <c r="C111" s="5"/>
      <c r="D111" s="69"/>
      <c r="E111" s="5"/>
      <c r="F111" s="11"/>
      <c r="G111" s="11"/>
      <c r="H111" s="11"/>
      <c r="I111" s="11"/>
      <c r="K111" s="75"/>
      <c r="L111" s="76"/>
      <c r="M111" s="5"/>
      <c r="N111" s="69"/>
      <c r="O111" s="5"/>
    </row>
    <row r="112" ht="15.75" customHeight="1">
      <c r="A112" s="75"/>
      <c r="B112" s="76"/>
      <c r="C112" s="5"/>
      <c r="D112" s="69"/>
      <c r="E112" s="5"/>
      <c r="F112" s="11"/>
      <c r="G112" s="11"/>
      <c r="H112" s="11"/>
      <c r="I112" s="11"/>
      <c r="K112" s="75"/>
      <c r="L112" s="76"/>
      <c r="M112" s="5"/>
      <c r="N112" s="69"/>
      <c r="O112" s="5"/>
    </row>
    <row r="113" ht="15.75" customHeight="1">
      <c r="A113" s="75"/>
      <c r="B113" s="76"/>
      <c r="C113" s="5"/>
      <c r="D113" s="69"/>
      <c r="E113" s="5"/>
      <c r="F113" s="11"/>
      <c r="G113" s="11"/>
      <c r="H113" s="11"/>
      <c r="I113" s="11"/>
      <c r="K113" s="75"/>
      <c r="L113" s="76"/>
      <c r="M113" s="5"/>
      <c r="N113" s="69"/>
      <c r="O113" s="5"/>
    </row>
    <row r="114" ht="15.75" customHeight="1">
      <c r="A114" s="75"/>
      <c r="B114" s="76"/>
      <c r="C114" s="5"/>
      <c r="D114" s="69"/>
      <c r="E114" s="5"/>
      <c r="F114" s="11"/>
      <c r="G114" s="11"/>
      <c r="H114" s="11"/>
      <c r="I114" s="11"/>
      <c r="K114" s="75"/>
      <c r="L114" s="76"/>
      <c r="M114" s="5"/>
      <c r="N114" s="69"/>
      <c r="O114" s="5"/>
    </row>
    <row r="115" ht="15.75" customHeight="1">
      <c r="A115" s="75"/>
      <c r="B115" s="76"/>
      <c r="C115" s="5"/>
      <c r="D115" s="69"/>
      <c r="E115" s="5"/>
      <c r="F115" s="11"/>
      <c r="G115" s="11"/>
      <c r="H115" s="11"/>
      <c r="I115" s="11"/>
      <c r="K115" s="75"/>
      <c r="L115" s="76"/>
      <c r="M115" s="5"/>
      <c r="N115" s="69"/>
      <c r="O115" s="5"/>
    </row>
    <row r="116" ht="15.75" customHeight="1">
      <c r="A116" s="75"/>
      <c r="B116" s="76"/>
      <c r="C116" s="5"/>
      <c r="D116" s="69"/>
      <c r="E116" s="5"/>
      <c r="F116" s="11"/>
      <c r="G116" s="11"/>
      <c r="H116" s="11"/>
      <c r="I116" s="11"/>
      <c r="K116" s="75"/>
      <c r="L116" s="76"/>
      <c r="M116" s="5"/>
      <c r="N116" s="69"/>
      <c r="O116" s="5"/>
    </row>
    <row r="117" ht="15.75" customHeight="1">
      <c r="A117" s="75"/>
      <c r="B117" s="76"/>
      <c r="C117" s="5"/>
      <c r="D117" s="69"/>
      <c r="E117" s="5"/>
      <c r="F117" s="11"/>
      <c r="G117" s="11"/>
      <c r="H117" s="11"/>
      <c r="I117" s="11"/>
      <c r="K117" s="75"/>
      <c r="L117" s="76"/>
      <c r="M117" s="5"/>
      <c r="N117" s="69"/>
      <c r="O117" s="5"/>
    </row>
    <row r="118" ht="15.75" customHeight="1">
      <c r="A118" s="75"/>
      <c r="B118" s="76"/>
      <c r="C118" s="5"/>
      <c r="D118" s="69"/>
      <c r="E118" s="5"/>
      <c r="F118" s="11"/>
      <c r="G118" s="11"/>
      <c r="H118" s="11"/>
      <c r="I118" s="11"/>
      <c r="K118" s="75"/>
      <c r="L118" s="76"/>
      <c r="M118" s="5"/>
      <c r="N118" s="69"/>
      <c r="O118" s="5"/>
    </row>
    <row r="119" ht="15.75" customHeight="1">
      <c r="A119" s="75"/>
      <c r="B119" s="76"/>
      <c r="C119" s="5"/>
      <c r="D119" s="69"/>
      <c r="E119" s="5"/>
      <c r="F119" s="11"/>
      <c r="G119" s="11"/>
      <c r="H119" s="11"/>
      <c r="I119" s="11"/>
      <c r="K119" s="75"/>
      <c r="L119" s="76"/>
      <c r="M119" s="5"/>
      <c r="N119" s="69"/>
      <c r="O119" s="5"/>
    </row>
    <row r="120" ht="15.75" customHeight="1">
      <c r="A120" s="75"/>
      <c r="B120" s="76"/>
      <c r="C120" s="5"/>
      <c r="D120" s="69"/>
      <c r="E120" s="5"/>
      <c r="F120" s="11"/>
      <c r="G120" s="11"/>
      <c r="H120" s="11"/>
      <c r="I120" s="11"/>
      <c r="K120" s="75"/>
      <c r="L120" s="76"/>
      <c r="M120" s="5"/>
      <c r="N120" s="69"/>
      <c r="O120" s="5"/>
    </row>
    <row r="121" ht="15.75" customHeight="1">
      <c r="A121" s="75"/>
      <c r="B121" s="76"/>
      <c r="C121" s="5"/>
      <c r="D121" s="69"/>
      <c r="E121" s="5"/>
      <c r="F121" s="11"/>
      <c r="G121" s="11"/>
      <c r="H121" s="11"/>
      <c r="I121" s="11"/>
      <c r="K121" s="75"/>
      <c r="L121" s="76"/>
      <c r="M121" s="5"/>
      <c r="N121" s="69"/>
      <c r="O121" s="5"/>
    </row>
    <row r="122" ht="15.75" customHeight="1">
      <c r="A122" s="75"/>
      <c r="B122" s="76"/>
      <c r="C122" s="5"/>
      <c r="D122" s="69"/>
      <c r="E122" s="5"/>
      <c r="F122" s="11"/>
      <c r="G122" s="11"/>
      <c r="H122" s="11"/>
      <c r="I122" s="11"/>
      <c r="K122" s="75"/>
      <c r="L122" s="76"/>
      <c r="M122" s="5"/>
      <c r="N122" s="69"/>
      <c r="O122" s="5"/>
    </row>
    <row r="123" ht="15.75" customHeight="1">
      <c r="A123" s="75"/>
      <c r="B123" s="76"/>
      <c r="C123" s="5"/>
      <c r="D123" s="69"/>
      <c r="E123" s="5"/>
      <c r="F123" s="11"/>
      <c r="G123" s="11"/>
      <c r="H123" s="11"/>
      <c r="I123" s="11"/>
      <c r="K123" s="75"/>
      <c r="L123" s="76"/>
      <c r="M123" s="5"/>
      <c r="N123" s="69"/>
      <c r="O123" s="5"/>
    </row>
    <row r="124" ht="15.75" customHeight="1">
      <c r="A124" s="75"/>
      <c r="B124" s="76"/>
      <c r="C124" s="5"/>
      <c r="D124" s="69"/>
      <c r="E124" s="5"/>
      <c r="F124" s="11"/>
      <c r="G124" s="11"/>
      <c r="H124" s="11"/>
      <c r="I124" s="11"/>
      <c r="K124" s="75"/>
      <c r="L124" s="76"/>
      <c r="M124" s="5"/>
      <c r="N124" s="69"/>
      <c r="O124" s="5"/>
    </row>
    <row r="125" ht="15.75" customHeight="1">
      <c r="A125" s="75"/>
      <c r="B125" s="76"/>
      <c r="C125" s="5"/>
      <c r="D125" s="69"/>
      <c r="E125" s="5"/>
      <c r="F125" s="11"/>
      <c r="G125" s="11"/>
      <c r="H125" s="11"/>
      <c r="I125" s="11"/>
      <c r="K125" s="75"/>
      <c r="L125" s="76"/>
      <c r="M125" s="5"/>
      <c r="N125" s="69"/>
      <c r="O125" s="5"/>
    </row>
    <row r="126" ht="15.75" customHeight="1">
      <c r="A126" s="75"/>
      <c r="B126" s="76"/>
      <c r="C126" s="5"/>
      <c r="D126" s="69"/>
      <c r="E126" s="5"/>
      <c r="F126" s="11"/>
      <c r="G126" s="11"/>
      <c r="H126" s="11"/>
      <c r="I126" s="11"/>
      <c r="K126" s="75"/>
      <c r="L126" s="76"/>
      <c r="M126" s="5"/>
      <c r="N126" s="69"/>
      <c r="O126" s="5"/>
    </row>
    <row r="127" ht="15.75" customHeight="1">
      <c r="A127" s="75"/>
      <c r="B127" s="76"/>
      <c r="C127" s="5"/>
      <c r="D127" s="69"/>
      <c r="E127" s="5"/>
      <c r="F127" s="11"/>
      <c r="G127" s="11"/>
      <c r="H127" s="11"/>
      <c r="I127" s="11"/>
      <c r="K127" s="75"/>
      <c r="L127" s="76"/>
      <c r="M127" s="5"/>
      <c r="N127" s="69"/>
      <c r="O127" s="5"/>
    </row>
    <row r="128" ht="15.75" customHeight="1">
      <c r="A128" s="75"/>
      <c r="B128" s="76"/>
      <c r="C128" s="5"/>
      <c r="D128" s="69"/>
      <c r="E128" s="5"/>
      <c r="F128" s="11"/>
      <c r="G128" s="11"/>
      <c r="H128" s="11"/>
      <c r="I128" s="11"/>
      <c r="K128" s="75"/>
      <c r="L128" s="76"/>
      <c r="M128" s="5"/>
      <c r="N128" s="69"/>
      <c r="O128" s="5"/>
    </row>
    <row r="129" ht="15.75" customHeight="1">
      <c r="A129" s="75"/>
      <c r="B129" s="76"/>
      <c r="C129" s="5"/>
      <c r="D129" s="69"/>
      <c r="E129" s="5"/>
      <c r="F129" s="11"/>
      <c r="G129" s="11"/>
      <c r="H129" s="11"/>
      <c r="I129" s="11"/>
      <c r="K129" s="75"/>
      <c r="L129" s="76"/>
      <c r="M129" s="5"/>
      <c r="N129" s="69"/>
      <c r="O129" s="5"/>
    </row>
    <row r="130" ht="15.75" customHeight="1">
      <c r="A130" s="75"/>
      <c r="B130" s="76"/>
      <c r="C130" s="5"/>
      <c r="D130" s="69"/>
      <c r="E130" s="5"/>
      <c r="F130" s="11"/>
      <c r="G130" s="11"/>
      <c r="H130" s="11"/>
      <c r="I130" s="11"/>
      <c r="K130" s="75"/>
      <c r="L130" s="76"/>
      <c r="M130" s="5"/>
      <c r="N130" s="69"/>
      <c r="O130" s="5"/>
    </row>
    <row r="131" ht="15.75" customHeight="1">
      <c r="A131" s="75"/>
      <c r="B131" s="76"/>
      <c r="C131" s="5"/>
      <c r="D131" s="69"/>
      <c r="E131" s="5"/>
      <c r="F131" s="11"/>
      <c r="G131" s="11"/>
      <c r="H131" s="11"/>
      <c r="I131" s="11"/>
      <c r="K131" s="75"/>
      <c r="L131" s="76"/>
      <c r="M131" s="5"/>
      <c r="N131" s="69"/>
      <c r="O131" s="5"/>
    </row>
    <row r="132" ht="15.75" customHeight="1">
      <c r="A132" s="75"/>
      <c r="B132" s="76"/>
      <c r="C132" s="5"/>
      <c r="D132" s="69"/>
      <c r="E132" s="5"/>
      <c r="F132" s="11"/>
      <c r="G132" s="11"/>
      <c r="H132" s="11"/>
      <c r="I132" s="11"/>
      <c r="K132" s="75"/>
      <c r="L132" s="76"/>
      <c r="M132" s="5"/>
      <c r="N132" s="69"/>
      <c r="O132" s="5"/>
    </row>
    <row r="133" ht="15.75" customHeight="1">
      <c r="A133" s="75"/>
      <c r="B133" s="76"/>
      <c r="C133" s="5"/>
      <c r="D133" s="69"/>
      <c r="E133" s="5"/>
      <c r="F133" s="11"/>
      <c r="G133" s="11"/>
      <c r="H133" s="11"/>
      <c r="I133" s="11"/>
      <c r="K133" s="75"/>
      <c r="L133" s="76"/>
      <c r="M133" s="5"/>
      <c r="N133" s="69"/>
      <c r="O133" s="5"/>
    </row>
    <row r="134" ht="15.75" customHeight="1">
      <c r="A134" s="75"/>
      <c r="B134" s="76"/>
      <c r="C134" s="5"/>
      <c r="D134" s="69"/>
      <c r="E134" s="5"/>
      <c r="F134" s="11"/>
      <c r="G134" s="11"/>
      <c r="H134" s="11"/>
      <c r="I134" s="11"/>
      <c r="K134" s="75"/>
      <c r="L134" s="76"/>
      <c r="M134" s="5"/>
      <c r="N134" s="69"/>
      <c r="O134" s="5"/>
    </row>
    <row r="135" ht="15.75" customHeight="1">
      <c r="A135" s="75"/>
      <c r="B135" s="76"/>
      <c r="C135" s="5"/>
      <c r="D135" s="69"/>
      <c r="E135" s="5"/>
      <c r="F135" s="11"/>
      <c r="G135" s="11"/>
      <c r="H135" s="11"/>
      <c r="I135" s="11"/>
      <c r="K135" s="75"/>
      <c r="L135" s="76"/>
      <c r="M135" s="5"/>
      <c r="N135" s="69"/>
      <c r="O135" s="5"/>
    </row>
    <row r="136" ht="15.75" customHeight="1">
      <c r="A136" s="75"/>
      <c r="B136" s="76"/>
      <c r="C136" s="5"/>
      <c r="D136" s="69"/>
      <c r="E136" s="5"/>
      <c r="F136" s="11"/>
      <c r="G136" s="11"/>
      <c r="H136" s="11"/>
      <c r="I136" s="11"/>
      <c r="K136" s="75"/>
      <c r="L136" s="76"/>
      <c r="M136" s="5"/>
      <c r="N136" s="69"/>
      <c r="O136" s="5"/>
    </row>
    <row r="137" ht="15.75" customHeight="1">
      <c r="A137" s="75"/>
      <c r="B137" s="76"/>
      <c r="C137" s="5"/>
      <c r="D137" s="69"/>
      <c r="E137" s="5"/>
      <c r="F137" s="11"/>
      <c r="G137" s="11"/>
      <c r="H137" s="11"/>
      <c r="I137" s="11"/>
      <c r="K137" s="75"/>
      <c r="L137" s="76"/>
      <c r="M137" s="5"/>
      <c r="N137" s="69"/>
      <c r="O137" s="5"/>
    </row>
    <row r="138" ht="15.75" customHeight="1">
      <c r="A138" s="75"/>
      <c r="B138" s="76"/>
      <c r="C138" s="5"/>
      <c r="D138" s="69"/>
      <c r="E138" s="5"/>
      <c r="F138" s="11"/>
      <c r="G138" s="11"/>
      <c r="H138" s="11"/>
      <c r="I138" s="11"/>
      <c r="K138" s="75"/>
      <c r="L138" s="76"/>
      <c r="M138" s="5"/>
      <c r="N138" s="69"/>
      <c r="O138" s="5"/>
    </row>
    <row r="139" ht="15.75" customHeight="1">
      <c r="A139" s="75"/>
      <c r="B139" s="76"/>
      <c r="C139" s="5"/>
      <c r="D139" s="69"/>
      <c r="E139" s="5"/>
      <c r="F139" s="11"/>
      <c r="G139" s="11"/>
      <c r="H139" s="11"/>
      <c r="I139" s="11"/>
      <c r="K139" s="75"/>
      <c r="L139" s="76"/>
      <c r="M139" s="5"/>
      <c r="N139" s="69"/>
      <c r="O139" s="5"/>
    </row>
    <row r="140" ht="15.75" customHeight="1">
      <c r="A140" s="75"/>
      <c r="B140" s="76"/>
      <c r="C140" s="5"/>
      <c r="D140" s="69"/>
      <c r="E140" s="5"/>
      <c r="F140" s="11"/>
      <c r="G140" s="11"/>
      <c r="H140" s="11"/>
      <c r="I140" s="11"/>
      <c r="K140" s="75"/>
      <c r="L140" s="76"/>
      <c r="M140" s="5"/>
      <c r="N140" s="69"/>
      <c r="O140" s="5"/>
    </row>
    <row r="141" ht="15.75" customHeight="1">
      <c r="A141" s="75"/>
      <c r="B141" s="76"/>
      <c r="C141" s="5"/>
      <c r="D141" s="69"/>
      <c r="E141" s="5"/>
      <c r="F141" s="11"/>
      <c r="G141" s="11"/>
      <c r="H141" s="11"/>
      <c r="I141" s="11"/>
      <c r="K141" s="75"/>
      <c r="L141" s="76"/>
      <c r="M141" s="5"/>
      <c r="N141" s="69"/>
      <c r="O141" s="5"/>
    </row>
    <row r="142" ht="15.75" customHeight="1">
      <c r="A142" s="75"/>
      <c r="B142" s="76"/>
      <c r="C142" s="5"/>
      <c r="D142" s="69"/>
      <c r="E142" s="5"/>
      <c r="F142" s="11"/>
      <c r="G142" s="11"/>
      <c r="H142" s="11"/>
      <c r="I142" s="11"/>
      <c r="K142" s="75"/>
      <c r="L142" s="76"/>
      <c r="M142" s="5"/>
      <c r="N142" s="69"/>
      <c r="O142" s="5"/>
    </row>
    <row r="143" ht="15.75" customHeight="1">
      <c r="A143" s="75"/>
      <c r="B143" s="76"/>
      <c r="C143" s="5"/>
      <c r="D143" s="69"/>
      <c r="E143" s="5"/>
      <c r="F143" s="11"/>
      <c r="G143" s="11"/>
      <c r="H143" s="11"/>
      <c r="I143" s="11"/>
      <c r="K143" s="75"/>
      <c r="L143" s="76"/>
      <c r="M143" s="5"/>
      <c r="N143" s="69"/>
      <c r="O143" s="5"/>
    </row>
    <row r="144" ht="15.75" customHeight="1">
      <c r="A144" s="75"/>
      <c r="B144" s="76"/>
      <c r="C144" s="5"/>
      <c r="D144" s="69"/>
      <c r="E144" s="5"/>
      <c r="F144" s="11"/>
      <c r="G144" s="11"/>
      <c r="H144" s="11"/>
      <c r="I144" s="11"/>
      <c r="K144" s="75"/>
      <c r="L144" s="76"/>
      <c r="M144" s="5"/>
      <c r="N144" s="69"/>
      <c r="O144" s="5"/>
    </row>
    <row r="145" ht="15.75" customHeight="1">
      <c r="A145" s="75"/>
      <c r="B145" s="76"/>
      <c r="C145" s="5"/>
      <c r="D145" s="69"/>
      <c r="E145" s="5"/>
      <c r="F145" s="11"/>
      <c r="G145" s="11"/>
      <c r="H145" s="11"/>
      <c r="I145" s="11"/>
      <c r="K145" s="75"/>
      <c r="L145" s="76"/>
      <c r="M145" s="5"/>
      <c r="N145" s="69"/>
      <c r="O145" s="5"/>
    </row>
    <row r="146" ht="15.75" customHeight="1">
      <c r="A146" s="75"/>
      <c r="B146" s="76"/>
      <c r="C146" s="5"/>
      <c r="D146" s="69"/>
      <c r="E146" s="5"/>
      <c r="F146" s="11"/>
      <c r="G146" s="11"/>
      <c r="H146" s="11"/>
      <c r="I146" s="11"/>
      <c r="K146" s="75"/>
      <c r="L146" s="76"/>
      <c r="M146" s="5"/>
      <c r="N146" s="69"/>
      <c r="O146" s="5"/>
    </row>
    <row r="147" ht="15.75" customHeight="1">
      <c r="A147" s="75"/>
      <c r="B147" s="76"/>
      <c r="C147" s="5"/>
      <c r="D147" s="69"/>
      <c r="E147" s="5"/>
      <c r="F147" s="11"/>
      <c r="G147" s="11"/>
      <c r="H147" s="11"/>
      <c r="I147" s="11"/>
      <c r="K147" s="75"/>
      <c r="L147" s="76"/>
      <c r="M147" s="5"/>
      <c r="N147" s="69"/>
      <c r="O147" s="5"/>
    </row>
    <row r="148" ht="15.75" customHeight="1">
      <c r="A148" s="75"/>
      <c r="B148" s="76"/>
      <c r="C148" s="5"/>
      <c r="D148" s="69"/>
      <c r="E148" s="5"/>
      <c r="F148" s="11"/>
      <c r="G148" s="11"/>
      <c r="H148" s="11"/>
      <c r="I148" s="11"/>
      <c r="K148" s="75"/>
      <c r="L148" s="76"/>
      <c r="M148" s="5"/>
      <c r="N148" s="69"/>
      <c r="O148" s="5"/>
    </row>
    <row r="149" ht="15.75" customHeight="1">
      <c r="A149" s="75"/>
      <c r="B149" s="76"/>
      <c r="C149" s="5"/>
      <c r="D149" s="69"/>
      <c r="E149" s="5"/>
      <c r="F149" s="11"/>
      <c r="G149" s="11"/>
      <c r="H149" s="11"/>
      <c r="I149" s="11"/>
      <c r="K149" s="75"/>
      <c r="L149" s="76"/>
      <c r="M149" s="5"/>
      <c r="N149" s="69"/>
      <c r="O149" s="5"/>
    </row>
    <row r="150" ht="15.75" customHeight="1">
      <c r="A150" s="75"/>
      <c r="B150" s="76"/>
      <c r="C150" s="5"/>
      <c r="D150" s="69"/>
      <c r="E150" s="5"/>
      <c r="F150" s="11"/>
      <c r="G150" s="11"/>
      <c r="H150" s="11"/>
      <c r="I150" s="11"/>
      <c r="K150" s="75"/>
      <c r="L150" s="76"/>
      <c r="M150" s="5"/>
      <c r="N150" s="69"/>
      <c r="O150" s="5"/>
    </row>
    <row r="151" ht="15.75" customHeight="1">
      <c r="A151" s="75"/>
      <c r="B151" s="76"/>
      <c r="C151" s="5"/>
      <c r="D151" s="69"/>
      <c r="E151" s="5"/>
      <c r="F151" s="11"/>
      <c r="G151" s="11"/>
      <c r="H151" s="11"/>
      <c r="I151" s="11"/>
      <c r="K151" s="75"/>
      <c r="L151" s="76"/>
      <c r="M151" s="5"/>
      <c r="N151" s="69"/>
      <c r="O151" s="5"/>
    </row>
    <row r="152" ht="15.75" customHeight="1">
      <c r="A152" s="75"/>
      <c r="B152" s="76"/>
      <c r="C152" s="5"/>
      <c r="D152" s="69"/>
      <c r="E152" s="5"/>
      <c r="F152" s="11"/>
      <c r="G152" s="11"/>
      <c r="H152" s="11"/>
      <c r="I152" s="11"/>
      <c r="K152" s="75"/>
      <c r="L152" s="76"/>
      <c r="M152" s="5"/>
      <c r="N152" s="69"/>
      <c r="O152" s="5"/>
    </row>
    <row r="153" ht="15.75" customHeight="1">
      <c r="A153" s="75"/>
      <c r="B153" s="76"/>
      <c r="C153" s="5"/>
      <c r="D153" s="69"/>
      <c r="E153" s="5"/>
      <c r="F153" s="11"/>
      <c r="G153" s="11"/>
      <c r="H153" s="11"/>
      <c r="I153" s="11"/>
      <c r="K153" s="75"/>
      <c r="L153" s="76"/>
      <c r="M153" s="5"/>
      <c r="N153" s="69"/>
      <c r="O153" s="5"/>
    </row>
    <row r="154" ht="15.75" customHeight="1">
      <c r="A154" s="75"/>
      <c r="B154" s="76"/>
      <c r="C154" s="5"/>
      <c r="D154" s="69"/>
      <c r="E154" s="5"/>
      <c r="F154" s="11"/>
      <c r="G154" s="11"/>
      <c r="H154" s="11"/>
      <c r="I154" s="11"/>
      <c r="K154" s="75"/>
      <c r="L154" s="76"/>
      <c r="M154" s="5"/>
      <c r="N154" s="69"/>
      <c r="O154" s="5"/>
    </row>
    <row r="155" ht="15.75" customHeight="1">
      <c r="A155" s="75"/>
      <c r="B155" s="76"/>
      <c r="C155" s="5"/>
      <c r="D155" s="69"/>
      <c r="E155" s="5"/>
      <c r="F155" s="11"/>
      <c r="G155" s="11"/>
      <c r="H155" s="11"/>
      <c r="I155" s="11"/>
      <c r="K155" s="75"/>
      <c r="L155" s="76"/>
      <c r="M155" s="5"/>
      <c r="N155" s="69"/>
      <c r="O155" s="5"/>
    </row>
    <row r="156" ht="15.75" customHeight="1">
      <c r="A156" s="75"/>
      <c r="B156" s="76"/>
      <c r="C156" s="5"/>
      <c r="D156" s="69"/>
      <c r="E156" s="5"/>
      <c r="F156" s="11"/>
      <c r="G156" s="11"/>
      <c r="H156" s="11"/>
      <c r="I156" s="11"/>
      <c r="K156" s="75"/>
      <c r="L156" s="76"/>
      <c r="M156" s="5"/>
      <c r="N156" s="69"/>
      <c r="O156" s="5"/>
    </row>
    <row r="157" ht="15.75" customHeight="1">
      <c r="A157" s="75"/>
      <c r="B157" s="76"/>
      <c r="C157" s="5"/>
      <c r="D157" s="69"/>
      <c r="E157" s="5"/>
      <c r="F157" s="11"/>
      <c r="G157" s="11"/>
      <c r="H157" s="11"/>
      <c r="I157" s="11"/>
      <c r="K157" s="75"/>
      <c r="L157" s="76"/>
      <c r="M157" s="5"/>
      <c r="N157" s="69"/>
      <c r="O157" s="5"/>
    </row>
    <row r="158" ht="15.75" customHeight="1">
      <c r="A158" s="75"/>
      <c r="B158" s="76"/>
      <c r="C158" s="5"/>
      <c r="D158" s="69"/>
      <c r="E158" s="5"/>
      <c r="F158" s="11"/>
      <c r="G158" s="11"/>
      <c r="H158" s="11"/>
      <c r="I158" s="11"/>
      <c r="K158" s="75"/>
      <c r="L158" s="76"/>
      <c r="M158" s="5"/>
      <c r="N158" s="69"/>
      <c r="O158" s="5"/>
    </row>
    <row r="159" ht="15.75" customHeight="1">
      <c r="A159" s="75"/>
      <c r="B159" s="76"/>
      <c r="C159" s="5"/>
      <c r="D159" s="69"/>
      <c r="E159" s="5"/>
      <c r="F159" s="11"/>
      <c r="G159" s="11"/>
      <c r="H159" s="11"/>
      <c r="I159" s="11"/>
      <c r="K159" s="75"/>
      <c r="L159" s="76"/>
      <c r="M159" s="5"/>
      <c r="N159" s="69"/>
      <c r="O159" s="5"/>
    </row>
    <row r="160" ht="15.75" customHeight="1">
      <c r="A160" s="75"/>
      <c r="B160" s="76"/>
      <c r="C160" s="5"/>
      <c r="D160" s="69"/>
      <c r="E160" s="5"/>
      <c r="F160" s="11"/>
      <c r="G160" s="11"/>
      <c r="H160" s="11"/>
      <c r="I160" s="11"/>
      <c r="K160" s="75"/>
      <c r="L160" s="76"/>
      <c r="M160" s="5"/>
      <c r="N160" s="69"/>
      <c r="O160" s="5"/>
    </row>
    <row r="161" ht="15.75" customHeight="1">
      <c r="A161" s="75"/>
      <c r="B161" s="76"/>
      <c r="C161" s="5"/>
      <c r="D161" s="69"/>
      <c r="E161" s="5"/>
      <c r="F161" s="11"/>
      <c r="G161" s="11"/>
      <c r="H161" s="11"/>
      <c r="I161" s="11"/>
      <c r="K161" s="75"/>
      <c r="L161" s="76"/>
      <c r="M161" s="5"/>
      <c r="N161" s="69"/>
      <c r="O161" s="5"/>
    </row>
    <row r="162" ht="15.75" customHeight="1">
      <c r="A162" s="75"/>
      <c r="B162" s="76"/>
      <c r="C162" s="5"/>
      <c r="D162" s="69"/>
      <c r="E162" s="5"/>
      <c r="F162" s="11"/>
      <c r="G162" s="11"/>
      <c r="H162" s="11"/>
      <c r="I162" s="11"/>
      <c r="K162" s="75"/>
      <c r="L162" s="76"/>
      <c r="M162" s="5"/>
      <c r="N162" s="69"/>
      <c r="O162" s="5"/>
    </row>
    <row r="163" ht="15.75" customHeight="1">
      <c r="A163" s="75"/>
      <c r="B163" s="76"/>
      <c r="C163" s="5"/>
      <c r="D163" s="69"/>
      <c r="E163" s="5"/>
      <c r="F163" s="11"/>
      <c r="G163" s="11"/>
      <c r="H163" s="11"/>
      <c r="I163" s="11"/>
      <c r="K163" s="75"/>
      <c r="L163" s="76"/>
      <c r="M163" s="5"/>
      <c r="N163" s="69"/>
      <c r="O163" s="5"/>
    </row>
    <row r="164" ht="15.75" customHeight="1">
      <c r="A164" s="75"/>
      <c r="B164" s="76"/>
      <c r="C164" s="5"/>
      <c r="D164" s="69"/>
      <c r="E164" s="5"/>
      <c r="F164" s="11"/>
      <c r="G164" s="11"/>
      <c r="H164" s="11"/>
      <c r="I164" s="11"/>
      <c r="K164" s="75"/>
      <c r="L164" s="76"/>
      <c r="M164" s="5"/>
      <c r="N164" s="69"/>
      <c r="O164" s="5"/>
    </row>
    <row r="165" ht="15.75" customHeight="1">
      <c r="A165" s="75"/>
      <c r="B165" s="76"/>
      <c r="C165" s="5"/>
      <c r="D165" s="69"/>
      <c r="E165" s="5"/>
      <c r="F165" s="11"/>
      <c r="G165" s="11"/>
      <c r="H165" s="11"/>
      <c r="I165" s="11"/>
      <c r="K165" s="75"/>
      <c r="L165" s="76"/>
      <c r="M165" s="5"/>
      <c r="N165" s="69"/>
      <c r="O165" s="5"/>
    </row>
    <row r="166" ht="15.75" customHeight="1">
      <c r="A166" s="75"/>
      <c r="B166" s="76"/>
      <c r="C166" s="5"/>
      <c r="D166" s="69"/>
      <c r="E166" s="5"/>
      <c r="F166" s="11"/>
      <c r="G166" s="11"/>
      <c r="H166" s="11"/>
      <c r="I166" s="11"/>
      <c r="K166" s="75"/>
      <c r="L166" s="76"/>
      <c r="M166" s="5"/>
      <c r="N166" s="69"/>
      <c r="O166" s="5"/>
    </row>
    <row r="167" ht="15.75" customHeight="1">
      <c r="A167" s="75"/>
      <c r="B167" s="76"/>
      <c r="C167" s="5"/>
      <c r="D167" s="69"/>
      <c r="E167" s="5"/>
      <c r="F167" s="11"/>
      <c r="G167" s="11"/>
      <c r="H167" s="11"/>
      <c r="I167" s="11"/>
      <c r="K167" s="75"/>
      <c r="L167" s="76"/>
      <c r="M167" s="5"/>
      <c r="N167" s="69"/>
      <c r="O167" s="5"/>
    </row>
    <row r="168" ht="15.75" customHeight="1">
      <c r="A168" s="75"/>
      <c r="B168" s="76"/>
      <c r="C168" s="5"/>
      <c r="D168" s="69"/>
      <c r="E168" s="5"/>
      <c r="F168" s="11"/>
      <c r="G168" s="11"/>
      <c r="H168" s="11"/>
      <c r="I168" s="11"/>
      <c r="K168" s="75"/>
      <c r="L168" s="76"/>
      <c r="M168" s="5"/>
      <c r="N168" s="69"/>
      <c r="O168" s="5"/>
    </row>
    <row r="169" ht="15.75" customHeight="1">
      <c r="A169" s="75"/>
      <c r="B169" s="76"/>
      <c r="C169" s="5"/>
      <c r="D169" s="69"/>
      <c r="E169" s="5"/>
      <c r="F169" s="11"/>
      <c r="G169" s="11"/>
      <c r="H169" s="11"/>
      <c r="I169" s="11"/>
      <c r="K169" s="75"/>
      <c r="L169" s="76"/>
      <c r="M169" s="5"/>
      <c r="N169" s="69"/>
      <c r="O169" s="5"/>
    </row>
    <row r="170" ht="15.75" customHeight="1">
      <c r="A170" s="75"/>
      <c r="B170" s="76"/>
      <c r="C170" s="5"/>
      <c r="D170" s="69"/>
      <c r="E170" s="5"/>
      <c r="F170" s="11"/>
      <c r="G170" s="11"/>
      <c r="H170" s="11"/>
      <c r="I170" s="11"/>
      <c r="K170" s="75"/>
      <c r="L170" s="76"/>
      <c r="M170" s="5"/>
      <c r="N170" s="69"/>
      <c r="O170" s="5"/>
    </row>
    <row r="171" ht="15.75" customHeight="1">
      <c r="A171" s="75"/>
      <c r="B171" s="76"/>
      <c r="C171" s="5"/>
      <c r="D171" s="69"/>
      <c r="E171" s="5"/>
      <c r="F171" s="11"/>
      <c r="G171" s="11"/>
      <c r="H171" s="11"/>
      <c r="I171" s="11"/>
      <c r="K171" s="75"/>
      <c r="L171" s="76"/>
      <c r="M171" s="5"/>
      <c r="N171" s="69"/>
      <c r="O171" s="5"/>
    </row>
    <row r="172" ht="15.75" customHeight="1">
      <c r="A172" s="75"/>
      <c r="B172" s="76"/>
      <c r="C172" s="5"/>
      <c r="D172" s="69"/>
      <c r="E172" s="5"/>
      <c r="F172" s="11"/>
      <c r="G172" s="11"/>
      <c r="H172" s="11"/>
      <c r="I172" s="11"/>
      <c r="K172" s="75"/>
      <c r="L172" s="76"/>
      <c r="M172" s="5"/>
      <c r="N172" s="69"/>
      <c r="O172" s="5"/>
    </row>
    <row r="173" ht="15.75" customHeight="1">
      <c r="A173" s="75"/>
      <c r="B173" s="76"/>
      <c r="C173" s="5"/>
      <c r="D173" s="69"/>
      <c r="E173" s="5"/>
      <c r="F173" s="11"/>
      <c r="G173" s="11"/>
      <c r="H173" s="11"/>
      <c r="I173" s="11"/>
      <c r="K173" s="75"/>
      <c r="L173" s="76"/>
      <c r="M173" s="5"/>
      <c r="N173" s="69"/>
      <c r="O173" s="5"/>
    </row>
    <row r="174" ht="15.75" customHeight="1">
      <c r="A174" s="75"/>
      <c r="B174" s="76"/>
      <c r="C174" s="5"/>
      <c r="D174" s="69"/>
      <c r="E174" s="5"/>
      <c r="F174" s="11"/>
      <c r="G174" s="11"/>
      <c r="H174" s="11"/>
      <c r="I174" s="11"/>
      <c r="K174" s="75"/>
      <c r="L174" s="76"/>
      <c r="M174" s="5"/>
      <c r="N174" s="69"/>
      <c r="O174" s="5"/>
    </row>
    <row r="175" ht="15.75" customHeight="1">
      <c r="A175" s="75"/>
      <c r="B175" s="76"/>
      <c r="C175" s="5"/>
      <c r="D175" s="69"/>
      <c r="E175" s="5"/>
      <c r="F175" s="11"/>
      <c r="G175" s="11"/>
      <c r="H175" s="11"/>
      <c r="I175" s="11"/>
      <c r="K175" s="75"/>
      <c r="L175" s="76"/>
      <c r="M175" s="5"/>
      <c r="N175" s="69"/>
      <c r="O175" s="5"/>
    </row>
    <row r="176" ht="15.75" customHeight="1">
      <c r="A176" s="75"/>
      <c r="B176" s="76"/>
      <c r="C176" s="5"/>
      <c r="D176" s="69"/>
      <c r="E176" s="5"/>
      <c r="F176" s="11"/>
      <c r="G176" s="11"/>
      <c r="H176" s="11"/>
      <c r="I176" s="11"/>
      <c r="K176" s="75"/>
      <c r="L176" s="76"/>
      <c r="M176" s="5"/>
      <c r="N176" s="69"/>
      <c r="O176" s="5"/>
    </row>
    <row r="177" ht="15.75" customHeight="1">
      <c r="A177" s="75"/>
      <c r="B177" s="76"/>
      <c r="C177" s="5"/>
      <c r="D177" s="69"/>
      <c r="E177" s="5"/>
      <c r="F177" s="11"/>
      <c r="G177" s="11"/>
      <c r="H177" s="11"/>
      <c r="I177" s="11"/>
      <c r="K177" s="75"/>
      <c r="L177" s="76"/>
      <c r="M177" s="5"/>
      <c r="N177" s="69"/>
      <c r="O177" s="5"/>
    </row>
    <row r="178" ht="15.75" customHeight="1">
      <c r="A178" s="75"/>
      <c r="B178" s="76"/>
      <c r="C178" s="5"/>
      <c r="D178" s="69"/>
      <c r="E178" s="5"/>
      <c r="F178" s="11"/>
      <c r="G178" s="11"/>
      <c r="H178" s="11"/>
      <c r="I178" s="11"/>
      <c r="K178" s="75"/>
      <c r="L178" s="76"/>
      <c r="M178" s="5"/>
      <c r="N178" s="69"/>
      <c r="O178" s="5"/>
    </row>
    <row r="179" ht="15.75" customHeight="1">
      <c r="A179" s="75"/>
      <c r="B179" s="76"/>
      <c r="C179" s="5"/>
      <c r="D179" s="69"/>
      <c r="E179" s="5"/>
      <c r="F179" s="11"/>
      <c r="G179" s="11"/>
      <c r="H179" s="11"/>
      <c r="I179" s="11"/>
      <c r="K179" s="75"/>
      <c r="L179" s="76"/>
      <c r="M179" s="5"/>
      <c r="N179" s="69"/>
      <c r="O179" s="5"/>
    </row>
    <row r="180" ht="15.75" customHeight="1">
      <c r="A180" s="75"/>
      <c r="B180" s="76"/>
      <c r="C180" s="5"/>
      <c r="D180" s="69"/>
      <c r="E180" s="5"/>
      <c r="F180" s="11"/>
      <c r="G180" s="11"/>
      <c r="H180" s="11"/>
      <c r="I180" s="11"/>
      <c r="K180" s="75"/>
      <c r="L180" s="76"/>
      <c r="M180" s="5"/>
      <c r="N180" s="69"/>
      <c r="O180" s="5"/>
    </row>
    <row r="181" ht="15.75" customHeight="1">
      <c r="A181" s="75"/>
      <c r="B181" s="76"/>
      <c r="C181" s="5"/>
      <c r="D181" s="69"/>
      <c r="E181" s="5"/>
      <c r="F181" s="11"/>
      <c r="G181" s="11"/>
      <c r="H181" s="11"/>
      <c r="I181" s="11"/>
      <c r="K181" s="75"/>
      <c r="L181" s="76"/>
      <c r="M181" s="5"/>
      <c r="N181" s="69"/>
      <c r="O181" s="5"/>
    </row>
    <row r="182" ht="15.75" customHeight="1">
      <c r="A182" s="75"/>
      <c r="B182" s="76"/>
      <c r="C182" s="5"/>
      <c r="D182" s="69"/>
      <c r="E182" s="5"/>
      <c r="F182" s="11"/>
      <c r="G182" s="11"/>
      <c r="H182" s="11"/>
      <c r="I182" s="11"/>
      <c r="K182" s="75"/>
      <c r="L182" s="76"/>
      <c r="M182" s="5"/>
      <c r="N182" s="69"/>
      <c r="O182" s="5"/>
    </row>
    <row r="183" ht="15.75" customHeight="1">
      <c r="A183" s="9"/>
      <c r="B183" s="9"/>
      <c r="F183" s="11"/>
      <c r="G183" s="11"/>
      <c r="H183" s="11"/>
      <c r="I183" s="11"/>
    </row>
    <row r="184" ht="15.75" customHeight="1">
      <c r="A184" s="9"/>
      <c r="B184" s="9"/>
      <c r="F184" s="11"/>
      <c r="G184" s="11"/>
      <c r="H184" s="11"/>
      <c r="I184" s="11"/>
    </row>
    <row r="185" ht="15.75" customHeight="1">
      <c r="A185" s="9"/>
      <c r="B185" s="9"/>
      <c r="F185" s="11"/>
      <c r="G185" s="11"/>
      <c r="H185" s="11"/>
      <c r="I185" s="11"/>
    </row>
    <row r="186" ht="15.75" customHeight="1">
      <c r="A186" s="9"/>
      <c r="B186" s="9"/>
      <c r="F186" s="11"/>
      <c r="G186" s="11"/>
      <c r="H186" s="11"/>
      <c r="I186" s="11"/>
    </row>
    <row r="187" ht="15.75" customHeight="1">
      <c r="A187" s="9"/>
      <c r="B187" s="9"/>
      <c r="F187" s="11"/>
      <c r="G187" s="11"/>
      <c r="H187" s="11"/>
      <c r="I187" s="11"/>
    </row>
    <row r="188" ht="15.75" customHeight="1">
      <c r="A188" s="9"/>
      <c r="B188" s="9"/>
      <c r="F188" s="11"/>
      <c r="G188" s="11"/>
      <c r="H188" s="11"/>
      <c r="I188" s="11"/>
    </row>
    <row r="189" ht="15.75" customHeight="1">
      <c r="A189" s="9"/>
      <c r="B189" s="9"/>
      <c r="F189" s="11"/>
      <c r="G189" s="11"/>
      <c r="H189" s="11"/>
      <c r="I189" s="11"/>
    </row>
    <row r="190" ht="15.75" customHeight="1">
      <c r="A190" s="9"/>
      <c r="B190" s="9"/>
      <c r="F190" s="11"/>
      <c r="G190" s="11"/>
      <c r="H190" s="11"/>
      <c r="I190" s="11"/>
    </row>
    <row r="191" ht="15.75" customHeight="1">
      <c r="A191" s="9"/>
      <c r="B191" s="9"/>
      <c r="F191" s="11"/>
      <c r="G191" s="11"/>
      <c r="H191" s="11"/>
      <c r="I191" s="11"/>
    </row>
    <row r="192" ht="15.75" customHeight="1">
      <c r="A192" s="9"/>
      <c r="B192" s="9"/>
      <c r="F192" s="11"/>
      <c r="G192" s="11"/>
      <c r="H192" s="11"/>
      <c r="I192" s="11"/>
    </row>
    <row r="193" ht="15.75" customHeight="1">
      <c r="A193" s="9"/>
      <c r="B193" s="9"/>
      <c r="F193" s="11"/>
      <c r="G193" s="11"/>
      <c r="H193" s="11"/>
      <c r="I193" s="11"/>
    </row>
    <row r="194" ht="15.75" customHeight="1">
      <c r="A194" s="9"/>
      <c r="B194" s="9"/>
      <c r="F194" s="11"/>
      <c r="G194" s="11"/>
      <c r="H194" s="11"/>
      <c r="I194" s="11"/>
    </row>
    <row r="195" ht="15.75" customHeight="1">
      <c r="A195" s="9"/>
      <c r="B195" s="9"/>
      <c r="F195" s="11"/>
      <c r="G195" s="11"/>
      <c r="H195" s="11"/>
      <c r="I195" s="11"/>
    </row>
    <row r="196" ht="15.75" customHeight="1">
      <c r="A196" s="9"/>
      <c r="B196" s="9"/>
      <c r="F196" s="11"/>
      <c r="G196" s="11"/>
      <c r="H196" s="11"/>
      <c r="I196" s="11"/>
    </row>
    <row r="197" ht="15.75" customHeight="1">
      <c r="A197" s="9"/>
      <c r="B197" s="9"/>
      <c r="F197" s="11"/>
      <c r="G197" s="11"/>
      <c r="H197" s="11"/>
      <c r="I197" s="11"/>
    </row>
    <row r="198" ht="15.75" customHeight="1">
      <c r="A198" s="9"/>
      <c r="B198" s="9"/>
      <c r="F198" s="11"/>
      <c r="G198" s="11"/>
      <c r="H198" s="11"/>
      <c r="I198" s="11"/>
    </row>
    <row r="199" ht="15.75" customHeight="1">
      <c r="A199" s="9"/>
      <c r="B199" s="9"/>
      <c r="F199" s="11"/>
      <c r="G199" s="11"/>
      <c r="H199" s="11"/>
      <c r="I199" s="11"/>
    </row>
    <row r="200" ht="15.75" customHeight="1">
      <c r="A200" s="9"/>
      <c r="B200" s="9"/>
      <c r="F200" s="11"/>
      <c r="G200" s="11"/>
      <c r="H200" s="11"/>
      <c r="I200" s="11"/>
    </row>
    <row r="201" ht="15.75" customHeight="1">
      <c r="A201" s="9"/>
      <c r="B201" s="9"/>
      <c r="F201" s="11"/>
      <c r="G201" s="11"/>
      <c r="H201" s="11"/>
      <c r="I201" s="11"/>
    </row>
    <row r="202" ht="15.75" customHeight="1">
      <c r="A202" s="9"/>
      <c r="B202" s="9"/>
      <c r="F202" s="11"/>
      <c r="G202" s="11"/>
      <c r="H202" s="11"/>
      <c r="I202" s="11"/>
    </row>
    <row r="203" ht="15.75" customHeight="1">
      <c r="A203" s="9"/>
      <c r="B203" s="9"/>
      <c r="F203" s="11"/>
      <c r="G203" s="11"/>
      <c r="H203" s="11"/>
      <c r="I203" s="11"/>
    </row>
    <row r="204" ht="15.75" customHeight="1">
      <c r="A204" s="9"/>
      <c r="B204" s="9"/>
      <c r="F204" s="11"/>
      <c r="G204" s="11"/>
      <c r="H204" s="11"/>
      <c r="I204" s="11"/>
    </row>
    <row r="205" ht="15.75" customHeight="1">
      <c r="A205" s="9"/>
      <c r="B205" s="9"/>
      <c r="F205" s="11"/>
      <c r="G205" s="11"/>
      <c r="H205" s="11"/>
      <c r="I205" s="11"/>
    </row>
    <row r="206" ht="15.75" customHeight="1">
      <c r="A206" s="9"/>
      <c r="B206" s="9"/>
      <c r="F206" s="11"/>
      <c r="G206" s="11"/>
      <c r="H206" s="11"/>
      <c r="I206" s="11"/>
    </row>
    <row r="207" ht="15.75" customHeight="1">
      <c r="A207" s="9"/>
      <c r="B207" s="9"/>
      <c r="F207" s="11"/>
      <c r="G207" s="11"/>
      <c r="H207" s="11"/>
      <c r="I207" s="11"/>
    </row>
    <row r="208" ht="15.75" customHeight="1">
      <c r="A208" s="9"/>
      <c r="B208" s="9"/>
      <c r="F208" s="11"/>
      <c r="G208" s="11"/>
      <c r="H208" s="11"/>
      <c r="I208" s="11"/>
    </row>
    <row r="209" ht="15.75" customHeight="1">
      <c r="A209" s="9"/>
      <c r="B209" s="9"/>
      <c r="F209" s="11"/>
      <c r="G209" s="11"/>
      <c r="H209" s="11"/>
      <c r="I209" s="11"/>
    </row>
    <row r="210" ht="15.75" customHeight="1">
      <c r="A210" s="9"/>
      <c r="B210" s="9"/>
      <c r="F210" s="11"/>
      <c r="G210" s="11"/>
      <c r="H210" s="11"/>
      <c r="I210" s="11"/>
    </row>
    <row r="211" ht="15.75" customHeight="1">
      <c r="A211" s="9"/>
      <c r="B211" s="9"/>
      <c r="F211" s="11"/>
      <c r="G211" s="11"/>
      <c r="H211" s="11"/>
      <c r="I211" s="11"/>
    </row>
    <row r="212" ht="15.75" customHeight="1">
      <c r="A212" s="9"/>
      <c r="B212" s="9"/>
      <c r="F212" s="11"/>
      <c r="G212" s="11"/>
      <c r="H212" s="11"/>
      <c r="I212" s="11"/>
    </row>
    <row r="213" ht="15.75" customHeight="1">
      <c r="A213" s="9"/>
      <c r="B213" s="9"/>
      <c r="F213" s="11"/>
      <c r="G213" s="11"/>
      <c r="H213" s="11"/>
      <c r="I213" s="11"/>
    </row>
    <row r="214" ht="15.75" customHeight="1">
      <c r="A214" s="9"/>
      <c r="B214" s="9"/>
      <c r="F214" s="11"/>
      <c r="G214" s="11"/>
      <c r="H214" s="11"/>
      <c r="I214" s="11"/>
    </row>
    <row r="215" ht="15.75" customHeight="1">
      <c r="A215" s="9"/>
      <c r="B215" s="9"/>
      <c r="F215" s="11"/>
      <c r="G215" s="11"/>
      <c r="H215" s="11"/>
      <c r="I215" s="11"/>
    </row>
    <row r="216" ht="15.75" customHeight="1">
      <c r="A216" s="9"/>
      <c r="B216" s="9"/>
      <c r="F216" s="11"/>
      <c r="G216" s="11"/>
      <c r="H216" s="11"/>
      <c r="I216" s="11"/>
    </row>
    <row r="217" ht="15.75" customHeight="1">
      <c r="A217" s="9"/>
      <c r="B217" s="9"/>
      <c r="F217" s="11"/>
      <c r="G217" s="11"/>
      <c r="H217" s="11"/>
      <c r="I217" s="11"/>
    </row>
    <row r="218" ht="15.75" customHeight="1">
      <c r="A218" s="9"/>
      <c r="B218" s="9"/>
      <c r="F218" s="11"/>
      <c r="G218" s="11"/>
      <c r="H218" s="11"/>
      <c r="I218" s="11"/>
    </row>
    <row r="219" ht="15.75" customHeight="1">
      <c r="A219" s="9"/>
      <c r="B219" s="9"/>
      <c r="F219" s="11"/>
      <c r="G219" s="11"/>
      <c r="H219" s="11"/>
      <c r="I219" s="11"/>
    </row>
    <row r="220" ht="15.75" customHeight="1">
      <c r="A220" s="9"/>
      <c r="B220" s="9"/>
      <c r="F220" s="11"/>
      <c r="G220" s="11"/>
      <c r="H220" s="11"/>
      <c r="I220" s="11"/>
    </row>
    <row r="221" ht="15.75" customHeight="1">
      <c r="A221" s="9"/>
      <c r="B221" s="9"/>
      <c r="F221" s="11"/>
      <c r="G221" s="11"/>
      <c r="H221" s="11"/>
      <c r="I221" s="11"/>
    </row>
    <row r="222" ht="15.75" customHeight="1">
      <c r="A222" s="9"/>
      <c r="B222" s="9"/>
      <c r="F222" s="11"/>
      <c r="G222" s="11"/>
      <c r="H222" s="11"/>
      <c r="I222" s="11"/>
    </row>
    <row r="223" ht="15.75" customHeight="1">
      <c r="A223" s="9"/>
      <c r="B223" s="9"/>
      <c r="F223" s="11"/>
      <c r="G223" s="11"/>
      <c r="H223" s="11"/>
      <c r="I223" s="11"/>
    </row>
    <row r="224" ht="15.75" customHeight="1">
      <c r="A224" s="9"/>
      <c r="B224" s="9"/>
      <c r="F224" s="11"/>
      <c r="G224" s="11"/>
      <c r="H224" s="11"/>
      <c r="I224" s="11"/>
    </row>
    <row r="225" ht="15.75" customHeight="1">
      <c r="A225" s="9"/>
      <c r="B225" s="9"/>
      <c r="F225" s="11"/>
      <c r="G225" s="11"/>
      <c r="H225" s="11"/>
      <c r="I225" s="11"/>
    </row>
    <row r="226" ht="15.75" customHeight="1">
      <c r="A226" s="9"/>
      <c r="B226" s="9"/>
      <c r="F226" s="11"/>
      <c r="G226" s="11"/>
      <c r="H226" s="11"/>
      <c r="I226" s="11"/>
    </row>
    <row r="227" ht="15.75" customHeight="1">
      <c r="A227" s="9"/>
      <c r="B227" s="9"/>
      <c r="F227" s="11"/>
      <c r="G227" s="11"/>
      <c r="H227" s="11"/>
      <c r="I227" s="11"/>
    </row>
    <row r="228" ht="15.75" customHeight="1">
      <c r="A228" s="9"/>
      <c r="B228" s="9"/>
      <c r="F228" s="11"/>
      <c r="G228" s="11"/>
      <c r="H228" s="11"/>
      <c r="I228" s="11"/>
    </row>
    <row r="229" ht="15.75" customHeight="1">
      <c r="A229" s="9"/>
      <c r="B229" s="9"/>
      <c r="F229" s="11"/>
      <c r="G229" s="11"/>
      <c r="H229" s="11"/>
      <c r="I229" s="11"/>
    </row>
    <row r="230" ht="15.75" customHeight="1">
      <c r="A230" s="9"/>
      <c r="B230" s="9"/>
      <c r="F230" s="11"/>
      <c r="G230" s="11"/>
      <c r="H230" s="11"/>
      <c r="I230" s="11"/>
    </row>
    <row r="231" ht="15.75" customHeight="1">
      <c r="A231" s="9"/>
      <c r="B231" s="9"/>
      <c r="F231" s="11"/>
      <c r="G231" s="11"/>
      <c r="H231" s="11"/>
      <c r="I231" s="11"/>
    </row>
    <row r="232" ht="15.75" customHeight="1">
      <c r="A232" s="9"/>
      <c r="B232" s="9"/>
      <c r="F232" s="11"/>
      <c r="G232" s="11"/>
      <c r="H232" s="11"/>
      <c r="I232" s="11"/>
    </row>
    <row r="233" ht="15.75" customHeight="1">
      <c r="A233" s="9"/>
      <c r="B233" s="9"/>
      <c r="F233" s="11"/>
      <c r="G233" s="11"/>
      <c r="H233" s="11"/>
      <c r="I233" s="11"/>
    </row>
    <row r="234" ht="15.75" customHeight="1">
      <c r="A234" s="9"/>
      <c r="B234" s="9"/>
      <c r="F234" s="11"/>
      <c r="G234" s="11"/>
      <c r="H234" s="11"/>
      <c r="I234" s="11"/>
    </row>
    <row r="235" ht="15.75" customHeight="1">
      <c r="A235" s="9"/>
      <c r="B235" s="9"/>
      <c r="F235" s="11"/>
      <c r="G235" s="11"/>
      <c r="H235" s="11"/>
      <c r="I235" s="11"/>
    </row>
    <row r="236" ht="15.75" customHeight="1">
      <c r="A236" s="9"/>
      <c r="B236" s="9"/>
      <c r="F236" s="11"/>
      <c r="G236" s="11"/>
      <c r="H236" s="11"/>
      <c r="I236" s="11"/>
    </row>
    <row r="237" ht="15.75" customHeight="1">
      <c r="A237" s="9"/>
      <c r="B237" s="9"/>
      <c r="F237" s="11"/>
      <c r="G237" s="11"/>
      <c r="H237" s="11"/>
      <c r="I237" s="11"/>
    </row>
    <row r="238" ht="15.75" customHeight="1">
      <c r="A238" s="9"/>
      <c r="B238" s="9"/>
      <c r="F238" s="11"/>
      <c r="G238" s="11"/>
      <c r="H238" s="11"/>
      <c r="I238" s="11"/>
    </row>
    <row r="239" ht="15.75" customHeight="1">
      <c r="A239" s="9"/>
      <c r="B239" s="9"/>
      <c r="F239" s="11"/>
      <c r="G239" s="11"/>
      <c r="H239" s="11"/>
      <c r="I239" s="11"/>
    </row>
    <row r="240" ht="15.75" customHeight="1">
      <c r="A240" s="9"/>
      <c r="B240" s="9"/>
      <c r="F240" s="11"/>
      <c r="G240" s="11"/>
      <c r="H240" s="11"/>
      <c r="I240" s="11"/>
    </row>
    <row r="241" ht="15.75" customHeight="1">
      <c r="A241" s="9"/>
      <c r="B241" s="9"/>
      <c r="F241" s="11"/>
      <c r="G241" s="11"/>
      <c r="H241" s="11"/>
      <c r="I241" s="11"/>
    </row>
    <row r="242" ht="15.75" customHeight="1">
      <c r="A242" s="9"/>
      <c r="B242" s="9"/>
      <c r="F242" s="11"/>
      <c r="G242" s="11"/>
      <c r="H242" s="11"/>
      <c r="I242" s="11"/>
    </row>
    <row r="243" ht="15.75" customHeight="1">
      <c r="A243" s="9"/>
      <c r="B243" s="9"/>
      <c r="F243" s="11"/>
      <c r="G243" s="11"/>
      <c r="H243" s="11"/>
      <c r="I243" s="11"/>
    </row>
    <row r="244" ht="15.75" customHeight="1">
      <c r="A244" s="9"/>
      <c r="B244" s="9"/>
      <c r="F244" s="11"/>
      <c r="G244" s="11"/>
      <c r="H244" s="11"/>
      <c r="I244" s="11"/>
    </row>
    <row r="245" ht="15.75" customHeight="1">
      <c r="A245" s="9"/>
      <c r="B245" s="9"/>
      <c r="F245" s="11"/>
      <c r="G245" s="11"/>
      <c r="H245" s="11"/>
      <c r="I245" s="11"/>
    </row>
    <row r="246" ht="15.75" customHeight="1">
      <c r="A246" s="9"/>
      <c r="B246" s="9"/>
      <c r="F246" s="11"/>
      <c r="G246" s="11"/>
      <c r="H246" s="11"/>
      <c r="I246" s="11"/>
    </row>
    <row r="247" ht="15.75" customHeight="1">
      <c r="A247" s="9"/>
      <c r="B247" s="9"/>
      <c r="F247" s="11"/>
      <c r="G247" s="11"/>
      <c r="H247" s="11"/>
      <c r="I247" s="11"/>
    </row>
    <row r="248" ht="15.75" customHeight="1">
      <c r="A248" s="9"/>
      <c r="B248" s="9"/>
      <c r="F248" s="11"/>
      <c r="G248" s="11"/>
      <c r="H248" s="11"/>
      <c r="I248" s="11"/>
    </row>
    <row r="249" ht="15.75" customHeight="1">
      <c r="A249" s="9"/>
      <c r="B249" s="9"/>
      <c r="F249" s="11"/>
      <c r="G249" s="11"/>
      <c r="H249" s="11"/>
      <c r="I249" s="11"/>
    </row>
    <row r="250" ht="15.75" customHeight="1">
      <c r="A250" s="9"/>
      <c r="B250" s="9"/>
      <c r="F250" s="11"/>
      <c r="G250" s="11"/>
      <c r="H250" s="11"/>
      <c r="I250" s="11"/>
    </row>
    <row r="251" ht="15.75" customHeight="1">
      <c r="A251" s="9"/>
      <c r="B251" s="9"/>
      <c r="F251" s="11"/>
      <c r="G251" s="11"/>
      <c r="H251" s="11"/>
      <c r="I251" s="11"/>
    </row>
    <row r="252" ht="15.75" customHeight="1">
      <c r="A252" s="9"/>
      <c r="B252" s="9"/>
      <c r="F252" s="11"/>
      <c r="G252" s="11"/>
      <c r="H252" s="11"/>
      <c r="I252" s="11"/>
    </row>
    <row r="253" ht="15.75" customHeight="1">
      <c r="A253" s="9"/>
      <c r="B253" s="9"/>
      <c r="F253" s="11"/>
      <c r="G253" s="11"/>
      <c r="H253" s="11"/>
      <c r="I253" s="11"/>
    </row>
    <row r="254" ht="15.75" customHeight="1">
      <c r="A254" s="9"/>
      <c r="B254" s="9"/>
      <c r="F254" s="11"/>
      <c r="G254" s="11"/>
      <c r="H254" s="11"/>
      <c r="I254" s="11"/>
    </row>
    <row r="255" ht="15.75" customHeight="1">
      <c r="A255" s="9"/>
      <c r="B255" s="9"/>
      <c r="F255" s="11"/>
      <c r="G255" s="11"/>
      <c r="H255" s="11"/>
      <c r="I255" s="11"/>
    </row>
    <row r="256" ht="15.75" customHeight="1">
      <c r="A256" s="9"/>
      <c r="B256" s="9"/>
      <c r="F256" s="11"/>
      <c r="G256" s="11"/>
      <c r="H256" s="11"/>
      <c r="I256" s="11"/>
    </row>
    <row r="257" ht="15.75" customHeight="1">
      <c r="A257" s="9"/>
      <c r="B257" s="9"/>
      <c r="F257" s="11"/>
      <c r="G257" s="11"/>
      <c r="H257" s="11"/>
      <c r="I257" s="11"/>
    </row>
    <row r="258" ht="15.75" customHeight="1">
      <c r="A258" s="9"/>
      <c r="B258" s="9"/>
      <c r="F258" s="11"/>
      <c r="G258" s="11"/>
      <c r="H258" s="11"/>
      <c r="I258" s="11"/>
    </row>
    <row r="259" ht="15.75" customHeight="1">
      <c r="A259" s="9"/>
      <c r="B259" s="9"/>
      <c r="F259" s="11"/>
      <c r="G259" s="11"/>
      <c r="H259" s="11"/>
      <c r="I259" s="11"/>
    </row>
    <row r="260" ht="15.75" customHeight="1">
      <c r="A260" s="9"/>
      <c r="B260" s="9"/>
      <c r="F260" s="11"/>
      <c r="G260" s="11"/>
      <c r="H260" s="11"/>
      <c r="I260" s="11"/>
    </row>
    <row r="261" ht="15.75" customHeight="1">
      <c r="A261" s="9"/>
      <c r="B261" s="9"/>
      <c r="F261" s="11"/>
      <c r="G261" s="11"/>
      <c r="H261" s="11"/>
      <c r="I261" s="11"/>
    </row>
    <row r="262" ht="15.75" customHeight="1">
      <c r="A262" s="9"/>
      <c r="B262" s="9"/>
      <c r="F262" s="11"/>
      <c r="G262" s="11"/>
      <c r="H262" s="11"/>
      <c r="I262" s="11"/>
    </row>
    <row r="263" ht="15.75" customHeight="1">
      <c r="A263" s="9"/>
      <c r="B263" s="9"/>
      <c r="F263" s="11"/>
      <c r="G263" s="11"/>
      <c r="H263" s="11"/>
      <c r="I263" s="11"/>
    </row>
    <row r="264" ht="15.75" customHeight="1">
      <c r="A264" s="9"/>
      <c r="B264" s="9"/>
      <c r="F264" s="11"/>
      <c r="G264" s="11"/>
      <c r="H264" s="11"/>
      <c r="I264" s="11"/>
    </row>
    <row r="265" ht="15.75" customHeight="1">
      <c r="A265" s="9"/>
      <c r="B265" s="9"/>
      <c r="F265" s="11"/>
      <c r="G265" s="11"/>
      <c r="H265" s="11"/>
      <c r="I265" s="11"/>
    </row>
    <row r="266" ht="15.75" customHeight="1">
      <c r="A266" s="9"/>
      <c r="B266" s="9"/>
      <c r="F266" s="11"/>
      <c r="G266" s="11"/>
      <c r="H266" s="11"/>
      <c r="I266" s="11"/>
    </row>
    <row r="267" ht="15.75" customHeight="1">
      <c r="A267" s="9"/>
      <c r="B267" s="9"/>
      <c r="F267" s="11"/>
      <c r="G267" s="11"/>
      <c r="H267" s="11"/>
      <c r="I267" s="11"/>
    </row>
    <row r="268" ht="15.75" customHeight="1">
      <c r="A268" s="9"/>
      <c r="B268" s="9"/>
      <c r="F268" s="11"/>
      <c r="G268" s="11"/>
      <c r="H268" s="11"/>
      <c r="I268" s="11"/>
    </row>
    <row r="269" ht="15.75" customHeight="1">
      <c r="A269" s="9"/>
      <c r="B269" s="9"/>
      <c r="F269" s="11"/>
      <c r="G269" s="11"/>
      <c r="H269" s="11"/>
      <c r="I269" s="11"/>
    </row>
    <row r="270" ht="15.75" customHeight="1">
      <c r="A270" s="9"/>
      <c r="B270" s="9"/>
      <c r="F270" s="11"/>
      <c r="G270" s="11"/>
      <c r="H270" s="11"/>
      <c r="I270" s="11"/>
    </row>
    <row r="271" ht="15.75" customHeight="1">
      <c r="A271" s="9"/>
      <c r="B271" s="9"/>
      <c r="F271" s="11"/>
      <c r="G271" s="11"/>
      <c r="H271" s="11"/>
      <c r="I271" s="11"/>
    </row>
    <row r="272" ht="15.75" customHeight="1">
      <c r="A272" s="9"/>
      <c r="B272" s="9"/>
      <c r="F272" s="11"/>
      <c r="G272" s="11"/>
      <c r="H272" s="11"/>
      <c r="I272" s="11"/>
    </row>
    <row r="273" ht="15.75" customHeight="1">
      <c r="A273" s="9"/>
      <c r="B273" s="9"/>
      <c r="F273" s="11"/>
      <c r="G273" s="11"/>
      <c r="H273" s="11"/>
      <c r="I273" s="11"/>
    </row>
    <row r="274" ht="15.75" customHeight="1">
      <c r="A274" s="9"/>
      <c r="B274" s="9"/>
      <c r="F274" s="11"/>
      <c r="G274" s="11"/>
      <c r="H274" s="11"/>
      <c r="I274" s="11"/>
    </row>
    <row r="275" ht="15.75" customHeight="1">
      <c r="A275" s="9"/>
      <c r="B275" s="9"/>
      <c r="F275" s="11"/>
      <c r="G275" s="11"/>
      <c r="H275" s="11"/>
      <c r="I275" s="11"/>
    </row>
    <row r="276" ht="15.75" customHeight="1">
      <c r="A276" s="9"/>
      <c r="B276" s="9"/>
      <c r="F276" s="11"/>
      <c r="G276" s="11"/>
      <c r="H276" s="11"/>
      <c r="I276" s="11"/>
    </row>
    <row r="277" ht="15.75" customHeight="1">
      <c r="A277" s="9"/>
      <c r="B277" s="9"/>
      <c r="F277" s="11"/>
      <c r="G277" s="11"/>
      <c r="H277" s="11"/>
      <c r="I277" s="11"/>
    </row>
    <row r="278" ht="15.75" customHeight="1">
      <c r="A278" s="9"/>
      <c r="B278" s="9"/>
      <c r="F278" s="11"/>
      <c r="G278" s="11"/>
      <c r="H278" s="11"/>
      <c r="I278" s="11"/>
    </row>
    <row r="279" ht="15.75" customHeight="1">
      <c r="A279" s="9"/>
      <c r="B279" s="9"/>
      <c r="F279" s="11"/>
      <c r="G279" s="11"/>
      <c r="H279" s="11"/>
      <c r="I279" s="11"/>
    </row>
    <row r="280" ht="15.75" customHeight="1">
      <c r="A280" s="9"/>
      <c r="B280" s="9"/>
      <c r="F280" s="11"/>
      <c r="G280" s="11"/>
      <c r="H280" s="11"/>
      <c r="I280" s="11"/>
    </row>
    <row r="281" ht="15.75" customHeight="1">
      <c r="A281" s="9"/>
      <c r="B281" s="9"/>
      <c r="F281" s="11"/>
      <c r="G281" s="11"/>
      <c r="H281" s="11"/>
      <c r="I281" s="11"/>
    </row>
    <row r="282" ht="15.75" customHeight="1">
      <c r="A282" s="9"/>
      <c r="B282" s="9"/>
      <c r="F282" s="11"/>
      <c r="G282" s="11"/>
      <c r="H282" s="11"/>
      <c r="I282" s="11"/>
    </row>
    <row r="283" ht="15.75" customHeight="1">
      <c r="A283" s="9"/>
      <c r="B283" s="9"/>
      <c r="F283" s="11"/>
      <c r="G283" s="11"/>
      <c r="H283" s="11"/>
      <c r="I283" s="11"/>
    </row>
    <row r="284" ht="15.75" customHeight="1">
      <c r="A284" s="9"/>
      <c r="B284" s="9"/>
      <c r="F284" s="11"/>
      <c r="G284" s="11"/>
      <c r="H284" s="11"/>
      <c r="I284" s="11"/>
    </row>
    <row r="285" ht="15.75" customHeight="1">
      <c r="A285" s="9"/>
      <c r="B285" s="9"/>
      <c r="F285" s="11"/>
      <c r="G285" s="11"/>
      <c r="H285" s="11"/>
      <c r="I285" s="11"/>
    </row>
    <row r="286" ht="15.75" customHeight="1">
      <c r="A286" s="9"/>
      <c r="B286" s="9"/>
      <c r="F286" s="11"/>
      <c r="G286" s="11"/>
      <c r="H286" s="11"/>
      <c r="I286" s="11"/>
    </row>
    <row r="287" ht="15.75" customHeight="1">
      <c r="A287" s="9"/>
      <c r="B287" s="9"/>
      <c r="F287" s="11"/>
      <c r="G287" s="11"/>
      <c r="H287" s="11"/>
      <c r="I287" s="11"/>
    </row>
    <row r="288" ht="15.75" customHeight="1">
      <c r="A288" s="9"/>
      <c r="B288" s="9"/>
      <c r="F288" s="11"/>
      <c r="G288" s="11"/>
      <c r="H288" s="11"/>
      <c r="I288" s="11"/>
    </row>
    <row r="289" ht="15.75" customHeight="1">
      <c r="A289" s="9"/>
      <c r="B289" s="9"/>
      <c r="F289" s="11"/>
      <c r="G289" s="11"/>
      <c r="H289" s="11"/>
      <c r="I289" s="11"/>
    </row>
    <row r="290" ht="15.75" customHeight="1">
      <c r="A290" s="9"/>
      <c r="B290" s="9"/>
      <c r="F290" s="11"/>
      <c r="G290" s="11"/>
      <c r="H290" s="11"/>
      <c r="I290" s="11"/>
    </row>
    <row r="291" ht="15.75" customHeight="1">
      <c r="A291" s="9"/>
      <c r="B291" s="9"/>
      <c r="F291" s="11"/>
      <c r="G291" s="11"/>
      <c r="H291" s="11"/>
      <c r="I291" s="11"/>
    </row>
    <row r="292" ht="15.75" customHeight="1">
      <c r="A292" s="9"/>
      <c r="B292" s="9"/>
      <c r="F292" s="11"/>
      <c r="G292" s="11"/>
      <c r="H292" s="11"/>
      <c r="I292" s="11"/>
    </row>
    <row r="293" ht="15.75" customHeight="1">
      <c r="A293" s="9"/>
      <c r="B293" s="9"/>
      <c r="F293" s="11"/>
      <c r="G293" s="11"/>
      <c r="H293" s="11"/>
      <c r="I293" s="11"/>
    </row>
    <row r="294" ht="15.75" customHeight="1">
      <c r="A294" s="9"/>
      <c r="B294" s="9"/>
      <c r="F294" s="11"/>
      <c r="G294" s="11"/>
      <c r="H294" s="11"/>
      <c r="I294" s="11"/>
    </row>
    <row r="295" ht="15.75" customHeight="1">
      <c r="A295" s="9"/>
      <c r="B295" s="9"/>
      <c r="F295" s="11"/>
      <c r="G295" s="11"/>
      <c r="H295" s="11"/>
      <c r="I295" s="11"/>
    </row>
    <row r="296" ht="15.75" customHeight="1">
      <c r="A296" s="9"/>
      <c r="B296" s="9"/>
      <c r="F296" s="11"/>
      <c r="G296" s="11"/>
      <c r="H296" s="11"/>
      <c r="I296" s="11"/>
    </row>
    <row r="297" ht="15.75" customHeight="1">
      <c r="A297" s="9"/>
      <c r="B297" s="9"/>
      <c r="F297" s="11"/>
      <c r="G297" s="11"/>
      <c r="H297" s="11"/>
      <c r="I297" s="11"/>
    </row>
    <row r="298" ht="15.75" customHeight="1">
      <c r="A298" s="9"/>
      <c r="B298" s="9"/>
      <c r="F298" s="11"/>
      <c r="G298" s="11"/>
      <c r="H298" s="11"/>
      <c r="I298" s="11"/>
    </row>
    <row r="299" ht="15.75" customHeight="1">
      <c r="A299" s="9"/>
      <c r="B299" s="9"/>
      <c r="F299" s="11"/>
      <c r="G299" s="11"/>
      <c r="H299" s="11"/>
      <c r="I299" s="11"/>
    </row>
    <row r="300" ht="15.75" customHeight="1">
      <c r="A300" s="9"/>
      <c r="B300" s="9"/>
      <c r="F300" s="11"/>
      <c r="G300" s="11"/>
      <c r="H300" s="11"/>
      <c r="I300" s="11"/>
    </row>
    <row r="301" ht="15.75" customHeight="1">
      <c r="A301" s="9"/>
      <c r="B301" s="9"/>
      <c r="F301" s="11"/>
      <c r="G301" s="11"/>
      <c r="H301" s="11"/>
      <c r="I301" s="11"/>
    </row>
    <row r="302" ht="15.75" customHeight="1">
      <c r="A302" s="9"/>
      <c r="B302" s="9"/>
      <c r="F302" s="11"/>
      <c r="G302" s="11"/>
      <c r="H302" s="11"/>
      <c r="I302" s="11"/>
    </row>
    <row r="303" ht="15.75" customHeight="1">
      <c r="A303" s="9"/>
      <c r="B303" s="9"/>
      <c r="F303" s="11"/>
      <c r="G303" s="11"/>
      <c r="H303" s="11"/>
      <c r="I303" s="11"/>
    </row>
    <row r="304" ht="15.75" customHeight="1">
      <c r="A304" s="9"/>
      <c r="B304" s="9"/>
      <c r="F304" s="11"/>
      <c r="G304" s="11"/>
      <c r="H304" s="11"/>
      <c r="I304" s="11"/>
    </row>
    <row r="305" ht="15.75" customHeight="1">
      <c r="A305" s="9"/>
      <c r="B305" s="9"/>
      <c r="F305" s="11"/>
      <c r="G305" s="11"/>
      <c r="H305" s="11"/>
      <c r="I305" s="11"/>
    </row>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38"/>
    <col customWidth="1" min="2" max="2" width="10.88"/>
    <col customWidth="1" min="3" max="3" width="7.0"/>
    <col customWidth="1" min="4" max="4" width="10.5"/>
    <col customWidth="1" min="5" max="7" width="16.5"/>
    <col customWidth="1" min="8" max="8" width="13.5"/>
    <col customWidth="1" min="9" max="9" width="11.13"/>
    <col customWidth="1" min="10" max="10" width="10.88"/>
    <col customWidth="1" min="11" max="11" width="27.38"/>
    <col customWidth="1" min="12" max="12" width="7.88"/>
    <col customWidth="1" min="13" max="13" width="34.13"/>
    <col customWidth="1" min="14" max="14" width="16.5"/>
  </cols>
  <sheetData>
    <row r="1" ht="15.75" customHeight="1">
      <c r="A1" s="3" t="s">
        <v>1836</v>
      </c>
      <c r="B1" s="3" t="s">
        <v>1</v>
      </c>
      <c r="C1" s="3" t="s">
        <v>2</v>
      </c>
      <c r="D1" s="3" t="s">
        <v>3</v>
      </c>
      <c r="E1" s="3" t="s">
        <v>4</v>
      </c>
      <c r="F1" s="3" t="s">
        <v>5</v>
      </c>
      <c r="G1" s="3" t="s">
        <v>6</v>
      </c>
      <c r="H1" s="3" t="s">
        <v>7</v>
      </c>
      <c r="I1" s="3" t="s">
        <v>8</v>
      </c>
      <c r="J1" s="3" t="s">
        <v>9</v>
      </c>
      <c r="K1" s="3" t="s">
        <v>10</v>
      </c>
      <c r="L1" s="3" t="s">
        <v>11</v>
      </c>
      <c r="M1" s="3" t="s">
        <v>1837</v>
      </c>
      <c r="N1" s="3" t="s">
        <v>1838</v>
      </c>
      <c r="O1" s="3" t="s">
        <v>14</v>
      </c>
      <c r="P1" s="5"/>
      <c r="Q1" s="5"/>
      <c r="R1" s="5"/>
      <c r="S1" s="5"/>
      <c r="T1" s="5"/>
      <c r="U1" s="5"/>
      <c r="V1" s="5"/>
      <c r="W1" s="5"/>
      <c r="X1" s="5"/>
      <c r="Y1" s="5"/>
      <c r="Z1" s="5"/>
    </row>
    <row r="2" ht="15.75" customHeight="1">
      <c r="A2" s="80" t="s">
        <v>15</v>
      </c>
      <c r="B2" s="80">
        <v>0.0</v>
      </c>
      <c r="C2" s="80">
        <v>0.0</v>
      </c>
      <c r="D2" s="80" t="s">
        <v>16</v>
      </c>
      <c r="E2" s="80" t="s">
        <v>17</v>
      </c>
      <c r="F2" s="80" t="s">
        <v>18</v>
      </c>
      <c r="G2" s="80" t="s">
        <v>19</v>
      </c>
      <c r="H2" s="80" t="s">
        <v>20</v>
      </c>
      <c r="I2" s="80" t="s">
        <v>21</v>
      </c>
      <c r="J2" s="80" t="s">
        <v>22</v>
      </c>
      <c r="K2" s="80" t="s">
        <v>23</v>
      </c>
      <c r="L2" s="5"/>
      <c r="M2" s="81" t="s">
        <v>1839</v>
      </c>
      <c r="N2" s="81" t="s">
        <v>24</v>
      </c>
      <c r="O2" s="5"/>
      <c r="P2" s="5"/>
      <c r="Q2" s="5"/>
      <c r="R2" s="5"/>
      <c r="S2" s="5"/>
      <c r="T2" s="5"/>
      <c r="U2" s="5"/>
      <c r="V2" s="5"/>
      <c r="W2" s="5"/>
      <c r="X2" s="5"/>
      <c r="Y2" s="5"/>
      <c r="Z2" s="5"/>
    </row>
    <row r="3" ht="15.75" customHeight="1">
      <c r="A3" s="75">
        <v>45516.0</v>
      </c>
      <c r="B3" s="76">
        <v>32.0</v>
      </c>
      <c r="C3" s="76">
        <v>34.75</v>
      </c>
      <c r="D3" s="5" t="s">
        <v>25</v>
      </c>
      <c r="E3" s="5" t="s">
        <v>26</v>
      </c>
      <c r="F3" s="5" t="s">
        <v>26</v>
      </c>
      <c r="G3" s="5" t="s">
        <v>26</v>
      </c>
      <c r="H3" s="5" t="s">
        <v>25</v>
      </c>
      <c r="I3" s="5" t="s">
        <v>27</v>
      </c>
      <c r="J3" s="5" t="s">
        <v>25</v>
      </c>
      <c r="K3" s="82" t="s">
        <v>1840</v>
      </c>
      <c r="L3" s="5" t="s">
        <v>40</v>
      </c>
      <c r="M3" s="69" t="s">
        <v>1841</v>
      </c>
      <c r="N3" s="5"/>
      <c r="O3" s="5"/>
      <c r="P3" s="5"/>
      <c r="Q3" s="5"/>
      <c r="R3" s="5"/>
      <c r="S3" s="5"/>
      <c r="T3" s="5"/>
      <c r="U3" s="5"/>
      <c r="V3" s="5"/>
      <c r="W3" s="5"/>
      <c r="X3" s="5"/>
      <c r="Y3" s="5"/>
      <c r="Z3" s="5"/>
    </row>
    <row r="4" ht="15.75" customHeight="1">
      <c r="A4" s="75">
        <v>45517.0</v>
      </c>
      <c r="B4" s="76">
        <v>36.0</v>
      </c>
      <c r="C4" s="76">
        <v>40.65</v>
      </c>
      <c r="D4" s="5" t="s">
        <v>25</v>
      </c>
      <c r="E4" s="5" t="s">
        <v>26</v>
      </c>
      <c r="F4" s="5" t="s">
        <v>26</v>
      </c>
      <c r="G4" s="5" t="s">
        <v>26</v>
      </c>
      <c r="H4" s="5" t="s">
        <v>25</v>
      </c>
      <c r="I4" s="5" t="s">
        <v>27</v>
      </c>
      <c r="J4" s="5" t="s">
        <v>25</v>
      </c>
      <c r="K4" s="82" t="s">
        <v>1842</v>
      </c>
      <c r="L4" s="5" t="s">
        <v>40</v>
      </c>
      <c r="M4" s="69" t="s">
        <v>1843</v>
      </c>
      <c r="N4" s="5"/>
      <c r="O4" s="5"/>
      <c r="P4" s="5"/>
      <c r="Q4" s="5"/>
      <c r="R4" s="5"/>
      <c r="S4" s="5"/>
      <c r="T4" s="5"/>
      <c r="U4" s="5"/>
      <c r="V4" s="5"/>
      <c r="W4" s="5"/>
      <c r="X4" s="5"/>
      <c r="Y4" s="5"/>
      <c r="Z4" s="5"/>
    </row>
    <row r="5" ht="15.75" customHeight="1">
      <c r="A5" s="75">
        <v>45518.0</v>
      </c>
      <c r="B5" s="76">
        <v>40.0</v>
      </c>
      <c r="C5" s="76">
        <v>43.11</v>
      </c>
      <c r="D5" s="5" t="s">
        <v>26</v>
      </c>
      <c r="E5" s="5" t="s">
        <v>26</v>
      </c>
      <c r="F5" s="5" t="s">
        <v>26</v>
      </c>
      <c r="G5" s="5" t="s">
        <v>26</v>
      </c>
      <c r="H5" s="5" t="s">
        <v>25</v>
      </c>
      <c r="I5" s="5" t="s">
        <v>27</v>
      </c>
      <c r="J5" s="5" t="s">
        <v>25</v>
      </c>
      <c r="K5" s="82" t="s">
        <v>1844</v>
      </c>
      <c r="L5" s="5" t="s">
        <v>40</v>
      </c>
      <c r="M5" s="5"/>
      <c r="N5" s="5"/>
      <c r="O5" s="5"/>
      <c r="P5" s="5"/>
      <c r="Q5" s="5"/>
      <c r="R5" s="5"/>
      <c r="S5" s="5"/>
      <c r="T5" s="5"/>
      <c r="U5" s="5"/>
      <c r="V5" s="5"/>
      <c r="W5" s="5"/>
      <c r="X5" s="5"/>
      <c r="Y5" s="5"/>
      <c r="Z5" s="5"/>
    </row>
    <row r="6" ht="15.75" customHeight="1">
      <c r="A6" s="75">
        <v>45520.0</v>
      </c>
      <c r="B6" s="76">
        <v>44.0</v>
      </c>
      <c r="C6" s="76">
        <v>47.01</v>
      </c>
      <c r="D6" s="5" t="s">
        <v>26</v>
      </c>
      <c r="E6" s="5" t="s">
        <v>26</v>
      </c>
      <c r="F6" s="5" t="s">
        <v>26</v>
      </c>
      <c r="G6" s="5" t="s">
        <v>26</v>
      </c>
      <c r="H6" s="5" t="s">
        <v>155</v>
      </c>
      <c r="I6" s="5" t="s">
        <v>27</v>
      </c>
      <c r="J6" s="5" t="s">
        <v>25</v>
      </c>
      <c r="K6" s="82" t="s">
        <v>1845</v>
      </c>
      <c r="L6" s="5" t="s">
        <v>40</v>
      </c>
      <c r="M6" s="69" t="s">
        <v>1846</v>
      </c>
      <c r="N6" s="5"/>
      <c r="O6" s="5"/>
      <c r="P6" s="5"/>
      <c r="Q6" s="5"/>
      <c r="R6" s="5"/>
      <c r="S6" s="5"/>
      <c r="T6" s="5"/>
      <c r="U6" s="5"/>
      <c r="V6" s="5"/>
      <c r="W6" s="5"/>
      <c r="X6" s="5"/>
      <c r="Y6" s="5"/>
      <c r="Z6" s="5"/>
    </row>
    <row r="7" ht="15.75" customHeight="1">
      <c r="A7" s="75">
        <v>45523.0</v>
      </c>
      <c r="B7" s="76">
        <v>48.0</v>
      </c>
      <c r="C7" s="76">
        <v>50.83</v>
      </c>
      <c r="D7" s="5" t="s">
        <v>25</v>
      </c>
      <c r="E7" s="5" t="s">
        <v>26</v>
      </c>
      <c r="F7" s="5" t="s">
        <v>26</v>
      </c>
      <c r="G7" s="5" t="s">
        <v>26</v>
      </c>
      <c r="H7" s="5" t="s">
        <v>25</v>
      </c>
      <c r="I7" s="5" t="s">
        <v>27</v>
      </c>
      <c r="J7" s="5" t="s">
        <v>25</v>
      </c>
      <c r="K7" s="82" t="s">
        <v>1847</v>
      </c>
      <c r="L7" s="5" t="s">
        <v>40</v>
      </c>
      <c r="M7" s="5"/>
      <c r="N7" s="5"/>
      <c r="O7" s="5"/>
      <c r="P7" s="5"/>
      <c r="Q7" s="5"/>
      <c r="R7" s="5"/>
      <c r="S7" s="5"/>
      <c r="T7" s="5"/>
      <c r="U7" s="5"/>
      <c r="V7" s="5"/>
      <c r="W7" s="5"/>
      <c r="X7" s="5"/>
      <c r="Y7" s="5"/>
      <c r="Z7" s="5"/>
    </row>
    <row r="8" ht="15.75" hidden="1" customHeight="1">
      <c r="A8" s="75">
        <v>45524.0</v>
      </c>
      <c r="B8" s="76">
        <v>52.0</v>
      </c>
      <c r="C8" s="76">
        <v>54.23</v>
      </c>
      <c r="D8" s="5" t="s">
        <v>25</v>
      </c>
      <c r="E8" s="5" t="s">
        <v>26</v>
      </c>
      <c r="F8" s="5" t="s">
        <v>26</v>
      </c>
      <c r="G8" s="5" t="s">
        <v>26</v>
      </c>
      <c r="H8" s="5" t="s">
        <v>25</v>
      </c>
      <c r="I8" s="5" t="s">
        <v>27</v>
      </c>
      <c r="J8" s="5" t="s">
        <v>25</v>
      </c>
      <c r="K8" s="82" t="s">
        <v>1848</v>
      </c>
      <c r="L8" s="5" t="s">
        <v>40</v>
      </c>
      <c r="M8" s="5"/>
      <c r="N8" s="5"/>
      <c r="O8" s="5"/>
      <c r="P8" s="5"/>
      <c r="Q8" s="5"/>
      <c r="R8" s="5"/>
      <c r="S8" s="5"/>
      <c r="T8" s="5"/>
      <c r="U8" s="5"/>
      <c r="V8" s="5"/>
      <c r="W8" s="5"/>
      <c r="X8" s="5"/>
      <c r="Y8" s="5"/>
      <c r="Z8" s="5"/>
    </row>
    <row r="9" ht="15.75" hidden="1" customHeight="1">
      <c r="A9" s="75">
        <v>45525.0</v>
      </c>
      <c r="B9" s="76">
        <v>56.0</v>
      </c>
      <c r="C9" s="76">
        <v>58.78</v>
      </c>
      <c r="D9" s="5"/>
      <c r="E9" s="5"/>
      <c r="F9" s="5" t="s">
        <v>26</v>
      </c>
      <c r="G9" s="5" t="s">
        <v>26</v>
      </c>
      <c r="H9" s="5" t="s">
        <v>25</v>
      </c>
      <c r="I9" s="5" t="s">
        <v>27</v>
      </c>
      <c r="J9" s="5" t="s">
        <v>25</v>
      </c>
      <c r="K9" s="82" t="s">
        <v>1849</v>
      </c>
      <c r="L9" s="5" t="s">
        <v>40</v>
      </c>
      <c r="M9" s="69" t="s">
        <v>1850</v>
      </c>
      <c r="N9" s="5"/>
      <c r="O9" s="5"/>
      <c r="P9" s="5"/>
      <c r="Q9" s="5"/>
      <c r="R9" s="5"/>
      <c r="S9" s="5"/>
      <c r="T9" s="5"/>
      <c r="U9" s="5"/>
      <c r="V9" s="5"/>
      <c r="W9" s="5"/>
      <c r="X9" s="5"/>
      <c r="Y9" s="5"/>
      <c r="Z9" s="5"/>
    </row>
    <row r="10" ht="15.75" hidden="1" customHeight="1">
      <c r="A10" s="75">
        <v>45526.0</v>
      </c>
      <c r="B10" s="76">
        <f>15*4</f>
        <v>60</v>
      </c>
      <c r="C10" s="76">
        <v>58.78</v>
      </c>
      <c r="D10" s="5"/>
      <c r="E10" s="5"/>
      <c r="F10" s="5"/>
      <c r="G10" s="5"/>
      <c r="H10" s="5"/>
      <c r="I10" s="5"/>
      <c r="J10" s="5"/>
      <c r="K10" s="82" t="s">
        <v>1851</v>
      </c>
      <c r="L10" s="5"/>
      <c r="M10" s="69" t="s">
        <v>1852</v>
      </c>
      <c r="N10" s="5"/>
      <c r="O10" s="5"/>
      <c r="P10" s="5"/>
      <c r="Q10" s="5"/>
      <c r="R10" s="5"/>
      <c r="S10" s="5"/>
      <c r="T10" s="5"/>
      <c r="U10" s="5"/>
      <c r="V10" s="5"/>
      <c r="W10" s="5"/>
      <c r="X10" s="5"/>
      <c r="Y10" s="5"/>
      <c r="Z10" s="5"/>
    </row>
    <row r="11" ht="15.75" hidden="1" customHeight="1">
      <c r="A11" s="75">
        <v>45527.0</v>
      </c>
      <c r="B11" s="76">
        <v>64.0</v>
      </c>
      <c r="C11" s="76">
        <v>63.24</v>
      </c>
      <c r="D11" s="5" t="s">
        <v>26</v>
      </c>
      <c r="E11" s="5" t="s">
        <v>26</v>
      </c>
      <c r="F11" s="5" t="s">
        <v>26</v>
      </c>
      <c r="G11" s="5" t="s">
        <v>26</v>
      </c>
      <c r="H11" s="5" t="s">
        <v>25</v>
      </c>
      <c r="I11" s="5" t="s">
        <v>27</v>
      </c>
      <c r="J11" s="5" t="s">
        <v>25</v>
      </c>
      <c r="K11" s="82" t="s">
        <v>1853</v>
      </c>
      <c r="L11" s="5" t="s">
        <v>40</v>
      </c>
      <c r="M11" s="69" t="s">
        <v>1854</v>
      </c>
      <c r="N11" s="5"/>
      <c r="O11" s="5"/>
      <c r="P11" s="5"/>
      <c r="Q11" s="5"/>
      <c r="R11" s="5"/>
      <c r="S11" s="5"/>
      <c r="T11" s="5"/>
      <c r="U11" s="5"/>
      <c r="V11" s="5"/>
      <c r="W11" s="5"/>
      <c r="X11" s="5"/>
      <c r="Y11" s="5"/>
      <c r="Z11" s="5"/>
    </row>
    <row r="12" ht="15.75" hidden="1" customHeight="1">
      <c r="A12" s="75">
        <v>45530.0</v>
      </c>
      <c r="B12" s="76">
        <v>68.0</v>
      </c>
      <c r="C12" s="76">
        <v>67.38</v>
      </c>
      <c r="D12" s="5" t="s">
        <v>26</v>
      </c>
      <c r="E12" s="5" t="s">
        <v>26</v>
      </c>
      <c r="F12" s="5" t="s">
        <v>26</v>
      </c>
      <c r="G12" s="5" t="s">
        <v>26</v>
      </c>
      <c r="H12" s="5" t="s">
        <v>25</v>
      </c>
      <c r="I12" s="5" t="s">
        <v>27</v>
      </c>
      <c r="J12" s="5" t="s">
        <v>25</v>
      </c>
      <c r="K12" s="82" t="s">
        <v>1855</v>
      </c>
      <c r="L12" s="5" t="s">
        <v>40</v>
      </c>
      <c r="M12" s="82" t="s">
        <v>1856</v>
      </c>
      <c r="N12" s="5"/>
      <c r="O12" s="5"/>
      <c r="P12" s="5"/>
      <c r="Q12" s="5"/>
      <c r="R12" s="5"/>
      <c r="S12" s="5"/>
      <c r="T12" s="5"/>
      <c r="U12" s="5"/>
      <c r="V12" s="5"/>
      <c r="W12" s="5"/>
      <c r="X12" s="5"/>
      <c r="Y12" s="5"/>
      <c r="Z12" s="5"/>
    </row>
    <row r="13" ht="15.75" hidden="1" customHeight="1">
      <c r="A13" s="75">
        <v>45531.0</v>
      </c>
      <c r="B13" s="76">
        <v>72.0</v>
      </c>
      <c r="C13" s="76">
        <v>68.69</v>
      </c>
      <c r="D13" s="5" t="s">
        <v>26</v>
      </c>
      <c r="E13" s="5" t="s">
        <v>26</v>
      </c>
      <c r="F13" s="5" t="s">
        <v>26</v>
      </c>
      <c r="G13" s="5" t="s">
        <v>26</v>
      </c>
      <c r="H13" s="5" t="s">
        <v>25</v>
      </c>
      <c r="I13" s="5" t="s">
        <v>27</v>
      </c>
      <c r="J13" s="5" t="s">
        <v>25</v>
      </c>
      <c r="K13" s="82" t="s">
        <v>1857</v>
      </c>
      <c r="L13" s="5" t="s">
        <v>126</v>
      </c>
      <c r="M13" s="82" t="s">
        <v>1858</v>
      </c>
      <c r="N13" s="5"/>
      <c r="O13" s="5"/>
      <c r="P13" s="5"/>
      <c r="Q13" s="5"/>
      <c r="R13" s="5"/>
      <c r="S13" s="5"/>
      <c r="T13" s="5"/>
      <c r="U13" s="5"/>
      <c r="V13" s="5"/>
      <c r="W13" s="5"/>
      <c r="X13" s="5"/>
      <c r="Y13" s="5"/>
      <c r="Z13" s="5"/>
    </row>
    <row r="14" ht="15.75" hidden="1" customHeight="1">
      <c r="A14" s="75">
        <v>45532.0</v>
      </c>
      <c r="B14" s="76">
        <v>76.0</v>
      </c>
      <c r="C14" s="76">
        <v>69.5</v>
      </c>
      <c r="D14" s="5" t="s">
        <v>26</v>
      </c>
      <c r="E14" s="5" t="s">
        <v>26</v>
      </c>
      <c r="F14" s="5" t="s">
        <v>26</v>
      </c>
      <c r="G14" s="5" t="s">
        <v>26</v>
      </c>
      <c r="H14" s="5" t="s">
        <v>25</v>
      </c>
      <c r="I14" s="5" t="s">
        <v>27</v>
      </c>
      <c r="J14" s="5" t="s">
        <v>25</v>
      </c>
      <c r="K14" s="82" t="s">
        <v>1859</v>
      </c>
      <c r="L14" s="5" t="s">
        <v>126</v>
      </c>
      <c r="M14" s="69" t="s">
        <v>1860</v>
      </c>
      <c r="N14" s="5"/>
      <c r="O14" s="5"/>
      <c r="P14" s="5"/>
      <c r="Q14" s="5"/>
      <c r="R14" s="5"/>
      <c r="S14" s="5"/>
      <c r="T14" s="5"/>
      <c r="U14" s="5"/>
      <c r="V14" s="5"/>
      <c r="W14" s="5"/>
      <c r="X14" s="5"/>
      <c r="Y14" s="5"/>
      <c r="Z14" s="5"/>
    </row>
    <row r="15" ht="15.75" hidden="1" customHeight="1">
      <c r="A15" s="75">
        <v>45533.0</v>
      </c>
      <c r="B15" s="76">
        <v>80.0</v>
      </c>
      <c r="C15" s="76">
        <v>71.9</v>
      </c>
      <c r="D15" s="5" t="s">
        <v>26</v>
      </c>
      <c r="E15" s="5" t="s">
        <v>26</v>
      </c>
      <c r="F15" s="5" t="s">
        <v>26</v>
      </c>
      <c r="G15" s="5" t="s">
        <v>26</v>
      </c>
      <c r="H15" s="5" t="s">
        <v>25</v>
      </c>
      <c r="I15" s="5" t="s">
        <v>27</v>
      </c>
      <c r="J15" s="5" t="s">
        <v>25</v>
      </c>
      <c r="K15" s="82" t="s">
        <v>1861</v>
      </c>
      <c r="L15" s="5" t="s">
        <v>126</v>
      </c>
      <c r="M15" s="82" t="s">
        <v>1862</v>
      </c>
      <c r="N15" s="5"/>
      <c r="O15" s="5"/>
      <c r="P15" s="5"/>
      <c r="Q15" s="5"/>
      <c r="R15" s="5"/>
      <c r="S15" s="5"/>
      <c r="T15" s="5"/>
      <c r="U15" s="5"/>
      <c r="V15" s="5"/>
      <c r="W15" s="5"/>
      <c r="X15" s="5"/>
      <c r="Y15" s="5"/>
      <c r="Z15" s="5"/>
    </row>
    <row r="16" ht="15.75" hidden="1" customHeight="1">
      <c r="A16" s="75">
        <v>45534.0</v>
      </c>
      <c r="B16" s="76">
        <v>80.0</v>
      </c>
      <c r="C16" s="76">
        <v>72.06</v>
      </c>
      <c r="D16" s="5" t="s">
        <v>26</v>
      </c>
      <c r="E16" s="5" t="s">
        <v>26</v>
      </c>
      <c r="F16" s="5" t="s">
        <v>26</v>
      </c>
      <c r="G16" s="5" t="s">
        <v>26</v>
      </c>
      <c r="H16" s="5" t="s">
        <v>25</v>
      </c>
      <c r="I16" s="5" t="s">
        <v>27</v>
      </c>
      <c r="J16" s="5" t="s">
        <v>25</v>
      </c>
      <c r="K16" s="82" t="s">
        <v>1863</v>
      </c>
      <c r="L16" s="5" t="s">
        <v>126</v>
      </c>
      <c r="M16" s="82" t="s">
        <v>1864</v>
      </c>
      <c r="N16" s="5"/>
      <c r="O16" s="5"/>
      <c r="P16" s="5"/>
      <c r="Q16" s="5"/>
      <c r="R16" s="5"/>
      <c r="S16" s="5"/>
      <c r="T16" s="5"/>
      <c r="U16" s="5"/>
      <c r="V16" s="5"/>
      <c r="W16" s="5"/>
      <c r="X16" s="5"/>
      <c r="Y16" s="5"/>
      <c r="Z16" s="5"/>
    </row>
    <row r="17" ht="15.75" hidden="1" customHeight="1">
      <c r="A17" s="75">
        <v>45537.0</v>
      </c>
      <c r="B17" s="76">
        <v>4.0</v>
      </c>
      <c r="C17" s="76">
        <v>3.32</v>
      </c>
      <c r="D17" s="5" t="s">
        <v>26</v>
      </c>
      <c r="E17" s="5" t="s">
        <v>26</v>
      </c>
      <c r="F17" s="5" t="s">
        <v>26</v>
      </c>
      <c r="G17" s="5" t="s">
        <v>26</v>
      </c>
      <c r="H17" s="5" t="s">
        <v>25</v>
      </c>
      <c r="I17" s="5" t="s">
        <v>27</v>
      </c>
      <c r="J17" s="5" t="s">
        <v>25</v>
      </c>
      <c r="K17" s="82" t="s">
        <v>1865</v>
      </c>
      <c r="L17" s="5" t="s">
        <v>40</v>
      </c>
      <c r="M17" s="82" t="s">
        <v>1866</v>
      </c>
      <c r="N17" s="5"/>
      <c r="O17" s="5"/>
      <c r="P17" s="5"/>
      <c r="Q17" s="5"/>
      <c r="R17" s="5"/>
      <c r="S17" s="5"/>
      <c r="T17" s="5"/>
      <c r="U17" s="5"/>
      <c r="V17" s="5"/>
      <c r="W17" s="5"/>
      <c r="X17" s="5"/>
      <c r="Y17" s="5"/>
      <c r="Z17" s="5"/>
    </row>
    <row r="18" ht="15.75" hidden="1" customHeight="1">
      <c r="A18" s="75">
        <v>45538.0</v>
      </c>
      <c r="B18" s="76">
        <v>8.0</v>
      </c>
      <c r="C18" s="76">
        <v>6.29</v>
      </c>
      <c r="D18" s="5" t="s">
        <v>26</v>
      </c>
      <c r="E18" s="5" t="s">
        <v>26</v>
      </c>
      <c r="F18" s="5" t="s">
        <v>26</v>
      </c>
      <c r="G18" s="5" t="s">
        <v>26</v>
      </c>
      <c r="H18" s="5" t="s">
        <v>25</v>
      </c>
      <c r="I18" s="5" t="s">
        <v>27</v>
      </c>
      <c r="J18" s="5" t="s">
        <v>25</v>
      </c>
      <c r="K18" s="82" t="s">
        <v>1867</v>
      </c>
      <c r="L18" s="5" t="s">
        <v>40</v>
      </c>
      <c r="M18" s="82" t="s">
        <v>1868</v>
      </c>
      <c r="N18" s="5"/>
      <c r="O18" s="5"/>
      <c r="P18" s="5"/>
      <c r="Q18" s="5"/>
      <c r="R18" s="5"/>
      <c r="S18" s="5"/>
      <c r="T18" s="5"/>
      <c r="U18" s="5"/>
      <c r="V18" s="5"/>
      <c r="W18" s="5"/>
      <c r="X18" s="5"/>
      <c r="Y18" s="5"/>
      <c r="Z18" s="5"/>
    </row>
    <row r="19" ht="15.75" hidden="1" customHeight="1">
      <c r="A19" s="75">
        <v>45539.0</v>
      </c>
      <c r="B19" s="76">
        <v>12.0</v>
      </c>
      <c r="C19" s="76">
        <v>10.44</v>
      </c>
      <c r="D19" s="5" t="s">
        <v>26</v>
      </c>
      <c r="E19" s="5" t="s">
        <v>26</v>
      </c>
      <c r="F19" s="5" t="s">
        <v>26</v>
      </c>
      <c r="G19" s="5" t="s">
        <v>26</v>
      </c>
      <c r="H19" s="5" t="s">
        <v>25</v>
      </c>
      <c r="I19" s="5" t="s">
        <v>27</v>
      </c>
      <c r="J19" s="5" t="s">
        <v>25</v>
      </c>
      <c r="K19" s="82" t="s">
        <v>1869</v>
      </c>
      <c r="L19" s="5" t="s">
        <v>40</v>
      </c>
      <c r="M19" s="82" t="s">
        <v>1870</v>
      </c>
      <c r="N19" s="5"/>
      <c r="O19" s="5"/>
      <c r="P19" s="5"/>
      <c r="Q19" s="5"/>
      <c r="R19" s="5"/>
      <c r="S19" s="5"/>
      <c r="T19" s="5"/>
      <c r="U19" s="5"/>
      <c r="V19" s="5"/>
      <c r="W19" s="5"/>
      <c r="X19" s="5"/>
      <c r="Y19" s="5"/>
      <c r="Z19" s="5"/>
    </row>
    <row r="20" ht="15.75" hidden="1" customHeight="1">
      <c r="A20" s="75">
        <v>45540.0</v>
      </c>
      <c r="B20" s="76">
        <v>16.0</v>
      </c>
      <c r="C20" s="76">
        <v>13.42</v>
      </c>
      <c r="D20" s="5" t="s">
        <v>26</v>
      </c>
      <c r="E20" s="5" t="s">
        <v>26</v>
      </c>
      <c r="F20" s="5" t="s">
        <v>26</v>
      </c>
      <c r="G20" s="5" t="s">
        <v>26</v>
      </c>
      <c r="H20" s="5" t="s">
        <v>25</v>
      </c>
      <c r="I20" s="5" t="s">
        <v>27</v>
      </c>
      <c r="J20" s="5" t="s">
        <v>25</v>
      </c>
      <c r="K20" s="82" t="s">
        <v>1871</v>
      </c>
      <c r="L20" s="5" t="s">
        <v>40</v>
      </c>
      <c r="M20" s="82" t="s">
        <v>1872</v>
      </c>
      <c r="N20" s="5"/>
      <c r="O20" s="5"/>
      <c r="P20" s="5"/>
      <c r="Q20" s="5"/>
      <c r="R20" s="5"/>
      <c r="S20" s="5"/>
      <c r="T20" s="5"/>
      <c r="U20" s="5"/>
      <c r="V20" s="5"/>
      <c r="W20" s="5"/>
      <c r="X20" s="5"/>
      <c r="Y20" s="5"/>
      <c r="Z20" s="5"/>
    </row>
    <row r="21" ht="15.75" hidden="1" customHeight="1">
      <c r="A21" s="75">
        <v>45541.0</v>
      </c>
      <c r="B21" s="76">
        <v>20.0</v>
      </c>
      <c r="C21" s="76">
        <v>17.91</v>
      </c>
      <c r="D21" s="5" t="s">
        <v>26</v>
      </c>
      <c r="E21" s="5" t="s">
        <v>26</v>
      </c>
      <c r="F21" s="5" t="s">
        <v>26</v>
      </c>
      <c r="G21" s="5" t="s">
        <v>26</v>
      </c>
      <c r="H21" s="5" t="s">
        <v>25</v>
      </c>
      <c r="I21" s="5" t="s">
        <v>27</v>
      </c>
      <c r="J21" s="5" t="s">
        <v>25</v>
      </c>
      <c r="K21" s="82" t="s">
        <v>1873</v>
      </c>
      <c r="L21" s="5" t="s">
        <v>40</v>
      </c>
      <c r="M21" s="82" t="s">
        <v>1874</v>
      </c>
      <c r="N21" s="5"/>
      <c r="O21" s="5"/>
      <c r="P21" s="5"/>
      <c r="Q21" s="5"/>
      <c r="R21" s="5"/>
      <c r="S21" s="5"/>
      <c r="T21" s="5"/>
      <c r="U21" s="5"/>
      <c r="V21" s="5"/>
      <c r="W21" s="5"/>
      <c r="X21" s="5"/>
      <c r="Y21" s="5"/>
      <c r="Z21" s="5"/>
    </row>
    <row r="22" ht="15.75" hidden="1" customHeight="1">
      <c r="A22" s="75">
        <v>45544.0</v>
      </c>
      <c r="B22" s="76">
        <v>24.0</v>
      </c>
      <c r="C22" s="5"/>
      <c r="D22" s="5"/>
      <c r="E22" s="5"/>
      <c r="F22" s="5" t="s">
        <v>26</v>
      </c>
      <c r="G22" s="5" t="s">
        <v>26</v>
      </c>
      <c r="H22" s="5" t="s">
        <v>25</v>
      </c>
      <c r="I22" s="5" t="s">
        <v>27</v>
      </c>
      <c r="J22" s="5" t="s">
        <v>25</v>
      </c>
      <c r="K22" s="82" t="s">
        <v>1875</v>
      </c>
      <c r="L22" s="5" t="s">
        <v>40</v>
      </c>
      <c r="M22" s="5"/>
      <c r="N22" s="5"/>
      <c r="O22" s="5"/>
      <c r="P22" s="5"/>
      <c r="Q22" s="5"/>
      <c r="R22" s="5"/>
      <c r="S22" s="5"/>
      <c r="T22" s="5"/>
      <c r="U22" s="5"/>
      <c r="V22" s="5"/>
      <c r="W22" s="5"/>
      <c r="X22" s="5"/>
      <c r="Y22" s="5"/>
      <c r="Z22" s="5"/>
    </row>
    <row r="23" ht="15.75" hidden="1" customHeight="1">
      <c r="A23" s="75">
        <v>45545.0</v>
      </c>
      <c r="B23" s="76">
        <v>28.0</v>
      </c>
      <c r="C23" s="76">
        <v>19.72</v>
      </c>
      <c r="D23" s="5" t="s">
        <v>25</v>
      </c>
      <c r="E23" s="5" t="s">
        <v>25</v>
      </c>
      <c r="F23" s="5" t="s">
        <v>25</v>
      </c>
      <c r="G23" s="5" t="s">
        <v>25</v>
      </c>
      <c r="H23" s="5" t="s">
        <v>25</v>
      </c>
      <c r="I23" s="5"/>
      <c r="J23" s="5" t="s">
        <v>25</v>
      </c>
      <c r="K23" s="82" t="s">
        <v>1876</v>
      </c>
      <c r="L23" s="5" t="s">
        <v>40</v>
      </c>
      <c r="M23" s="69" t="s">
        <v>1877</v>
      </c>
      <c r="N23" s="5"/>
      <c r="O23" s="5"/>
      <c r="P23" s="5"/>
      <c r="Q23" s="5"/>
      <c r="R23" s="5"/>
      <c r="S23" s="5"/>
      <c r="T23" s="5"/>
      <c r="U23" s="5"/>
      <c r="V23" s="5"/>
      <c r="W23" s="5"/>
      <c r="X23" s="5"/>
      <c r="Y23" s="5"/>
      <c r="Z23" s="5"/>
    </row>
    <row r="24" ht="15.75" hidden="1" customHeight="1">
      <c r="A24" s="75">
        <v>45546.0</v>
      </c>
      <c r="B24" s="76">
        <v>32.0</v>
      </c>
      <c r="C24" s="76">
        <v>24.63</v>
      </c>
      <c r="D24" s="5" t="s">
        <v>26</v>
      </c>
      <c r="E24" s="5" t="s">
        <v>26</v>
      </c>
      <c r="F24" s="5" t="s">
        <v>26</v>
      </c>
      <c r="G24" s="5" t="s">
        <v>26</v>
      </c>
      <c r="H24" s="5" t="s">
        <v>25</v>
      </c>
      <c r="I24" s="5" t="s">
        <v>27</v>
      </c>
      <c r="J24" s="5" t="s">
        <v>25</v>
      </c>
      <c r="K24" s="82" t="s">
        <v>1878</v>
      </c>
      <c r="L24" s="5" t="s">
        <v>40</v>
      </c>
      <c r="M24" s="82" t="s">
        <v>1879</v>
      </c>
      <c r="N24" s="5"/>
      <c r="O24" s="5"/>
      <c r="P24" s="5"/>
      <c r="Q24" s="5"/>
      <c r="R24" s="5"/>
      <c r="S24" s="5"/>
      <c r="T24" s="5"/>
      <c r="U24" s="5"/>
      <c r="V24" s="5"/>
      <c r="W24" s="5"/>
      <c r="X24" s="5"/>
      <c r="Y24" s="5"/>
      <c r="Z24" s="5"/>
    </row>
    <row r="25" ht="15.75" hidden="1" customHeight="1">
      <c r="A25" s="75">
        <v>45547.0</v>
      </c>
      <c r="B25" s="76">
        <v>36.0</v>
      </c>
      <c r="C25" s="76">
        <v>26.17</v>
      </c>
      <c r="D25" s="5" t="s">
        <v>25</v>
      </c>
      <c r="E25" s="5" t="s">
        <v>25</v>
      </c>
      <c r="F25" s="5" t="s">
        <v>26</v>
      </c>
      <c r="G25" s="5" t="s">
        <v>26</v>
      </c>
      <c r="H25" s="5" t="s">
        <v>25</v>
      </c>
      <c r="I25" s="5" t="s">
        <v>27</v>
      </c>
      <c r="J25" s="5" t="s">
        <v>25</v>
      </c>
      <c r="K25" s="82" t="s">
        <v>1880</v>
      </c>
      <c r="L25" s="5" t="s">
        <v>40</v>
      </c>
      <c r="M25" s="69" t="s">
        <v>1881</v>
      </c>
      <c r="N25" s="5"/>
      <c r="O25" s="5"/>
      <c r="P25" s="5"/>
      <c r="Q25" s="5"/>
      <c r="R25" s="5"/>
      <c r="S25" s="5"/>
      <c r="T25" s="5"/>
      <c r="U25" s="5"/>
      <c r="V25" s="5"/>
      <c r="W25" s="5"/>
      <c r="X25" s="5"/>
      <c r="Y25" s="5"/>
      <c r="Z25" s="5"/>
    </row>
    <row r="26" ht="15.75" hidden="1" customHeight="1">
      <c r="A26" s="75">
        <v>45548.0</v>
      </c>
      <c r="B26" s="76">
        <v>36.0</v>
      </c>
      <c r="C26" s="76">
        <v>27.0</v>
      </c>
      <c r="D26" s="5" t="s">
        <v>25</v>
      </c>
      <c r="E26" s="5" t="s">
        <v>25</v>
      </c>
      <c r="F26" s="5" t="s">
        <v>26</v>
      </c>
      <c r="G26" s="5" t="s">
        <v>26</v>
      </c>
      <c r="H26" s="5" t="s">
        <v>25</v>
      </c>
      <c r="I26" s="5" t="s">
        <v>27</v>
      </c>
      <c r="J26" s="5" t="s">
        <v>25</v>
      </c>
      <c r="K26" s="82" t="s">
        <v>1880</v>
      </c>
      <c r="L26" s="5" t="s">
        <v>40</v>
      </c>
      <c r="M26" s="69" t="s">
        <v>1882</v>
      </c>
      <c r="N26" s="5"/>
      <c r="O26" s="5"/>
      <c r="P26" s="5"/>
      <c r="Q26" s="5"/>
      <c r="R26" s="5"/>
      <c r="S26" s="5"/>
      <c r="T26" s="5"/>
      <c r="U26" s="5"/>
      <c r="V26" s="5"/>
      <c r="W26" s="5"/>
      <c r="X26" s="5"/>
      <c r="Y26" s="5"/>
      <c r="Z26" s="5"/>
    </row>
    <row r="27" ht="15.75" hidden="1" customHeight="1">
      <c r="A27" s="75">
        <v>45551.0</v>
      </c>
      <c r="B27" s="76">
        <v>44.0</v>
      </c>
      <c r="C27" s="76">
        <v>35.77</v>
      </c>
      <c r="D27" s="5" t="s">
        <v>25</v>
      </c>
      <c r="E27" s="5" t="s">
        <v>25</v>
      </c>
      <c r="F27" s="5" t="s">
        <v>26</v>
      </c>
      <c r="G27" s="5" t="s">
        <v>26</v>
      </c>
      <c r="H27" s="5" t="s">
        <v>25</v>
      </c>
      <c r="I27" s="5" t="s">
        <v>27</v>
      </c>
      <c r="J27" s="5" t="s">
        <v>25</v>
      </c>
      <c r="K27" s="82" t="s">
        <v>1880</v>
      </c>
      <c r="L27" s="5" t="s">
        <v>40</v>
      </c>
      <c r="M27" s="69" t="s">
        <v>1883</v>
      </c>
      <c r="N27" s="5"/>
      <c r="O27" s="5"/>
      <c r="P27" s="5"/>
      <c r="Q27" s="5"/>
      <c r="R27" s="5"/>
      <c r="S27" s="5"/>
      <c r="T27" s="5"/>
      <c r="U27" s="5"/>
      <c r="V27" s="5"/>
      <c r="W27" s="5"/>
      <c r="X27" s="5"/>
      <c r="Y27" s="5"/>
      <c r="Z27" s="5"/>
    </row>
    <row r="28" ht="15.75" hidden="1" customHeight="1">
      <c r="A28" s="75">
        <v>45552.0</v>
      </c>
      <c r="B28" s="76">
        <v>48.0</v>
      </c>
      <c r="C28" s="76">
        <v>40.91</v>
      </c>
      <c r="D28" s="5" t="s">
        <v>25</v>
      </c>
      <c r="E28" s="5" t="s">
        <v>26</v>
      </c>
      <c r="F28" s="5" t="s">
        <v>26</v>
      </c>
      <c r="G28" s="5" t="s">
        <v>26</v>
      </c>
      <c r="H28" s="5" t="s">
        <v>25</v>
      </c>
      <c r="I28" s="5" t="s">
        <v>27</v>
      </c>
      <c r="J28" s="5" t="s">
        <v>25</v>
      </c>
      <c r="K28" s="82" t="s">
        <v>1884</v>
      </c>
      <c r="L28" s="5" t="s">
        <v>40</v>
      </c>
      <c r="M28" s="69" t="s">
        <v>1885</v>
      </c>
      <c r="N28" s="5"/>
      <c r="O28" s="5"/>
      <c r="P28" s="5"/>
      <c r="Q28" s="5"/>
      <c r="R28" s="5"/>
      <c r="S28" s="5"/>
      <c r="T28" s="5"/>
      <c r="U28" s="5"/>
      <c r="V28" s="5"/>
      <c r="W28" s="5"/>
      <c r="X28" s="5"/>
      <c r="Y28" s="5"/>
      <c r="Z28" s="5"/>
    </row>
    <row r="29" ht="15.75" hidden="1" customHeight="1">
      <c r="A29" s="75">
        <v>45553.0</v>
      </c>
      <c r="B29" s="76">
        <f>B28+4</f>
        <v>52</v>
      </c>
      <c r="C29" s="76">
        <v>45.38</v>
      </c>
      <c r="D29" s="5" t="s">
        <v>25</v>
      </c>
      <c r="E29" s="5" t="s">
        <v>26</v>
      </c>
      <c r="F29" s="5" t="s">
        <v>26</v>
      </c>
      <c r="G29" s="5" t="s">
        <v>26</v>
      </c>
      <c r="H29" s="5" t="s">
        <v>25</v>
      </c>
      <c r="I29" s="5" t="s">
        <v>27</v>
      </c>
      <c r="J29" s="5" t="s">
        <v>25</v>
      </c>
      <c r="K29" s="82" t="s">
        <v>1886</v>
      </c>
      <c r="L29" s="5" t="s">
        <v>40</v>
      </c>
      <c r="M29" s="69" t="s">
        <v>1887</v>
      </c>
      <c r="N29" s="5"/>
      <c r="O29" s="5"/>
      <c r="P29" s="5"/>
      <c r="Q29" s="5"/>
      <c r="R29" s="5"/>
      <c r="S29" s="5"/>
      <c r="T29" s="5"/>
      <c r="U29" s="5"/>
      <c r="V29" s="5"/>
      <c r="W29" s="5"/>
      <c r="X29" s="5"/>
      <c r="Y29" s="5"/>
      <c r="Z29" s="5"/>
    </row>
    <row r="30" ht="15.75" hidden="1" customHeight="1">
      <c r="A30" s="75">
        <v>45554.0</v>
      </c>
      <c r="B30" s="76">
        <v>56.0</v>
      </c>
      <c r="C30" s="76">
        <v>50.44</v>
      </c>
      <c r="D30" s="5" t="s">
        <v>26</v>
      </c>
      <c r="E30" s="5" t="s">
        <v>26</v>
      </c>
      <c r="F30" s="5" t="s">
        <v>26</v>
      </c>
      <c r="G30" s="5" t="s">
        <v>26</v>
      </c>
      <c r="H30" s="5" t="s">
        <v>25</v>
      </c>
      <c r="I30" s="5" t="s">
        <v>27</v>
      </c>
      <c r="J30" s="5" t="s">
        <v>25</v>
      </c>
      <c r="K30" s="82" t="s">
        <v>1888</v>
      </c>
      <c r="L30" s="5" t="s">
        <v>40</v>
      </c>
      <c r="M30" s="69" t="s">
        <v>1889</v>
      </c>
      <c r="N30" s="5"/>
      <c r="O30" s="5"/>
      <c r="P30" s="5"/>
      <c r="Q30" s="5"/>
      <c r="R30" s="5"/>
      <c r="S30" s="5"/>
      <c r="T30" s="5"/>
      <c r="U30" s="5"/>
      <c r="V30" s="5"/>
      <c r="W30" s="5"/>
      <c r="X30" s="5"/>
      <c r="Y30" s="5"/>
      <c r="Z30" s="5"/>
    </row>
    <row r="31" ht="15.75" hidden="1" customHeight="1">
      <c r="A31" s="75">
        <v>45555.0</v>
      </c>
      <c r="B31" s="76">
        <v>60.0</v>
      </c>
      <c r="C31" s="76">
        <v>54.84</v>
      </c>
      <c r="D31" s="5" t="s">
        <v>26</v>
      </c>
      <c r="E31" s="5" t="s">
        <v>26</v>
      </c>
      <c r="F31" s="5" t="s">
        <v>26</v>
      </c>
      <c r="G31" s="5" t="s">
        <v>26</v>
      </c>
      <c r="H31" s="5" t="s">
        <v>25</v>
      </c>
      <c r="I31" s="5" t="s">
        <v>27</v>
      </c>
      <c r="J31" s="5" t="s">
        <v>25</v>
      </c>
      <c r="K31" s="82" t="s">
        <v>1890</v>
      </c>
      <c r="L31" s="5" t="s">
        <v>40</v>
      </c>
      <c r="M31" s="69" t="s">
        <v>1891</v>
      </c>
      <c r="N31" s="5"/>
      <c r="O31" s="5"/>
      <c r="P31" s="5"/>
      <c r="Q31" s="5"/>
      <c r="R31" s="5"/>
      <c r="S31" s="5"/>
      <c r="T31" s="5"/>
      <c r="U31" s="5"/>
      <c r="V31" s="5"/>
      <c r="W31" s="5"/>
      <c r="X31" s="5"/>
      <c r="Y31" s="5"/>
      <c r="Z31" s="5"/>
    </row>
    <row r="32" ht="15.75" hidden="1" customHeight="1">
      <c r="A32" s="75">
        <v>45558.0</v>
      </c>
      <c r="B32" s="76">
        <v>64.0</v>
      </c>
      <c r="C32" s="76">
        <v>58.06</v>
      </c>
      <c r="D32" s="5" t="s">
        <v>26</v>
      </c>
      <c r="E32" s="5" t="s">
        <v>26</v>
      </c>
      <c r="F32" s="5" t="s">
        <v>26</v>
      </c>
      <c r="G32" s="5" t="s">
        <v>26</v>
      </c>
      <c r="H32" s="5" t="s">
        <v>25</v>
      </c>
      <c r="I32" s="5" t="s">
        <v>27</v>
      </c>
      <c r="J32" s="5" t="s">
        <v>25</v>
      </c>
      <c r="K32" s="82" t="s">
        <v>1892</v>
      </c>
      <c r="L32" s="5" t="s">
        <v>40</v>
      </c>
      <c r="M32" s="69" t="s">
        <v>1893</v>
      </c>
      <c r="N32" s="5"/>
      <c r="O32" s="5"/>
      <c r="P32" s="5"/>
      <c r="Q32" s="5"/>
      <c r="R32" s="5"/>
      <c r="S32" s="5"/>
      <c r="T32" s="5"/>
      <c r="U32" s="5"/>
      <c r="V32" s="5"/>
      <c r="W32" s="5"/>
      <c r="X32" s="5"/>
      <c r="Y32" s="5"/>
      <c r="Z32" s="5"/>
    </row>
    <row r="33" ht="15.75" hidden="1" customHeight="1">
      <c r="A33" s="75">
        <v>45559.0</v>
      </c>
      <c r="B33" s="76">
        <v>68.0</v>
      </c>
      <c r="C33" s="76">
        <v>64.19</v>
      </c>
      <c r="D33" s="5" t="s">
        <v>26</v>
      </c>
      <c r="E33" s="5" t="s">
        <v>26</v>
      </c>
      <c r="F33" s="5" t="s">
        <v>26</v>
      </c>
      <c r="G33" s="5" t="s">
        <v>26</v>
      </c>
      <c r="H33" s="5" t="s">
        <v>25</v>
      </c>
      <c r="I33" s="5" t="s">
        <v>27</v>
      </c>
      <c r="J33" s="5" t="s">
        <v>25</v>
      </c>
      <c r="K33" s="82" t="s">
        <v>1894</v>
      </c>
      <c r="L33" s="5" t="s">
        <v>40</v>
      </c>
      <c r="M33" s="5"/>
      <c r="N33" s="5"/>
      <c r="O33" s="5"/>
      <c r="P33" s="5"/>
      <c r="Q33" s="5"/>
      <c r="R33" s="5"/>
      <c r="S33" s="5"/>
      <c r="T33" s="5"/>
      <c r="U33" s="5"/>
      <c r="V33" s="5"/>
      <c r="W33" s="5"/>
      <c r="X33" s="5"/>
      <c r="Y33" s="5"/>
      <c r="Z33" s="5"/>
    </row>
    <row r="34" ht="15.75" hidden="1" customHeight="1">
      <c r="A34" s="75">
        <v>45562.0</v>
      </c>
      <c r="B34" s="76">
        <v>68.0</v>
      </c>
      <c r="C34" s="76">
        <v>64.19</v>
      </c>
      <c r="D34" s="5" t="s">
        <v>26</v>
      </c>
      <c r="E34" s="5" t="s">
        <v>26</v>
      </c>
      <c r="F34" s="5" t="s">
        <v>26</v>
      </c>
      <c r="G34" s="5" t="s">
        <v>26</v>
      </c>
      <c r="H34" s="5" t="s">
        <v>25</v>
      </c>
      <c r="I34" s="5" t="s">
        <v>27</v>
      </c>
      <c r="J34" s="5" t="s">
        <v>25</v>
      </c>
      <c r="K34" s="82" t="s">
        <v>1895</v>
      </c>
      <c r="L34" s="5" t="s">
        <v>40</v>
      </c>
      <c r="M34" s="69" t="s">
        <v>1896</v>
      </c>
      <c r="N34" s="5"/>
      <c r="O34" s="5"/>
      <c r="P34" s="5"/>
      <c r="Q34" s="5"/>
      <c r="R34" s="5"/>
      <c r="S34" s="5"/>
      <c r="T34" s="5"/>
      <c r="U34" s="5"/>
      <c r="V34" s="5"/>
      <c r="W34" s="5"/>
      <c r="X34" s="5"/>
      <c r="Y34" s="5"/>
      <c r="Z34" s="5"/>
    </row>
    <row r="35" ht="15.75" hidden="1" customHeight="1">
      <c r="A35" s="75">
        <v>45565.0</v>
      </c>
      <c r="B35" s="76">
        <v>80.0</v>
      </c>
      <c r="C35" s="76">
        <v>64.43</v>
      </c>
      <c r="D35" s="5" t="s">
        <v>26</v>
      </c>
      <c r="E35" s="5" t="s">
        <v>26</v>
      </c>
      <c r="F35" s="5" t="s">
        <v>26</v>
      </c>
      <c r="G35" s="5" t="s">
        <v>26</v>
      </c>
      <c r="H35" s="5" t="s">
        <v>25</v>
      </c>
      <c r="I35" s="5" t="s">
        <v>27</v>
      </c>
      <c r="J35" s="5" t="s">
        <v>25</v>
      </c>
      <c r="K35" s="82" t="s">
        <v>1895</v>
      </c>
      <c r="L35" s="5" t="s">
        <v>126</v>
      </c>
      <c r="M35" s="69" t="s">
        <v>1897</v>
      </c>
      <c r="N35" s="5"/>
      <c r="O35" s="5"/>
      <c r="P35" s="5"/>
      <c r="Q35" s="5"/>
      <c r="R35" s="5"/>
      <c r="S35" s="5"/>
      <c r="T35" s="5"/>
      <c r="U35" s="5"/>
      <c r="V35" s="5"/>
      <c r="W35" s="5"/>
      <c r="X35" s="5"/>
      <c r="Y35" s="5"/>
      <c r="Z35" s="5"/>
    </row>
    <row r="36" ht="15.75" hidden="1" customHeight="1">
      <c r="A36" s="83">
        <v>45566.0</v>
      </c>
      <c r="B36" s="76">
        <v>4.0</v>
      </c>
      <c r="C36" s="76">
        <v>3.72</v>
      </c>
      <c r="D36" s="5" t="s">
        <v>25</v>
      </c>
      <c r="E36" s="5" t="s">
        <v>26</v>
      </c>
      <c r="F36" s="5" t="s">
        <v>26</v>
      </c>
      <c r="G36" s="5" t="s">
        <v>26</v>
      </c>
      <c r="H36" s="5" t="s">
        <v>25</v>
      </c>
      <c r="I36" s="5" t="s">
        <v>27</v>
      </c>
      <c r="J36" s="5" t="s">
        <v>25</v>
      </c>
      <c r="K36" s="82" t="s">
        <v>1898</v>
      </c>
      <c r="L36" s="5" t="s">
        <v>40</v>
      </c>
      <c r="M36" s="69" t="s">
        <v>1899</v>
      </c>
      <c r="N36" s="5"/>
      <c r="O36" s="5"/>
      <c r="P36" s="5"/>
      <c r="Q36" s="5"/>
      <c r="R36" s="5"/>
      <c r="S36" s="5"/>
      <c r="T36" s="5"/>
      <c r="U36" s="5"/>
      <c r="V36" s="5"/>
      <c r="W36" s="5"/>
      <c r="X36" s="5"/>
      <c r="Y36" s="5"/>
      <c r="Z36" s="5"/>
    </row>
    <row r="37" ht="15.75" hidden="1" customHeight="1">
      <c r="A37" s="75">
        <v>45568.0</v>
      </c>
      <c r="B37" s="76">
        <v>8.0</v>
      </c>
      <c r="C37" s="76">
        <v>9.53</v>
      </c>
      <c r="D37" s="5" t="s">
        <v>25</v>
      </c>
      <c r="E37" s="5" t="s">
        <v>26</v>
      </c>
      <c r="F37" s="5" t="s">
        <v>26</v>
      </c>
      <c r="G37" s="5" t="s">
        <v>26</v>
      </c>
      <c r="H37" s="5" t="s">
        <v>25</v>
      </c>
      <c r="I37" s="5" t="s">
        <v>27</v>
      </c>
      <c r="J37" s="5" t="s">
        <v>25</v>
      </c>
      <c r="K37" s="82" t="s">
        <v>1900</v>
      </c>
      <c r="L37" s="5" t="s">
        <v>40</v>
      </c>
      <c r="M37" s="69" t="s">
        <v>1901</v>
      </c>
      <c r="N37" s="5"/>
      <c r="O37" s="5"/>
      <c r="P37" s="5"/>
      <c r="Q37" s="5"/>
      <c r="R37" s="5"/>
      <c r="S37" s="5"/>
      <c r="T37" s="5"/>
      <c r="U37" s="5"/>
      <c r="V37" s="5"/>
      <c r="W37" s="5"/>
      <c r="X37" s="5"/>
      <c r="Y37" s="5"/>
      <c r="Z37" s="5"/>
    </row>
    <row r="38" ht="15.75" hidden="1" customHeight="1">
      <c r="A38" s="75">
        <v>45569.0</v>
      </c>
      <c r="B38" s="76">
        <v>12.0</v>
      </c>
      <c r="C38" s="76">
        <v>15.36</v>
      </c>
      <c r="D38" s="5" t="s">
        <v>25</v>
      </c>
      <c r="E38" s="5" t="s">
        <v>26</v>
      </c>
      <c r="F38" s="5" t="s">
        <v>26</v>
      </c>
      <c r="G38" s="5" t="s">
        <v>26</v>
      </c>
      <c r="H38" s="5" t="s">
        <v>25</v>
      </c>
      <c r="I38" s="5" t="s">
        <v>27</v>
      </c>
      <c r="J38" s="5" t="s">
        <v>25</v>
      </c>
      <c r="K38" s="82" t="s">
        <v>1902</v>
      </c>
      <c r="L38" s="5" t="s">
        <v>40</v>
      </c>
      <c r="M38" s="69" t="s">
        <v>1903</v>
      </c>
      <c r="N38" s="5"/>
      <c r="O38" s="5"/>
      <c r="P38" s="5"/>
      <c r="Q38" s="5"/>
      <c r="R38" s="5"/>
      <c r="S38" s="5"/>
      <c r="T38" s="5"/>
      <c r="U38" s="5"/>
      <c r="V38" s="5"/>
      <c r="W38" s="5"/>
      <c r="X38" s="5"/>
      <c r="Y38" s="5"/>
      <c r="Z38" s="5"/>
    </row>
    <row r="39" ht="15.75" hidden="1" customHeight="1">
      <c r="A39" s="75">
        <v>45572.0</v>
      </c>
      <c r="B39" s="76">
        <v>16.0</v>
      </c>
      <c r="C39" s="76">
        <v>17.75</v>
      </c>
      <c r="D39" s="5" t="s">
        <v>25</v>
      </c>
      <c r="E39" s="5" t="s">
        <v>26</v>
      </c>
      <c r="F39" s="5" t="s">
        <v>26</v>
      </c>
      <c r="G39" s="5" t="s">
        <v>26</v>
      </c>
      <c r="H39" s="5" t="s">
        <v>25</v>
      </c>
      <c r="I39" s="5" t="s">
        <v>27</v>
      </c>
      <c r="J39" s="5" t="s">
        <v>25</v>
      </c>
      <c r="K39" s="82" t="s">
        <v>1904</v>
      </c>
      <c r="L39" s="5" t="s">
        <v>40</v>
      </c>
      <c r="M39" s="69" t="s">
        <v>129</v>
      </c>
      <c r="N39" s="5"/>
      <c r="O39" s="5"/>
      <c r="P39" s="5"/>
      <c r="Q39" s="5"/>
      <c r="R39" s="5"/>
      <c r="S39" s="5"/>
      <c r="T39" s="5"/>
      <c r="U39" s="5"/>
      <c r="V39" s="5"/>
      <c r="W39" s="5"/>
      <c r="X39" s="5"/>
      <c r="Y39" s="5"/>
      <c r="Z39" s="5"/>
    </row>
    <row r="40" ht="15.75" hidden="1" customHeight="1">
      <c r="A40" s="75">
        <v>45573.0</v>
      </c>
      <c r="B40" s="76">
        <v>20.0</v>
      </c>
      <c r="C40" s="76">
        <v>26.5</v>
      </c>
      <c r="D40" s="5" t="s">
        <v>25</v>
      </c>
      <c r="E40" s="5" t="s">
        <v>26</v>
      </c>
      <c r="F40" s="5" t="s">
        <v>26</v>
      </c>
      <c r="G40" s="5" t="s">
        <v>26</v>
      </c>
      <c r="H40" s="5" t="s">
        <v>25</v>
      </c>
      <c r="I40" s="5" t="s">
        <v>27</v>
      </c>
      <c r="J40" s="5" t="s">
        <v>25</v>
      </c>
      <c r="K40" s="82" t="s">
        <v>1905</v>
      </c>
      <c r="L40" s="5" t="s">
        <v>40</v>
      </c>
      <c r="M40" s="69" t="s">
        <v>1906</v>
      </c>
      <c r="N40" s="5"/>
      <c r="O40" s="5"/>
      <c r="P40" s="5"/>
      <c r="Q40" s="5"/>
      <c r="R40" s="5"/>
      <c r="S40" s="5"/>
      <c r="T40" s="5"/>
      <c r="U40" s="5"/>
      <c r="V40" s="5"/>
      <c r="W40" s="5"/>
      <c r="X40" s="5"/>
      <c r="Y40" s="5"/>
      <c r="Z40" s="5"/>
    </row>
    <row r="41" ht="15.75" hidden="1" customHeight="1">
      <c r="A41" s="75">
        <v>45574.0</v>
      </c>
      <c r="B41" s="76">
        <v>24.0</v>
      </c>
      <c r="C41" s="76">
        <v>31.39</v>
      </c>
      <c r="D41" s="5" t="s">
        <v>25</v>
      </c>
      <c r="E41" s="5" t="s">
        <v>26</v>
      </c>
      <c r="F41" s="5" t="s">
        <v>26</v>
      </c>
      <c r="G41" s="5" t="s">
        <v>26</v>
      </c>
      <c r="H41" s="5" t="s">
        <v>25</v>
      </c>
      <c r="I41" s="5" t="s">
        <v>27</v>
      </c>
      <c r="J41" s="5" t="s">
        <v>25</v>
      </c>
      <c r="K41" s="82" t="s">
        <v>1907</v>
      </c>
      <c r="L41" s="5" t="s">
        <v>40</v>
      </c>
      <c r="M41" s="69" t="s">
        <v>1908</v>
      </c>
      <c r="N41" s="5"/>
      <c r="O41" s="5"/>
      <c r="P41" s="5"/>
      <c r="Q41" s="5"/>
      <c r="R41" s="5"/>
      <c r="S41" s="5"/>
      <c r="T41" s="5"/>
      <c r="U41" s="5"/>
      <c r="V41" s="5"/>
      <c r="W41" s="5"/>
      <c r="X41" s="5"/>
      <c r="Y41" s="5"/>
      <c r="Z41" s="5"/>
    </row>
    <row r="42" ht="15.75" hidden="1" customHeight="1">
      <c r="A42" s="75">
        <v>45575.0</v>
      </c>
      <c r="B42" s="76">
        <v>28.0</v>
      </c>
      <c r="C42" s="76">
        <v>39.91</v>
      </c>
      <c r="D42" s="5" t="s">
        <v>25</v>
      </c>
      <c r="E42" s="5" t="s">
        <v>26</v>
      </c>
      <c r="F42" s="5" t="s">
        <v>26</v>
      </c>
      <c r="G42" s="5" t="s">
        <v>26</v>
      </c>
      <c r="H42" s="5" t="s">
        <v>25</v>
      </c>
      <c r="I42" s="5" t="s">
        <v>27</v>
      </c>
      <c r="J42" s="5" t="s">
        <v>25</v>
      </c>
      <c r="K42" s="82" t="s">
        <v>1909</v>
      </c>
      <c r="L42" s="5" t="s">
        <v>40</v>
      </c>
      <c r="M42" s="69" t="s">
        <v>1910</v>
      </c>
      <c r="N42" s="5"/>
      <c r="O42" s="5"/>
      <c r="P42" s="5"/>
      <c r="Q42" s="5"/>
      <c r="R42" s="5"/>
      <c r="S42" s="5"/>
      <c r="T42" s="5"/>
      <c r="U42" s="5"/>
      <c r="V42" s="5"/>
      <c r="W42" s="5"/>
      <c r="X42" s="5"/>
      <c r="Y42" s="5"/>
      <c r="Z42" s="5"/>
    </row>
    <row r="43" ht="15.75" hidden="1" customHeight="1">
      <c r="A43" s="75">
        <v>45579.0</v>
      </c>
      <c r="B43" s="76">
        <v>32.0</v>
      </c>
      <c r="C43" s="76">
        <v>46.43</v>
      </c>
      <c r="D43" s="5" t="s">
        <v>25</v>
      </c>
      <c r="E43" s="5" t="s">
        <v>26</v>
      </c>
      <c r="F43" s="5" t="s">
        <v>26</v>
      </c>
      <c r="G43" s="5" t="s">
        <v>26</v>
      </c>
      <c r="H43" s="5" t="s">
        <v>25</v>
      </c>
      <c r="I43" s="5" t="s">
        <v>27</v>
      </c>
      <c r="J43" s="5" t="s">
        <v>25</v>
      </c>
      <c r="K43" s="82" t="s">
        <v>1911</v>
      </c>
      <c r="L43" s="5" t="s">
        <v>40</v>
      </c>
      <c r="M43" s="69" t="s">
        <v>1912</v>
      </c>
      <c r="N43" s="5"/>
      <c r="O43" s="5"/>
      <c r="P43" s="5"/>
      <c r="Q43" s="5"/>
      <c r="R43" s="5"/>
      <c r="S43" s="5"/>
      <c r="T43" s="5"/>
      <c r="U43" s="5"/>
      <c r="V43" s="5"/>
      <c r="W43" s="5"/>
      <c r="X43" s="5"/>
      <c r="Y43" s="5"/>
      <c r="Z43" s="5"/>
    </row>
    <row r="44" ht="15.75" hidden="1" customHeight="1">
      <c r="A44" s="75">
        <v>45580.0</v>
      </c>
      <c r="B44" s="76">
        <v>36.0</v>
      </c>
      <c r="C44" s="76">
        <v>46.43</v>
      </c>
      <c r="D44" s="5" t="s">
        <v>25</v>
      </c>
      <c r="E44" s="5" t="s">
        <v>26</v>
      </c>
      <c r="F44" s="5" t="s">
        <v>26</v>
      </c>
      <c r="G44" s="5" t="s">
        <v>26</v>
      </c>
      <c r="H44" s="5" t="s">
        <v>25</v>
      </c>
      <c r="I44" s="5" t="s">
        <v>27</v>
      </c>
      <c r="J44" s="5" t="s">
        <v>25</v>
      </c>
      <c r="K44" s="82" t="s">
        <v>1913</v>
      </c>
      <c r="L44" s="5" t="s">
        <v>40</v>
      </c>
      <c r="M44" s="69" t="s">
        <v>1896</v>
      </c>
      <c r="N44" s="5"/>
      <c r="O44" s="5"/>
      <c r="P44" s="5"/>
      <c r="Q44" s="5"/>
      <c r="R44" s="5"/>
      <c r="S44" s="5"/>
      <c r="T44" s="5"/>
      <c r="U44" s="5"/>
      <c r="V44" s="5"/>
      <c r="W44" s="5"/>
      <c r="X44" s="5"/>
      <c r="Y44" s="5"/>
      <c r="Z44" s="5"/>
    </row>
    <row r="45" ht="15.75" hidden="1" customHeight="1">
      <c r="A45" s="75">
        <v>45582.0</v>
      </c>
      <c r="B45" s="76">
        <v>40.0</v>
      </c>
      <c r="C45" s="76">
        <v>48.99</v>
      </c>
      <c r="D45" s="5" t="s">
        <v>25</v>
      </c>
      <c r="E45" s="5" t="s">
        <v>26</v>
      </c>
      <c r="F45" s="5" t="s">
        <v>26</v>
      </c>
      <c r="G45" s="5" t="s">
        <v>26</v>
      </c>
      <c r="H45" s="5" t="s">
        <v>25</v>
      </c>
      <c r="I45" s="5" t="s">
        <v>27</v>
      </c>
      <c r="J45" s="5" t="s">
        <v>25</v>
      </c>
      <c r="K45" s="82" t="s">
        <v>1914</v>
      </c>
      <c r="L45" s="5" t="s">
        <v>40</v>
      </c>
      <c r="M45" s="69" t="s">
        <v>1915</v>
      </c>
      <c r="N45" s="5"/>
      <c r="O45" s="5"/>
      <c r="P45" s="5"/>
      <c r="Q45" s="5"/>
      <c r="R45" s="5"/>
      <c r="S45" s="5"/>
      <c r="T45" s="5"/>
      <c r="U45" s="5"/>
      <c r="V45" s="5"/>
      <c r="W45" s="5"/>
      <c r="X45" s="5"/>
      <c r="Y45" s="5"/>
      <c r="Z45" s="5"/>
    </row>
    <row r="46" ht="15.75" hidden="1" customHeight="1">
      <c r="A46" s="75">
        <v>45583.0</v>
      </c>
      <c r="B46" s="76">
        <v>44.0</v>
      </c>
      <c r="C46" s="76">
        <v>51.22</v>
      </c>
      <c r="D46" s="5" t="s">
        <v>25</v>
      </c>
      <c r="E46" s="5" t="s">
        <v>26</v>
      </c>
      <c r="F46" s="5" t="s">
        <v>26</v>
      </c>
      <c r="G46" s="5" t="s">
        <v>26</v>
      </c>
      <c r="H46" s="5" t="s">
        <v>25</v>
      </c>
      <c r="I46" s="5" t="s">
        <v>27</v>
      </c>
      <c r="J46" s="5" t="s">
        <v>25</v>
      </c>
      <c r="K46" s="82" t="s">
        <v>1916</v>
      </c>
      <c r="L46" s="5" t="s">
        <v>40</v>
      </c>
      <c r="M46" s="69" t="s">
        <v>1917</v>
      </c>
      <c r="N46" s="5"/>
      <c r="O46" s="5"/>
      <c r="P46" s="5"/>
      <c r="Q46" s="5"/>
      <c r="R46" s="5"/>
      <c r="S46" s="5"/>
      <c r="T46" s="5"/>
      <c r="U46" s="5"/>
      <c r="V46" s="5"/>
      <c r="W46" s="5"/>
      <c r="X46" s="5"/>
      <c r="Y46" s="5"/>
      <c r="Z46" s="5"/>
    </row>
    <row r="47" ht="15.75" hidden="1" customHeight="1">
      <c r="A47" s="75">
        <v>45584.0</v>
      </c>
      <c r="B47" s="76">
        <v>48.0</v>
      </c>
      <c r="C47" s="76">
        <v>56.08</v>
      </c>
      <c r="D47" s="5" t="s">
        <v>25</v>
      </c>
      <c r="E47" s="5" t="s">
        <v>26</v>
      </c>
      <c r="F47" s="5" t="s">
        <v>26</v>
      </c>
      <c r="G47" s="5" t="s">
        <v>26</v>
      </c>
      <c r="H47" s="5" t="s">
        <v>25</v>
      </c>
      <c r="I47" s="5" t="s">
        <v>27</v>
      </c>
      <c r="J47" s="5" t="s">
        <v>25</v>
      </c>
      <c r="K47" s="82" t="s">
        <v>1918</v>
      </c>
      <c r="L47" s="5" t="s">
        <v>40</v>
      </c>
      <c r="M47" s="69" t="s">
        <v>1919</v>
      </c>
      <c r="N47" s="5"/>
      <c r="O47" s="5"/>
      <c r="P47" s="5"/>
      <c r="Q47" s="5"/>
      <c r="R47" s="5"/>
      <c r="S47" s="5"/>
      <c r="T47" s="5"/>
      <c r="U47" s="5"/>
      <c r="V47" s="5"/>
      <c r="W47" s="5"/>
      <c r="X47" s="5"/>
      <c r="Y47" s="5"/>
      <c r="Z47" s="5"/>
    </row>
    <row r="48" ht="15.75" hidden="1" customHeight="1">
      <c r="A48" s="75">
        <v>45586.0</v>
      </c>
      <c r="B48" s="76">
        <v>52.0</v>
      </c>
      <c r="C48" s="76">
        <v>62.56</v>
      </c>
      <c r="D48" s="5" t="s">
        <v>25</v>
      </c>
      <c r="E48" s="5" t="s">
        <v>26</v>
      </c>
      <c r="F48" s="5" t="s">
        <v>26</v>
      </c>
      <c r="G48" s="5" t="s">
        <v>26</v>
      </c>
      <c r="H48" s="5" t="s">
        <v>25</v>
      </c>
      <c r="I48" s="5" t="s">
        <v>27</v>
      </c>
      <c r="J48" s="5" t="s">
        <v>25</v>
      </c>
      <c r="K48" s="82" t="s">
        <v>1920</v>
      </c>
      <c r="L48" s="5" t="s">
        <v>40</v>
      </c>
      <c r="M48" s="69" t="s">
        <v>1921</v>
      </c>
      <c r="N48" s="5"/>
      <c r="O48" s="5"/>
      <c r="P48" s="5"/>
      <c r="Q48" s="5"/>
      <c r="R48" s="5"/>
      <c r="S48" s="5"/>
      <c r="T48" s="5"/>
      <c r="U48" s="5"/>
      <c r="V48" s="5"/>
      <c r="W48" s="5"/>
      <c r="X48" s="5"/>
      <c r="Y48" s="5"/>
      <c r="Z48" s="5"/>
    </row>
    <row r="49" ht="15.75" hidden="1" customHeight="1">
      <c r="A49" s="75">
        <v>45587.0</v>
      </c>
      <c r="B49" s="76">
        <f>52+4</f>
        <v>56</v>
      </c>
      <c r="C49" s="76">
        <v>62.56</v>
      </c>
      <c r="D49" s="5" t="s">
        <v>25</v>
      </c>
      <c r="E49" s="5" t="s">
        <v>26</v>
      </c>
      <c r="F49" s="5" t="s">
        <v>26</v>
      </c>
      <c r="G49" s="5" t="s">
        <v>26</v>
      </c>
      <c r="H49" s="5" t="s">
        <v>25</v>
      </c>
      <c r="I49" s="5" t="s">
        <v>27</v>
      </c>
      <c r="J49" s="5" t="s">
        <v>25</v>
      </c>
      <c r="K49" s="82" t="s">
        <v>1920</v>
      </c>
      <c r="L49" s="5" t="s">
        <v>40</v>
      </c>
      <c r="M49" s="69" t="s">
        <v>1896</v>
      </c>
      <c r="N49" s="5"/>
      <c r="O49" s="5"/>
      <c r="P49" s="5"/>
      <c r="Q49" s="5"/>
      <c r="R49" s="5"/>
      <c r="S49" s="5"/>
      <c r="T49" s="5"/>
      <c r="U49" s="5"/>
      <c r="V49" s="5"/>
      <c r="W49" s="5"/>
      <c r="X49" s="5"/>
      <c r="Y49" s="5"/>
      <c r="Z49" s="5"/>
    </row>
    <row r="50" ht="15.75" hidden="1" customHeight="1">
      <c r="A50" s="75">
        <v>45588.0</v>
      </c>
      <c r="B50" s="76">
        <f>B49+4</f>
        <v>60</v>
      </c>
      <c r="C50" s="76">
        <v>64.28</v>
      </c>
      <c r="D50" s="5" t="s">
        <v>26</v>
      </c>
      <c r="E50" s="5" t="s">
        <v>26</v>
      </c>
      <c r="F50" s="5" t="s">
        <v>26</v>
      </c>
      <c r="G50" s="5" t="s">
        <v>26</v>
      </c>
      <c r="H50" s="5" t="s">
        <v>25</v>
      </c>
      <c r="I50" s="5" t="s">
        <v>27</v>
      </c>
      <c r="J50" s="5" t="s">
        <v>25</v>
      </c>
      <c r="K50" s="82" t="s">
        <v>1922</v>
      </c>
      <c r="L50" s="5" t="s">
        <v>40</v>
      </c>
      <c r="M50" s="69" t="s">
        <v>1923</v>
      </c>
      <c r="N50" s="5"/>
      <c r="O50" s="5"/>
      <c r="P50" s="5"/>
      <c r="Q50" s="5"/>
      <c r="R50" s="5"/>
      <c r="S50" s="5"/>
      <c r="T50" s="5"/>
      <c r="U50" s="5"/>
      <c r="V50" s="5"/>
      <c r="W50" s="5"/>
      <c r="X50" s="5"/>
      <c r="Y50" s="5"/>
      <c r="Z50" s="5"/>
    </row>
    <row r="51" ht="15.75" hidden="1" customHeight="1">
      <c r="A51" s="75">
        <v>45589.0</v>
      </c>
      <c r="B51" s="76">
        <v>64.0</v>
      </c>
      <c r="C51" s="76">
        <v>69.13</v>
      </c>
      <c r="D51" s="5" t="s">
        <v>26</v>
      </c>
      <c r="E51" s="5" t="s">
        <v>26</v>
      </c>
      <c r="F51" s="5" t="s">
        <v>26</v>
      </c>
      <c r="G51" s="5" t="s">
        <v>26</v>
      </c>
      <c r="H51" s="5" t="s">
        <v>25</v>
      </c>
      <c r="I51" s="5" t="s">
        <v>27</v>
      </c>
      <c r="J51" s="5" t="s">
        <v>25</v>
      </c>
      <c r="K51" s="82" t="s">
        <v>1924</v>
      </c>
      <c r="L51" s="5" t="s">
        <v>40</v>
      </c>
      <c r="M51" s="69" t="s">
        <v>1925</v>
      </c>
      <c r="N51" s="5"/>
      <c r="O51" s="5"/>
      <c r="P51" s="5"/>
      <c r="Q51" s="5"/>
      <c r="R51" s="5"/>
      <c r="S51" s="5"/>
      <c r="T51" s="5"/>
      <c r="U51" s="5"/>
      <c r="V51" s="5"/>
      <c r="W51" s="5"/>
      <c r="X51" s="5"/>
      <c r="Y51" s="5"/>
      <c r="Z51" s="5"/>
    </row>
    <row r="52" ht="15.75" hidden="1" customHeight="1">
      <c r="A52" s="75">
        <v>45590.0</v>
      </c>
      <c r="B52" s="76">
        <f t="shared" ref="B52:B55" si="1">B51+4</f>
        <v>68</v>
      </c>
      <c r="C52" s="76">
        <v>70.72</v>
      </c>
      <c r="D52" s="5" t="s">
        <v>26</v>
      </c>
      <c r="E52" s="5" t="s">
        <v>26</v>
      </c>
      <c r="F52" s="5" t="s">
        <v>26</v>
      </c>
      <c r="G52" s="5" t="s">
        <v>26</v>
      </c>
      <c r="H52" s="5" t="s">
        <v>25</v>
      </c>
      <c r="I52" s="5" t="s">
        <v>27</v>
      </c>
      <c r="J52" s="5" t="s">
        <v>25</v>
      </c>
      <c r="K52" s="82" t="s">
        <v>1926</v>
      </c>
      <c r="L52" s="5" t="s">
        <v>40</v>
      </c>
      <c r="M52" s="69" t="s">
        <v>1927</v>
      </c>
      <c r="N52" s="5"/>
      <c r="O52" s="5"/>
      <c r="P52" s="5"/>
      <c r="Q52" s="5"/>
      <c r="R52" s="5"/>
      <c r="S52" s="5"/>
      <c r="T52" s="5"/>
      <c r="U52" s="5"/>
      <c r="V52" s="5"/>
      <c r="W52" s="5"/>
      <c r="X52" s="5"/>
      <c r="Y52" s="5"/>
      <c r="Z52" s="5"/>
    </row>
    <row r="53" ht="15.75" hidden="1" customHeight="1">
      <c r="A53" s="75">
        <v>45593.0</v>
      </c>
      <c r="B53" s="76">
        <f t="shared" si="1"/>
        <v>72</v>
      </c>
      <c r="C53" s="76">
        <v>72.77</v>
      </c>
      <c r="D53" s="5" t="s">
        <v>26</v>
      </c>
      <c r="E53" s="5" t="s">
        <v>26</v>
      </c>
      <c r="F53" s="5" t="s">
        <v>26</v>
      </c>
      <c r="G53" s="5" t="s">
        <v>26</v>
      </c>
      <c r="H53" s="5" t="s">
        <v>25</v>
      </c>
      <c r="I53" s="5" t="s">
        <v>27</v>
      </c>
      <c r="J53" s="5" t="s">
        <v>25</v>
      </c>
      <c r="K53" s="82" t="s">
        <v>1928</v>
      </c>
      <c r="L53" s="5" t="s">
        <v>40</v>
      </c>
      <c r="M53" s="69" t="s">
        <v>1929</v>
      </c>
      <c r="N53" s="5"/>
      <c r="O53" s="5"/>
      <c r="P53" s="5"/>
      <c r="Q53" s="5"/>
      <c r="R53" s="5"/>
      <c r="S53" s="5"/>
      <c r="T53" s="5"/>
      <c r="U53" s="5"/>
      <c r="V53" s="5"/>
      <c r="W53" s="5"/>
      <c r="X53" s="5"/>
      <c r="Y53" s="5"/>
      <c r="Z53" s="5"/>
    </row>
    <row r="54" ht="15.75" hidden="1" customHeight="1">
      <c r="A54" s="75">
        <v>45594.0</v>
      </c>
      <c r="B54" s="76">
        <f t="shared" si="1"/>
        <v>76</v>
      </c>
      <c r="C54" s="76">
        <v>72.77</v>
      </c>
      <c r="D54" s="5" t="s">
        <v>25</v>
      </c>
      <c r="E54" s="5" t="s">
        <v>26</v>
      </c>
      <c r="F54" s="5" t="s">
        <v>26</v>
      </c>
      <c r="G54" s="5" t="s">
        <v>26</v>
      </c>
      <c r="H54" s="5" t="s">
        <v>25</v>
      </c>
      <c r="I54" s="5" t="s">
        <v>27</v>
      </c>
      <c r="J54" s="5" t="s">
        <v>25</v>
      </c>
      <c r="K54" s="82" t="s">
        <v>1930</v>
      </c>
      <c r="L54" s="5" t="s">
        <v>126</v>
      </c>
      <c r="M54" s="69" t="s">
        <v>1931</v>
      </c>
      <c r="N54" s="5"/>
      <c r="O54" s="5"/>
      <c r="P54" s="5"/>
      <c r="Q54" s="5"/>
      <c r="R54" s="5"/>
      <c r="S54" s="5"/>
      <c r="T54" s="5"/>
      <c r="U54" s="5"/>
      <c r="V54" s="5"/>
      <c r="W54" s="5"/>
      <c r="X54" s="5"/>
      <c r="Y54" s="5"/>
      <c r="Z54" s="5"/>
    </row>
    <row r="55" ht="15.75" hidden="1" customHeight="1">
      <c r="A55" s="75">
        <v>45595.0</v>
      </c>
      <c r="B55" s="76">
        <f t="shared" si="1"/>
        <v>80</v>
      </c>
      <c r="C55" s="76">
        <v>73.25</v>
      </c>
      <c r="D55" s="5" t="s">
        <v>25</v>
      </c>
      <c r="E55" s="5" t="s">
        <v>26</v>
      </c>
      <c r="F55" s="5" t="s">
        <v>26</v>
      </c>
      <c r="G55" s="5" t="s">
        <v>26</v>
      </c>
      <c r="H55" s="5" t="s">
        <v>25</v>
      </c>
      <c r="I55" s="5" t="s">
        <v>27</v>
      </c>
      <c r="J55" s="5" t="s">
        <v>25</v>
      </c>
      <c r="K55" s="82" t="s">
        <v>1930</v>
      </c>
      <c r="L55" s="5" t="s">
        <v>126</v>
      </c>
      <c r="M55" s="69" t="s">
        <v>1931</v>
      </c>
      <c r="N55" s="5"/>
      <c r="O55" s="5"/>
      <c r="P55" s="5"/>
      <c r="Q55" s="5"/>
      <c r="R55" s="5"/>
      <c r="S55" s="5"/>
      <c r="T55" s="5"/>
      <c r="U55" s="5"/>
      <c r="V55" s="5"/>
      <c r="W55" s="5"/>
      <c r="X55" s="5"/>
      <c r="Y55" s="5"/>
      <c r="Z55" s="5"/>
    </row>
    <row r="56" ht="15.75" hidden="1" customHeight="1">
      <c r="A56" s="75">
        <v>45597.0</v>
      </c>
      <c r="B56" s="76">
        <f>4</f>
        <v>4</v>
      </c>
      <c r="C56" s="76">
        <v>0.0</v>
      </c>
      <c r="D56" s="5" t="s">
        <v>25</v>
      </c>
      <c r="E56" s="5" t="s">
        <v>26</v>
      </c>
      <c r="F56" s="5" t="s">
        <v>26</v>
      </c>
      <c r="G56" s="5" t="s">
        <v>26</v>
      </c>
      <c r="H56" s="5" t="s">
        <v>25</v>
      </c>
      <c r="I56" s="5" t="s">
        <v>27</v>
      </c>
      <c r="J56" s="5" t="s">
        <v>25</v>
      </c>
      <c r="K56" s="82" t="s">
        <v>1932</v>
      </c>
      <c r="L56" s="5" t="s">
        <v>40</v>
      </c>
      <c r="M56" s="69" t="s">
        <v>1933</v>
      </c>
      <c r="N56" s="5"/>
      <c r="O56" s="5"/>
      <c r="P56" s="5"/>
      <c r="Q56" s="5"/>
      <c r="R56" s="5"/>
      <c r="S56" s="5"/>
      <c r="T56" s="5"/>
      <c r="U56" s="5"/>
      <c r="V56" s="5"/>
      <c r="W56" s="5"/>
      <c r="X56" s="5"/>
      <c r="Y56" s="5"/>
      <c r="Z56" s="5"/>
    </row>
    <row r="57" ht="15.75" hidden="1" customHeight="1">
      <c r="A57" s="75">
        <v>45600.0</v>
      </c>
      <c r="B57" s="76">
        <f t="shared" ref="B57:B77" si="2">B56+4</f>
        <v>8</v>
      </c>
      <c r="C57" s="76">
        <v>2.99</v>
      </c>
      <c r="D57" s="5" t="s">
        <v>26</v>
      </c>
      <c r="E57" s="5" t="s">
        <v>26</v>
      </c>
      <c r="F57" s="5" t="s">
        <v>26</v>
      </c>
      <c r="G57" s="5" t="s">
        <v>26</v>
      </c>
      <c r="H57" s="5" t="s">
        <v>25</v>
      </c>
      <c r="I57" s="5" t="s">
        <v>27</v>
      </c>
      <c r="J57" s="5" t="s">
        <v>25</v>
      </c>
      <c r="K57" s="82" t="s">
        <v>1934</v>
      </c>
      <c r="L57" s="5" t="s">
        <v>40</v>
      </c>
      <c r="M57" s="69" t="s">
        <v>1935</v>
      </c>
      <c r="N57" s="5"/>
      <c r="O57" s="5"/>
      <c r="P57" s="5"/>
      <c r="Q57" s="5"/>
      <c r="R57" s="5"/>
      <c r="S57" s="5"/>
      <c r="T57" s="5"/>
      <c r="U57" s="5"/>
      <c r="V57" s="5"/>
      <c r="W57" s="5"/>
      <c r="X57" s="5"/>
      <c r="Y57" s="5"/>
      <c r="Z57" s="5"/>
    </row>
    <row r="58" ht="15.75" hidden="1" customHeight="1">
      <c r="A58" s="75">
        <v>45601.0</v>
      </c>
      <c r="B58" s="76">
        <f t="shared" si="2"/>
        <v>12</v>
      </c>
      <c r="C58" s="76">
        <v>5.97</v>
      </c>
      <c r="D58" s="5" t="s">
        <v>26</v>
      </c>
      <c r="E58" s="5" t="s">
        <v>26</v>
      </c>
      <c r="F58" s="5" t="s">
        <v>26</v>
      </c>
      <c r="G58" s="5" t="s">
        <v>26</v>
      </c>
      <c r="H58" s="5" t="s">
        <v>25</v>
      </c>
      <c r="I58" s="5" t="s">
        <v>27</v>
      </c>
      <c r="J58" s="5" t="s">
        <v>25</v>
      </c>
      <c r="K58" s="82" t="s">
        <v>1936</v>
      </c>
      <c r="L58" s="5" t="s">
        <v>40</v>
      </c>
      <c r="M58" s="69" t="s">
        <v>1937</v>
      </c>
      <c r="N58" s="5"/>
      <c r="O58" s="5"/>
      <c r="P58" s="5"/>
      <c r="Q58" s="5"/>
      <c r="R58" s="5"/>
      <c r="S58" s="5"/>
      <c r="T58" s="5"/>
      <c r="U58" s="5"/>
      <c r="V58" s="5"/>
      <c r="W58" s="5"/>
      <c r="X58" s="5"/>
      <c r="Y58" s="5"/>
      <c r="Z58" s="5"/>
    </row>
    <row r="59" ht="15.75" hidden="1" customHeight="1">
      <c r="A59" s="75">
        <v>45602.0</v>
      </c>
      <c r="B59" s="76">
        <f t="shared" si="2"/>
        <v>16</v>
      </c>
      <c r="C59" s="76">
        <v>10.94</v>
      </c>
      <c r="D59" s="5" t="s">
        <v>26</v>
      </c>
      <c r="E59" s="5" t="s">
        <v>26</v>
      </c>
      <c r="F59" s="5" t="s">
        <v>26</v>
      </c>
      <c r="G59" s="5" t="s">
        <v>26</v>
      </c>
      <c r="H59" s="5" t="s">
        <v>25</v>
      </c>
      <c r="I59" s="5" t="s">
        <v>27</v>
      </c>
      <c r="J59" s="5" t="s">
        <v>25</v>
      </c>
      <c r="K59" s="82" t="s">
        <v>1938</v>
      </c>
      <c r="L59" s="5" t="s">
        <v>40</v>
      </c>
      <c r="M59" s="69" t="s">
        <v>1939</v>
      </c>
      <c r="N59" s="5"/>
      <c r="O59" s="5"/>
      <c r="P59" s="5"/>
      <c r="Q59" s="5"/>
      <c r="R59" s="5"/>
      <c r="S59" s="5"/>
      <c r="T59" s="5"/>
      <c r="U59" s="5"/>
      <c r="V59" s="5"/>
      <c r="W59" s="5"/>
      <c r="X59" s="5"/>
      <c r="Y59" s="5"/>
      <c r="Z59" s="5"/>
    </row>
    <row r="60" ht="15.75" hidden="1" customHeight="1">
      <c r="A60" s="75">
        <v>45603.0</v>
      </c>
      <c r="B60" s="76">
        <f t="shared" si="2"/>
        <v>20</v>
      </c>
      <c r="C60" s="76">
        <v>13.21</v>
      </c>
      <c r="D60" s="5" t="s">
        <v>26</v>
      </c>
      <c r="E60" s="5" t="s">
        <v>26</v>
      </c>
      <c r="F60" s="5" t="s">
        <v>26</v>
      </c>
      <c r="G60" s="5" t="s">
        <v>26</v>
      </c>
      <c r="H60" s="5" t="s">
        <v>25</v>
      </c>
      <c r="I60" s="5" t="s">
        <v>27</v>
      </c>
      <c r="J60" s="5" t="s">
        <v>25</v>
      </c>
      <c r="K60" s="82" t="s">
        <v>1940</v>
      </c>
      <c r="L60" s="5" t="s">
        <v>40</v>
      </c>
      <c r="M60" s="82" t="s">
        <v>1941</v>
      </c>
      <c r="N60" s="5"/>
      <c r="O60" s="5"/>
      <c r="P60" s="5"/>
      <c r="Q60" s="5"/>
      <c r="R60" s="5"/>
      <c r="S60" s="5"/>
      <c r="T60" s="5"/>
      <c r="U60" s="5"/>
      <c r="V60" s="5"/>
      <c r="W60" s="5"/>
      <c r="X60" s="5"/>
      <c r="Y60" s="5"/>
      <c r="Z60" s="5"/>
    </row>
    <row r="61" ht="15.75" hidden="1" customHeight="1">
      <c r="A61" s="75">
        <v>45604.0</v>
      </c>
      <c r="B61" s="76">
        <f t="shared" si="2"/>
        <v>24</v>
      </c>
      <c r="C61" s="76">
        <v>14.96</v>
      </c>
      <c r="D61" s="5" t="s">
        <v>26</v>
      </c>
      <c r="E61" s="5" t="s">
        <v>26</v>
      </c>
      <c r="F61" s="5" t="s">
        <v>26</v>
      </c>
      <c r="G61" s="5" t="s">
        <v>26</v>
      </c>
      <c r="H61" s="5" t="s">
        <v>25</v>
      </c>
      <c r="I61" s="5" t="s">
        <v>27</v>
      </c>
      <c r="J61" s="5" t="s">
        <v>25</v>
      </c>
      <c r="K61" s="82" t="s">
        <v>1942</v>
      </c>
      <c r="L61" s="5" t="s">
        <v>40</v>
      </c>
      <c r="M61" s="82" t="s">
        <v>1943</v>
      </c>
      <c r="N61" s="5"/>
      <c r="O61" s="5"/>
      <c r="P61" s="5"/>
      <c r="Q61" s="5"/>
      <c r="R61" s="5"/>
      <c r="S61" s="5"/>
      <c r="T61" s="5"/>
      <c r="U61" s="5"/>
      <c r="V61" s="5"/>
      <c r="W61" s="5"/>
      <c r="X61" s="5"/>
      <c r="Y61" s="5"/>
      <c r="Z61" s="5"/>
    </row>
    <row r="62" ht="15.75" hidden="1" customHeight="1">
      <c r="A62" s="75">
        <v>45605.0</v>
      </c>
      <c r="B62" s="76">
        <f t="shared" si="2"/>
        <v>28</v>
      </c>
      <c r="C62" s="76">
        <v>15.87</v>
      </c>
      <c r="D62" s="5" t="s">
        <v>26</v>
      </c>
      <c r="E62" s="5" t="s">
        <v>26</v>
      </c>
      <c r="F62" s="5" t="s">
        <v>26</v>
      </c>
      <c r="G62" s="5" t="s">
        <v>26</v>
      </c>
      <c r="H62" s="5" t="s">
        <v>25</v>
      </c>
      <c r="I62" s="5" t="s">
        <v>27</v>
      </c>
      <c r="J62" s="5" t="s">
        <v>25</v>
      </c>
      <c r="K62" s="82" t="s">
        <v>1944</v>
      </c>
      <c r="L62" s="5" t="s">
        <v>40</v>
      </c>
      <c r="M62" s="82" t="s">
        <v>1945</v>
      </c>
      <c r="N62" s="5"/>
      <c r="O62" s="5"/>
      <c r="P62" s="5"/>
      <c r="Q62" s="5"/>
      <c r="R62" s="5"/>
      <c r="S62" s="5"/>
      <c r="T62" s="5"/>
      <c r="U62" s="5"/>
      <c r="V62" s="5"/>
      <c r="W62" s="5"/>
      <c r="X62" s="5"/>
      <c r="Y62" s="5"/>
      <c r="Z62" s="5"/>
    </row>
    <row r="63" ht="15.75" hidden="1" customHeight="1">
      <c r="A63" s="75">
        <v>45607.0</v>
      </c>
      <c r="B63" s="76">
        <f t="shared" si="2"/>
        <v>32</v>
      </c>
      <c r="C63" s="76">
        <v>17.78</v>
      </c>
      <c r="D63" s="5" t="s">
        <v>26</v>
      </c>
      <c r="E63" s="5" t="s">
        <v>26</v>
      </c>
      <c r="F63" s="5" t="s">
        <v>26</v>
      </c>
      <c r="G63" s="5" t="s">
        <v>26</v>
      </c>
      <c r="H63" s="5" t="s">
        <v>25</v>
      </c>
      <c r="I63" s="5" t="s">
        <v>27</v>
      </c>
      <c r="J63" s="5" t="s">
        <v>25</v>
      </c>
      <c r="K63" s="82" t="s">
        <v>1946</v>
      </c>
      <c r="L63" s="5" t="s">
        <v>40</v>
      </c>
      <c r="M63" s="82" t="s">
        <v>1947</v>
      </c>
      <c r="N63" s="5"/>
      <c r="O63" s="5"/>
      <c r="P63" s="5"/>
      <c r="Q63" s="5"/>
      <c r="R63" s="5"/>
      <c r="S63" s="5"/>
      <c r="T63" s="5"/>
      <c r="U63" s="5"/>
      <c r="V63" s="5"/>
      <c r="W63" s="5"/>
      <c r="X63" s="5"/>
      <c r="Y63" s="5"/>
      <c r="Z63" s="5"/>
    </row>
    <row r="64" ht="15.75" hidden="1" customHeight="1">
      <c r="A64" s="75">
        <v>45608.0</v>
      </c>
      <c r="B64" s="76">
        <f t="shared" si="2"/>
        <v>36</v>
      </c>
      <c r="C64" s="76">
        <v>21.27</v>
      </c>
      <c r="D64" s="5" t="s">
        <v>26</v>
      </c>
      <c r="E64" s="5" t="s">
        <v>26</v>
      </c>
      <c r="F64" s="5" t="s">
        <v>26</v>
      </c>
      <c r="G64" s="5" t="s">
        <v>26</v>
      </c>
      <c r="H64" s="5" t="s">
        <v>25</v>
      </c>
      <c r="I64" s="5" t="s">
        <v>27</v>
      </c>
      <c r="J64" s="5" t="s">
        <v>25</v>
      </c>
      <c r="K64" s="82" t="s">
        <v>1948</v>
      </c>
      <c r="L64" s="5" t="s">
        <v>40</v>
      </c>
      <c r="M64" s="82" t="s">
        <v>1949</v>
      </c>
      <c r="N64" s="5"/>
      <c r="O64" s="5"/>
      <c r="P64" s="5"/>
      <c r="Q64" s="5"/>
      <c r="R64" s="5"/>
      <c r="S64" s="5"/>
      <c r="T64" s="5"/>
      <c r="U64" s="5"/>
      <c r="V64" s="5"/>
      <c r="W64" s="5"/>
      <c r="X64" s="5"/>
      <c r="Y64" s="5"/>
      <c r="Z64" s="5"/>
    </row>
    <row r="65" ht="15.75" hidden="1" customHeight="1">
      <c r="A65" s="75">
        <v>45609.0</v>
      </c>
      <c r="B65" s="76">
        <f t="shared" si="2"/>
        <v>40</v>
      </c>
      <c r="C65" s="76">
        <v>30.78</v>
      </c>
      <c r="D65" s="5" t="s">
        <v>26</v>
      </c>
      <c r="E65" s="5" t="s">
        <v>26</v>
      </c>
      <c r="F65" s="5" t="s">
        <v>26</v>
      </c>
      <c r="G65" s="5" t="s">
        <v>26</v>
      </c>
      <c r="H65" s="5" t="s">
        <v>25</v>
      </c>
      <c r="I65" s="5" t="s">
        <v>27</v>
      </c>
      <c r="J65" s="5" t="s">
        <v>25</v>
      </c>
      <c r="K65" s="82" t="s">
        <v>1950</v>
      </c>
      <c r="L65" s="5" t="s">
        <v>40</v>
      </c>
      <c r="M65" s="82" t="s">
        <v>1951</v>
      </c>
      <c r="N65" s="5"/>
      <c r="O65" s="5"/>
      <c r="P65" s="5"/>
      <c r="Q65" s="5"/>
      <c r="R65" s="5"/>
      <c r="S65" s="5"/>
      <c r="T65" s="5"/>
      <c r="U65" s="5"/>
      <c r="V65" s="5"/>
      <c r="W65" s="5"/>
      <c r="X65" s="5"/>
      <c r="Y65" s="5"/>
      <c r="Z65" s="5"/>
    </row>
    <row r="66" ht="15.75" hidden="1" customHeight="1">
      <c r="A66" s="75">
        <v>45610.0</v>
      </c>
      <c r="B66" s="76">
        <f t="shared" si="2"/>
        <v>44</v>
      </c>
      <c r="C66" s="76">
        <v>42.05</v>
      </c>
      <c r="D66" s="5" t="s">
        <v>26</v>
      </c>
      <c r="E66" s="5" t="s">
        <v>26</v>
      </c>
      <c r="F66" s="5" t="s">
        <v>26</v>
      </c>
      <c r="G66" s="5" t="s">
        <v>26</v>
      </c>
      <c r="H66" s="5" t="s">
        <v>25</v>
      </c>
      <c r="I66" s="5" t="s">
        <v>27</v>
      </c>
      <c r="J66" s="5" t="s">
        <v>25</v>
      </c>
      <c r="K66" s="82" t="s">
        <v>1952</v>
      </c>
      <c r="L66" s="5" t="s">
        <v>40</v>
      </c>
      <c r="M66" s="82" t="s">
        <v>1953</v>
      </c>
      <c r="N66" s="5"/>
      <c r="O66" s="5"/>
      <c r="P66" s="5"/>
      <c r="Q66" s="5"/>
      <c r="R66" s="5"/>
      <c r="S66" s="5"/>
      <c r="T66" s="5"/>
      <c r="U66" s="5"/>
      <c r="V66" s="5"/>
      <c r="W66" s="5"/>
      <c r="X66" s="5"/>
      <c r="Y66" s="5"/>
      <c r="Z66" s="5"/>
    </row>
    <row r="67" ht="15.75" hidden="1" customHeight="1">
      <c r="A67" s="75">
        <v>45611.0</v>
      </c>
      <c r="B67" s="76">
        <f t="shared" si="2"/>
        <v>48</v>
      </c>
      <c r="C67" s="76">
        <v>45.48</v>
      </c>
      <c r="D67" s="5" t="s">
        <v>26</v>
      </c>
      <c r="E67" s="5" t="s">
        <v>26</v>
      </c>
      <c r="F67" s="5" t="s">
        <v>26</v>
      </c>
      <c r="G67" s="5" t="s">
        <v>26</v>
      </c>
      <c r="H67" s="5" t="s">
        <v>25</v>
      </c>
      <c r="I67" s="5" t="s">
        <v>27</v>
      </c>
      <c r="J67" s="5" t="s">
        <v>25</v>
      </c>
      <c r="K67" s="82" t="s">
        <v>1954</v>
      </c>
      <c r="L67" s="5" t="s">
        <v>40</v>
      </c>
      <c r="M67" s="82" t="s">
        <v>1955</v>
      </c>
      <c r="N67" s="5"/>
      <c r="O67" s="5"/>
      <c r="P67" s="5"/>
      <c r="Q67" s="5"/>
      <c r="R67" s="5"/>
      <c r="S67" s="5"/>
      <c r="T67" s="5"/>
      <c r="U67" s="5"/>
      <c r="V67" s="5"/>
      <c r="W67" s="5"/>
      <c r="X67" s="5"/>
      <c r="Y67" s="5"/>
      <c r="Z67" s="5"/>
    </row>
    <row r="68" ht="15.75" hidden="1" customHeight="1">
      <c r="A68" s="75">
        <v>45614.0</v>
      </c>
      <c r="B68" s="76">
        <f t="shared" si="2"/>
        <v>52</v>
      </c>
      <c r="C68" s="76">
        <v>49.44</v>
      </c>
      <c r="D68" s="5" t="s">
        <v>26</v>
      </c>
      <c r="E68" s="5" t="s">
        <v>26</v>
      </c>
      <c r="F68" s="5" t="s">
        <v>26</v>
      </c>
      <c r="G68" s="5" t="s">
        <v>26</v>
      </c>
      <c r="H68" s="5" t="s">
        <v>25</v>
      </c>
      <c r="I68" s="5" t="s">
        <v>27</v>
      </c>
      <c r="J68" s="5" t="s">
        <v>25</v>
      </c>
      <c r="K68" s="82" t="s">
        <v>1956</v>
      </c>
      <c r="L68" s="5" t="s">
        <v>40</v>
      </c>
      <c r="M68" s="82" t="s">
        <v>1957</v>
      </c>
      <c r="N68" s="5"/>
      <c r="O68" s="5"/>
      <c r="P68" s="5"/>
      <c r="Q68" s="5"/>
      <c r="R68" s="5"/>
      <c r="S68" s="5"/>
      <c r="T68" s="5"/>
      <c r="U68" s="5"/>
      <c r="V68" s="5"/>
      <c r="W68" s="5"/>
      <c r="X68" s="5"/>
      <c r="Y68" s="5"/>
      <c r="Z68" s="5"/>
    </row>
    <row r="69" ht="15.75" hidden="1" customHeight="1">
      <c r="A69" s="75">
        <v>45615.0</v>
      </c>
      <c r="B69" s="76">
        <f t="shared" si="2"/>
        <v>56</v>
      </c>
      <c r="C69" s="76">
        <v>52.58</v>
      </c>
      <c r="D69" s="5" t="s">
        <v>26</v>
      </c>
      <c r="E69" s="5" t="s">
        <v>26</v>
      </c>
      <c r="F69" s="5" t="s">
        <v>26</v>
      </c>
      <c r="G69" s="5" t="s">
        <v>26</v>
      </c>
      <c r="H69" s="5" t="s">
        <v>25</v>
      </c>
      <c r="I69" s="5" t="s">
        <v>27</v>
      </c>
      <c r="J69" s="5" t="s">
        <v>25</v>
      </c>
      <c r="K69" s="82" t="s">
        <v>1958</v>
      </c>
      <c r="L69" s="5" t="s">
        <v>40</v>
      </c>
      <c r="M69" s="82" t="s">
        <v>1959</v>
      </c>
      <c r="N69" s="5"/>
      <c r="O69" s="5"/>
      <c r="P69" s="5"/>
      <c r="Q69" s="5"/>
      <c r="R69" s="5"/>
      <c r="S69" s="5"/>
      <c r="T69" s="5"/>
      <c r="U69" s="5"/>
      <c r="V69" s="5"/>
      <c r="W69" s="5"/>
      <c r="X69" s="5"/>
      <c r="Y69" s="5"/>
      <c r="Z69" s="5"/>
    </row>
    <row r="70" ht="15.75" hidden="1" customHeight="1">
      <c r="A70" s="75">
        <v>45616.0</v>
      </c>
      <c r="B70" s="76">
        <f t="shared" si="2"/>
        <v>60</v>
      </c>
      <c r="C70" s="76">
        <v>55.55</v>
      </c>
      <c r="D70" s="5" t="s">
        <v>26</v>
      </c>
      <c r="E70" s="5" t="s">
        <v>26</v>
      </c>
      <c r="F70" s="5" t="s">
        <v>26</v>
      </c>
      <c r="G70" s="5" t="s">
        <v>26</v>
      </c>
      <c r="H70" s="5" t="s">
        <v>25</v>
      </c>
      <c r="I70" s="5" t="s">
        <v>27</v>
      </c>
      <c r="J70" s="5" t="s">
        <v>25</v>
      </c>
      <c r="K70" s="82" t="s">
        <v>1960</v>
      </c>
      <c r="L70" s="5" t="s">
        <v>40</v>
      </c>
      <c r="M70" s="82" t="s">
        <v>1961</v>
      </c>
      <c r="N70" s="5" t="s">
        <v>1962</v>
      </c>
      <c r="O70" s="5"/>
      <c r="P70" s="5"/>
      <c r="Q70" s="5"/>
      <c r="R70" s="5"/>
      <c r="S70" s="5"/>
      <c r="T70" s="5"/>
      <c r="U70" s="5"/>
      <c r="V70" s="5"/>
      <c r="W70" s="5"/>
      <c r="X70" s="5"/>
      <c r="Y70" s="5"/>
      <c r="Z70" s="5"/>
    </row>
    <row r="71" ht="15.75" hidden="1" customHeight="1">
      <c r="A71" s="75">
        <v>45617.0</v>
      </c>
      <c r="B71" s="76">
        <f t="shared" si="2"/>
        <v>64</v>
      </c>
      <c r="C71" s="76">
        <v>61.49</v>
      </c>
      <c r="D71" s="5" t="s">
        <v>26</v>
      </c>
      <c r="E71" s="5" t="s">
        <v>26</v>
      </c>
      <c r="F71" s="5" t="s">
        <v>26</v>
      </c>
      <c r="G71" s="5" t="s">
        <v>26</v>
      </c>
      <c r="H71" s="5" t="s">
        <v>25</v>
      </c>
      <c r="I71" s="5" t="s">
        <v>27</v>
      </c>
      <c r="J71" s="5" t="s">
        <v>25</v>
      </c>
      <c r="K71" s="82" t="s">
        <v>1963</v>
      </c>
      <c r="L71" s="5" t="s">
        <v>126</v>
      </c>
      <c r="M71" s="82" t="s">
        <v>1964</v>
      </c>
      <c r="N71" s="5"/>
      <c r="O71" s="5"/>
      <c r="P71" s="5"/>
      <c r="Q71" s="5"/>
      <c r="R71" s="5"/>
      <c r="S71" s="5"/>
      <c r="T71" s="5"/>
      <c r="U71" s="5"/>
      <c r="V71" s="5"/>
      <c r="W71" s="5"/>
      <c r="X71" s="5"/>
      <c r="Y71" s="5"/>
      <c r="Z71" s="5"/>
    </row>
    <row r="72" ht="15.75" hidden="1" customHeight="1">
      <c r="A72" s="75">
        <v>45618.0</v>
      </c>
      <c r="B72" s="76">
        <f t="shared" si="2"/>
        <v>68</v>
      </c>
      <c r="C72" s="76">
        <v>61.49</v>
      </c>
      <c r="D72" s="5" t="s">
        <v>25</v>
      </c>
      <c r="E72" s="5" t="s">
        <v>25</v>
      </c>
      <c r="F72" s="5" t="s">
        <v>26</v>
      </c>
      <c r="G72" s="5" t="s">
        <v>26</v>
      </c>
      <c r="H72" s="5" t="s">
        <v>25</v>
      </c>
      <c r="I72" s="5" t="s">
        <v>27</v>
      </c>
      <c r="J72" s="5" t="s">
        <v>25</v>
      </c>
      <c r="K72" s="82" t="s">
        <v>1965</v>
      </c>
      <c r="L72" s="5" t="s">
        <v>126</v>
      </c>
      <c r="M72" s="82" t="s">
        <v>1966</v>
      </c>
      <c r="N72" s="5" t="s">
        <v>1967</v>
      </c>
      <c r="O72" s="5"/>
      <c r="P72" s="5"/>
      <c r="Q72" s="5"/>
      <c r="R72" s="5"/>
      <c r="S72" s="5"/>
      <c r="T72" s="5"/>
      <c r="U72" s="5"/>
      <c r="V72" s="5"/>
      <c r="W72" s="5"/>
      <c r="X72" s="5"/>
      <c r="Y72" s="5"/>
      <c r="Z72" s="5"/>
    </row>
    <row r="73" ht="15.75" hidden="1" customHeight="1">
      <c r="A73" s="75">
        <v>45621.0</v>
      </c>
      <c r="B73" s="76">
        <f t="shared" si="2"/>
        <v>72</v>
      </c>
      <c r="C73" s="76">
        <v>68.3</v>
      </c>
      <c r="D73" s="5" t="s">
        <v>26</v>
      </c>
      <c r="E73" s="5" t="s">
        <v>26</v>
      </c>
      <c r="F73" s="5" t="s">
        <v>26</v>
      </c>
      <c r="G73" s="5" t="s">
        <v>26</v>
      </c>
      <c r="H73" s="5" t="s">
        <v>25</v>
      </c>
      <c r="I73" s="5" t="s">
        <v>27</v>
      </c>
      <c r="J73" s="5" t="s">
        <v>25</v>
      </c>
      <c r="K73" s="82" t="s">
        <v>1968</v>
      </c>
      <c r="L73" s="5" t="s">
        <v>40</v>
      </c>
      <c r="M73" s="82" t="s">
        <v>1969</v>
      </c>
      <c r="N73" s="5"/>
      <c r="O73" s="5"/>
      <c r="P73" s="5"/>
      <c r="Q73" s="5"/>
      <c r="R73" s="5"/>
      <c r="S73" s="5"/>
      <c r="T73" s="5"/>
      <c r="U73" s="5"/>
      <c r="V73" s="5"/>
      <c r="W73" s="5"/>
      <c r="X73" s="5"/>
      <c r="Y73" s="5"/>
      <c r="Z73" s="5"/>
    </row>
    <row r="74" ht="15.75" hidden="1" customHeight="1">
      <c r="A74" s="75">
        <v>45622.0</v>
      </c>
      <c r="B74" s="76">
        <f t="shared" si="2"/>
        <v>76</v>
      </c>
      <c r="C74" s="76">
        <v>76.35</v>
      </c>
      <c r="D74" s="5" t="s">
        <v>26</v>
      </c>
      <c r="E74" s="5" t="s">
        <v>26</v>
      </c>
      <c r="F74" s="5" t="s">
        <v>26</v>
      </c>
      <c r="G74" s="5" t="s">
        <v>26</v>
      </c>
      <c r="H74" s="5" t="s">
        <v>25</v>
      </c>
      <c r="I74" s="5" t="s">
        <v>27</v>
      </c>
      <c r="J74" s="5" t="s">
        <v>25</v>
      </c>
      <c r="K74" s="82" t="s">
        <v>1970</v>
      </c>
      <c r="L74" s="5" t="s">
        <v>40</v>
      </c>
      <c r="M74" s="82" t="s">
        <v>1971</v>
      </c>
      <c r="N74" s="5" t="s">
        <v>1972</v>
      </c>
      <c r="O74" s="5"/>
      <c r="P74" s="5"/>
      <c r="Q74" s="5"/>
      <c r="R74" s="5"/>
      <c r="S74" s="5"/>
      <c r="T74" s="5"/>
      <c r="U74" s="5"/>
      <c r="V74" s="5"/>
      <c r="W74" s="5"/>
      <c r="X74" s="5"/>
      <c r="Y74" s="5"/>
      <c r="Z74" s="5"/>
    </row>
    <row r="75" ht="15.75" hidden="1" customHeight="1">
      <c r="A75" s="75">
        <v>45623.0</v>
      </c>
      <c r="B75" s="76">
        <f t="shared" si="2"/>
        <v>80</v>
      </c>
      <c r="C75" s="76">
        <v>77.42</v>
      </c>
      <c r="D75" s="5" t="s">
        <v>26</v>
      </c>
      <c r="E75" s="5" t="s">
        <v>26</v>
      </c>
      <c r="F75" s="5" t="s">
        <v>26</v>
      </c>
      <c r="G75" s="5" t="s">
        <v>26</v>
      </c>
      <c r="H75" s="5" t="s">
        <v>25</v>
      </c>
      <c r="I75" s="5" t="s">
        <v>27</v>
      </c>
      <c r="J75" s="5" t="s">
        <v>25</v>
      </c>
      <c r="K75" s="82" t="s">
        <v>1973</v>
      </c>
      <c r="L75" s="5" t="s">
        <v>126</v>
      </c>
      <c r="M75" s="5" t="s">
        <v>1974</v>
      </c>
      <c r="N75" s="5" t="s">
        <v>1975</v>
      </c>
      <c r="O75" s="5"/>
      <c r="P75" s="5"/>
      <c r="Q75" s="5"/>
      <c r="R75" s="5"/>
      <c r="S75" s="5"/>
      <c r="T75" s="5"/>
      <c r="U75" s="5"/>
      <c r="V75" s="5"/>
      <c r="W75" s="5"/>
      <c r="X75" s="5"/>
      <c r="Y75" s="5"/>
      <c r="Z75" s="5"/>
    </row>
    <row r="76" ht="15.75" hidden="1" customHeight="1">
      <c r="A76" s="75">
        <v>45624.0</v>
      </c>
      <c r="B76" s="76">
        <f t="shared" si="2"/>
        <v>84</v>
      </c>
      <c r="C76" s="76">
        <v>77.82</v>
      </c>
      <c r="D76" s="5" t="s">
        <v>25</v>
      </c>
      <c r="E76" s="5" t="s">
        <v>25</v>
      </c>
      <c r="F76" s="5" t="s">
        <v>26</v>
      </c>
      <c r="G76" s="5" t="s">
        <v>26</v>
      </c>
      <c r="H76" s="5" t="s">
        <v>25</v>
      </c>
      <c r="I76" s="5" t="s">
        <v>27</v>
      </c>
      <c r="J76" s="5" t="s">
        <v>25</v>
      </c>
      <c r="K76" s="82" t="s">
        <v>1976</v>
      </c>
      <c r="L76" s="5" t="s">
        <v>126</v>
      </c>
      <c r="M76" s="5" t="s">
        <v>1977</v>
      </c>
      <c r="N76" s="5"/>
      <c r="O76" s="5"/>
      <c r="P76" s="5"/>
      <c r="Q76" s="5"/>
      <c r="R76" s="5"/>
      <c r="S76" s="5"/>
      <c r="T76" s="5"/>
      <c r="U76" s="5"/>
      <c r="V76" s="5"/>
      <c r="W76" s="5"/>
      <c r="X76" s="5"/>
      <c r="Y76" s="5"/>
      <c r="Z76" s="5"/>
    </row>
    <row r="77" ht="15.75" hidden="1" customHeight="1">
      <c r="A77" s="75">
        <v>45625.0</v>
      </c>
      <c r="B77" s="76">
        <f t="shared" si="2"/>
        <v>88</v>
      </c>
      <c r="C77" s="76">
        <v>77.82</v>
      </c>
      <c r="D77" s="5" t="s">
        <v>25</v>
      </c>
      <c r="E77" s="5" t="s">
        <v>25</v>
      </c>
      <c r="F77" s="5" t="s">
        <v>26</v>
      </c>
      <c r="G77" s="5" t="s">
        <v>26</v>
      </c>
      <c r="H77" s="5" t="s">
        <v>25</v>
      </c>
      <c r="I77" s="5" t="s">
        <v>27</v>
      </c>
      <c r="J77" s="5" t="s">
        <v>25</v>
      </c>
      <c r="K77" s="82" t="s">
        <v>1976</v>
      </c>
      <c r="L77" s="5" t="s">
        <v>126</v>
      </c>
      <c r="M77" s="5" t="s">
        <v>1966</v>
      </c>
      <c r="N77" s="5"/>
      <c r="O77" s="5"/>
      <c r="P77" s="5"/>
      <c r="Q77" s="5"/>
      <c r="R77" s="5"/>
      <c r="S77" s="5"/>
      <c r="T77" s="5"/>
      <c r="U77" s="5"/>
      <c r="V77" s="5"/>
      <c r="W77" s="5"/>
      <c r="X77" s="5"/>
      <c r="Y77" s="5"/>
      <c r="Z77" s="5"/>
    </row>
    <row r="78" ht="15.75" hidden="1" customHeight="1">
      <c r="A78" s="75">
        <v>45628.0</v>
      </c>
      <c r="B78" s="76">
        <v>4.0</v>
      </c>
      <c r="C78" s="76">
        <v>3.82</v>
      </c>
      <c r="D78" s="5" t="s">
        <v>26</v>
      </c>
      <c r="E78" s="5" t="s">
        <v>26</v>
      </c>
      <c r="F78" s="5" t="s">
        <v>26</v>
      </c>
      <c r="G78" s="5" t="s">
        <v>26</v>
      </c>
      <c r="H78" s="5" t="s">
        <v>25</v>
      </c>
      <c r="I78" s="5" t="s">
        <v>27</v>
      </c>
      <c r="J78" s="5" t="s">
        <v>25</v>
      </c>
      <c r="K78" s="82" t="s">
        <v>1978</v>
      </c>
      <c r="L78" s="5" t="s">
        <v>40</v>
      </c>
      <c r="M78" s="82" t="s">
        <v>1979</v>
      </c>
      <c r="N78" s="5"/>
      <c r="O78" s="5"/>
      <c r="P78" s="5"/>
      <c r="Q78" s="5"/>
      <c r="R78" s="5"/>
      <c r="S78" s="5"/>
      <c r="T78" s="5"/>
      <c r="U78" s="5"/>
      <c r="V78" s="5"/>
      <c r="W78" s="5"/>
      <c r="X78" s="5"/>
      <c r="Y78" s="5"/>
      <c r="Z78" s="5"/>
    </row>
    <row r="79" ht="15.75" hidden="1" customHeight="1">
      <c r="A79" s="75">
        <v>45629.0</v>
      </c>
      <c r="B79" s="76">
        <f t="shared" ref="B79:B97" si="3">B78+4</f>
        <v>8</v>
      </c>
      <c r="C79" s="76">
        <v>7.23</v>
      </c>
      <c r="D79" s="5" t="s">
        <v>26</v>
      </c>
      <c r="E79" s="5" t="s">
        <v>26</v>
      </c>
      <c r="F79" s="5" t="s">
        <v>26</v>
      </c>
      <c r="G79" s="5" t="s">
        <v>26</v>
      </c>
      <c r="H79" s="5" t="s">
        <v>25</v>
      </c>
      <c r="I79" s="5" t="s">
        <v>27</v>
      </c>
      <c r="J79" s="5" t="s">
        <v>25</v>
      </c>
      <c r="K79" s="82" t="s">
        <v>1978</v>
      </c>
      <c r="L79" s="5" t="s">
        <v>40</v>
      </c>
      <c r="M79" s="82" t="s">
        <v>1980</v>
      </c>
      <c r="N79" s="5"/>
      <c r="O79" s="5"/>
      <c r="P79" s="5"/>
      <c r="Q79" s="5"/>
      <c r="R79" s="5"/>
      <c r="S79" s="5"/>
      <c r="T79" s="5"/>
      <c r="U79" s="5"/>
      <c r="V79" s="5"/>
      <c r="W79" s="5"/>
      <c r="X79" s="5"/>
      <c r="Y79" s="5"/>
      <c r="Z79" s="5"/>
    </row>
    <row r="80" ht="15.75" hidden="1" customHeight="1">
      <c r="A80" s="75">
        <v>45630.0</v>
      </c>
      <c r="B80" s="76">
        <f t="shared" si="3"/>
        <v>12</v>
      </c>
      <c r="C80" s="76">
        <v>10.96</v>
      </c>
      <c r="D80" s="5" t="s">
        <v>26</v>
      </c>
      <c r="E80" s="5" t="s">
        <v>26</v>
      </c>
      <c r="F80" s="5" t="s">
        <v>26</v>
      </c>
      <c r="G80" s="5" t="s">
        <v>26</v>
      </c>
      <c r="H80" s="5" t="s">
        <v>25</v>
      </c>
      <c r="I80" s="5" t="s">
        <v>27</v>
      </c>
      <c r="J80" s="5" t="s">
        <v>25</v>
      </c>
      <c r="K80" s="82" t="s">
        <v>1978</v>
      </c>
      <c r="L80" s="5" t="s">
        <v>40</v>
      </c>
      <c r="M80" s="82" t="s">
        <v>1981</v>
      </c>
      <c r="N80" s="69" t="s">
        <v>1982</v>
      </c>
      <c r="O80" s="5"/>
      <c r="P80" s="5"/>
      <c r="Q80" s="5"/>
      <c r="R80" s="5"/>
      <c r="S80" s="5"/>
      <c r="T80" s="5"/>
      <c r="U80" s="5"/>
      <c r="V80" s="5"/>
      <c r="W80" s="5"/>
      <c r="X80" s="5"/>
      <c r="Y80" s="5"/>
      <c r="Z80" s="5"/>
    </row>
    <row r="81" ht="15.75" hidden="1" customHeight="1">
      <c r="A81" s="75">
        <v>45631.0</v>
      </c>
      <c r="B81" s="76">
        <f t="shared" si="3"/>
        <v>16</v>
      </c>
      <c r="C81" s="76">
        <v>15.19</v>
      </c>
      <c r="D81" s="5" t="s">
        <v>26</v>
      </c>
      <c r="E81" s="5" t="s">
        <v>26</v>
      </c>
      <c r="F81" s="5" t="s">
        <v>26</v>
      </c>
      <c r="G81" s="5" t="s">
        <v>26</v>
      </c>
      <c r="H81" s="5" t="s">
        <v>25</v>
      </c>
      <c r="I81" s="5" t="s">
        <v>27</v>
      </c>
      <c r="J81" s="5" t="s">
        <v>25</v>
      </c>
      <c r="K81" s="82" t="s">
        <v>1983</v>
      </c>
      <c r="L81" s="5" t="s">
        <v>40</v>
      </c>
      <c r="M81" s="82" t="s">
        <v>1984</v>
      </c>
      <c r="N81" s="5"/>
      <c r="O81" s="5"/>
      <c r="P81" s="5"/>
      <c r="Q81" s="5"/>
      <c r="R81" s="5"/>
      <c r="S81" s="5"/>
      <c r="T81" s="5"/>
      <c r="U81" s="5"/>
      <c r="V81" s="5"/>
      <c r="W81" s="5"/>
      <c r="X81" s="5"/>
      <c r="Y81" s="5"/>
      <c r="Z81" s="5"/>
    </row>
    <row r="82" ht="15.75" hidden="1" customHeight="1">
      <c r="A82" s="75">
        <v>45632.0</v>
      </c>
      <c r="B82" s="76">
        <f t="shared" si="3"/>
        <v>20</v>
      </c>
      <c r="C82" s="76">
        <v>18.67</v>
      </c>
      <c r="D82" s="5" t="s">
        <v>26</v>
      </c>
      <c r="E82" s="5" t="s">
        <v>26</v>
      </c>
      <c r="F82" s="5" t="s">
        <v>26</v>
      </c>
      <c r="G82" s="5" t="s">
        <v>26</v>
      </c>
      <c r="H82" s="5" t="s">
        <v>25</v>
      </c>
      <c r="I82" s="5" t="s">
        <v>27</v>
      </c>
      <c r="J82" s="5" t="s">
        <v>25</v>
      </c>
      <c r="K82" s="82" t="s">
        <v>1985</v>
      </c>
      <c r="L82" s="5" t="s">
        <v>40</v>
      </c>
      <c r="M82" s="82" t="s">
        <v>1986</v>
      </c>
      <c r="N82" s="5"/>
      <c r="O82" s="5"/>
      <c r="P82" s="5"/>
      <c r="Q82" s="5"/>
      <c r="R82" s="5"/>
      <c r="S82" s="5"/>
      <c r="T82" s="5"/>
      <c r="U82" s="5"/>
      <c r="V82" s="5"/>
      <c r="W82" s="5"/>
      <c r="X82" s="5"/>
      <c r="Y82" s="5"/>
      <c r="Z82" s="5"/>
    </row>
    <row r="83" ht="15.75" hidden="1" customHeight="1">
      <c r="A83" s="75">
        <v>45635.0</v>
      </c>
      <c r="B83" s="76">
        <f t="shared" si="3"/>
        <v>24</v>
      </c>
      <c r="C83" s="76">
        <v>28.88</v>
      </c>
      <c r="D83" s="5" t="s">
        <v>26</v>
      </c>
      <c r="E83" s="5" t="s">
        <v>26</v>
      </c>
      <c r="F83" s="5" t="s">
        <v>26</v>
      </c>
      <c r="G83" s="5" t="s">
        <v>26</v>
      </c>
      <c r="H83" s="5" t="s">
        <v>25</v>
      </c>
      <c r="I83" s="5" t="s">
        <v>27</v>
      </c>
      <c r="J83" s="5" t="s">
        <v>25</v>
      </c>
      <c r="K83" s="82" t="s">
        <v>1987</v>
      </c>
      <c r="L83" s="5" t="s">
        <v>40</v>
      </c>
      <c r="M83" s="82" t="s">
        <v>1988</v>
      </c>
      <c r="N83" s="5"/>
      <c r="O83" s="5"/>
      <c r="P83" s="5"/>
      <c r="Q83" s="5"/>
      <c r="R83" s="5"/>
      <c r="S83" s="5"/>
      <c r="T83" s="5"/>
      <c r="U83" s="5"/>
      <c r="V83" s="5"/>
      <c r="W83" s="5"/>
      <c r="X83" s="5"/>
      <c r="Y83" s="5"/>
      <c r="Z83" s="5"/>
    </row>
    <row r="84" ht="15.75" hidden="1" customHeight="1">
      <c r="A84" s="75">
        <v>45636.0</v>
      </c>
      <c r="B84" s="76">
        <f t="shared" si="3"/>
        <v>28</v>
      </c>
      <c r="C84" s="76">
        <v>37.05</v>
      </c>
      <c r="D84" s="5" t="s">
        <v>26</v>
      </c>
      <c r="E84" s="5" t="s">
        <v>26</v>
      </c>
      <c r="F84" s="5" t="s">
        <v>26</v>
      </c>
      <c r="G84" s="5" t="s">
        <v>26</v>
      </c>
      <c r="H84" s="5" t="s">
        <v>25</v>
      </c>
      <c r="I84" s="5" t="s">
        <v>27</v>
      </c>
      <c r="J84" s="5" t="s">
        <v>25</v>
      </c>
      <c r="K84" s="82" t="s">
        <v>1989</v>
      </c>
      <c r="L84" s="5" t="s">
        <v>40</v>
      </c>
      <c r="M84" s="82" t="s">
        <v>1990</v>
      </c>
      <c r="N84" s="5"/>
      <c r="O84" s="5"/>
      <c r="P84" s="5"/>
      <c r="Q84" s="5"/>
      <c r="R84" s="5"/>
      <c r="S84" s="5"/>
      <c r="T84" s="5"/>
      <c r="U84" s="5"/>
      <c r="V84" s="5"/>
      <c r="W84" s="5"/>
      <c r="X84" s="5"/>
      <c r="Y84" s="5"/>
      <c r="Z84" s="5"/>
    </row>
    <row r="85" ht="15.75" hidden="1" customHeight="1">
      <c r="A85" s="75">
        <v>45637.0</v>
      </c>
      <c r="B85" s="76">
        <f t="shared" si="3"/>
        <v>32</v>
      </c>
      <c r="C85" s="76">
        <v>39.87</v>
      </c>
      <c r="D85" s="5" t="s">
        <v>26</v>
      </c>
      <c r="E85" s="5" t="s">
        <v>26</v>
      </c>
      <c r="F85" s="5" t="s">
        <v>26</v>
      </c>
      <c r="G85" s="5" t="s">
        <v>26</v>
      </c>
      <c r="H85" s="5" t="s">
        <v>25</v>
      </c>
      <c r="I85" s="5" t="s">
        <v>27</v>
      </c>
      <c r="J85" s="5" t="s">
        <v>25</v>
      </c>
      <c r="K85" s="82" t="s">
        <v>1991</v>
      </c>
      <c r="L85" s="5" t="s">
        <v>40</v>
      </c>
      <c r="M85" s="82" t="s">
        <v>1992</v>
      </c>
      <c r="N85" s="5" t="s">
        <v>1993</v>
      </c>
      <c r="O85" s="5"/>
      <c r="P85" s="5"/>
      <c r="Q85" s="5"/>
      <c r="R85" s="5"/>
      <c r="S85" s="5"/>
      <c r="T85" s="5"/>
      <c r="U85" s="5"/>
      <c r="V85" s="5"/>
      <c r="W85" s="5"/>
      <c r="X85" s="5"/>
      <c r="Y85" s="5"/>
      <c r="Z85" s="5"/>
    </row>
    <row r="86" ht="15.75" hidden="1" customHeight="1">
      <c r="A86" s="75">
        <v>45638.0</v>
      </c>
      <c r="B86" s="76">
        <f t="shared" si="3"/>
        <v>36</v>
      </c>
      <c r="C86" s="76">
        <v>47.03</v>
      </c>
      <c r="D86" s="5" t="s">
        <v>26</v>
      </c>
      <c r="E86" s="5" t="s">
        <v>26</v>
      </c>
      <c r="F86" s="5" t="s">
        <v>26</v>
      </c>
      <c r="G86" s="5" t="s">
        <v>26</v>
      </c>
      <c r="H86" s="5" t="s">
        <v>25</v>
      </c>
      <c r="I86" s="5" t="s">
        <v>27</v>
      </c>
      <c r="J86" s="5" t="s">
        <v>25</v>
      </c>
      <c r="K86" s="82" t="s">
        <v>1991</v>
      </c>
      <c r="L86" s="5" t="s">
        <v>40</v>
      </c>
      <c r="M86" s="82" t="s">
        <v>1994</v>
      </c>
      <c r="N86" s="5"/>
      <c r="O86" s="5"/>
      <c r="P86" s="5"/>
      <c r="Q86" s="5"/>
      <c r="R86" s="5"/>
      <c r="S86" s="5"/>
      <c r="T86" s="5"/>
      <c r="U86" s="5"/>
      <c r="V86" s="5"/>
      <c r="W86" s="5"/>
      <c r="X86" s="5"/>
      <c r="Y86" s="5"/>
      <c r="Z86" s="5"/>
    </row>
    <row r="87" ht="15.75" hidden="1" customHeight="1">
      <c r="A87" s="75">
        <v>45639.0</v>
      </c>
      <c r="B87" s="76">
        <f t="shared" si="3"/>
        <v>40</v>
      </c>
      <c r="C87" s="76">
        <v>52.52</v>
      </c>
      <c r="D87" s="5" t="s">
        <v>26</v>
      </c>
      <c r="E87" s="5" t="s">
        <v>26</v>
      </c>
      <c r="F87" s="5" t="s">
        <v>26</v>
      </c>
      <c r="G87" s="5" t="s">
        <v>26</v>
      </c>
      <c r="H87" s="5" t="s">
        <v>25</v>
      </c>
      <c r="I87" s="5" t="s">
        <v>27</v>
      </c>
      <c r="J87" s="5" t="s">
        <v>25</v>
      </c>
      <c r="K87" s="82" t="s">
        <v>1995</v>
      </c>
      <c r="L87" s="5" t="s">
        <v>40</v>
      </c>
      <c r="M87" s="82" t="s">
        <v>1996</v>
      </c>
      <c r="N87" s="5"/>
      <c r="O87" s="5"/>
      <c r="P87" s="5"/>
      <c r="Q87" s="5"/>
      <c r="R87" s="5"/>
      <c r="S87" s="5"/>
      <c r="T87" s="5"/>
      <c r="U87" s="5"/>
      <c r="V87" s="5"/>
      <c r="W87" s="5"/>
      <c r="X87" s="5"/>
      <c r="Y87" s="5"/>
      <c r="Z87" s="5"/>
    </row>
    <row r="88" ht="15.75" hidden="1" customHeight="1">
      <c r="A88" s="75">
        <v>45642.0</v>
      </c>
      <c r="B88" s="76">
        <f t="shared" si="3"/>
        <v>44</v>
      </c>
      <c r="C88" s="76">
        <v>58.5</v>
      </c>
      <c r="D88" s="5" t="s">
        <v>26</v>
      </c>
      <c r="E88" s="5" t="s">
        <v>26</v>
      </c>
      <c r="F88" s="5" t="s">
        <v>26</v>
      </c>
      <c r="G88" s="5" t="s">
        <v>26</v>
      </c>
      <c r="H88" s="5" t="s">
        <v>25</v>
      </c>
      <c r="I88" s="5" t="s">
        <v>27</v>
      </c>
      <c r="J88" s="5" t="s">
        <v>25</v>
      </c>
      <c r="K88" s="82" t="s">
        <v>1997</v>
      </c>
      <c r="L88" s="5" t="s">
        <v>40</v>
      </c>
      <c r="M88" s="82" t="s">
        <v>1998</v>
      </c>
      <c r="N88" s="5"/>
      <c r="O88" s="5"/>
      <c r="P88" s="5"/>
      <c r="Q88" s="5"/>
      <c r="R88" s="5"/>
      <c r="S88" s="5"/>
      <c r="T88" s="5"/>
      <c r="U88" s="5"/>
      <c r="V88" s="5"/>
      <c r="W88" s="5"/>
      <c r="X88" s="5"/>
      <c r="Y88" s="5"/>
      <c r="Z88" s="5"/>
    </row>
    <row r="89" ht="15.75" hidden="1" customHeight="1">
      <c r="A89" s="75">
        <v>45643.0</v>
      </c>
      <c r="B89" s="76">
        <f t="shared" si="3"/>
        <v>48</v>
      </c>
      <c r="C89" s="76">
        <v>65.16</v>
      </c>
      <c r="D89" s="5" t="s">
        <v>26</v>
      </c>
      <c r="E89" s="5" t="s">
        <v>26</v>
      </c>
      <c r="F89" s="5" t="s">
        <v>26</v>
      </c>
      <c r="G89" s="5" t="s">
        <v>26</v>
      </c>
      <c r="H89" s="5" t="s">
        <v>25</v>
      </c>
      <c r="I89" s="5" t="s">
        <v>27</v>
      </c>
      <c r="J89" s="5" t="s">
        <v>25</v>
      </c>
      <c r="K89" s="82" t="s">
        <v>1999</v>
      </c>
      <c r="L89" s="5" t="s">
        <v>40</v>
      </c>
      <c r="M89" s="82" t="s">
        <v>2000</v>
      </c>
      <c r="N89" s="5"/>
      <c r="O89" s="5"/>
      <c r="P89" s="5"/>
      <c r="Q89" s="5"/>
      <c r="R89" s="5"/>
      <c r="S89" s="5"/>
      <c r="T89" s="5"/>
      <c r="U89" s="5"/>
      <c r="V89" s="5"/>
      <c r="W89" s="5"/>
      <c r="X89" s="5"/>
      <c r="Y89" s="5"/>
      <c r="Z89" s="5"/>
    </row>
    <row r="90" ht="15.75" hidden="1" customHeight="1">
      <c r="A90" s="75">
        <v>45644.0</v>
      </c>
      <c r="B90" s="76">
        <f t="shared" si="3"/>
        <v>52</v>
      </c>
      <c r="C90" s="76">
        <v>69.47</v>
      </c>
      <c r="D90" s="5" t="s">
        <v>26</v>
      </c>
      <c r="E90" s="5" t="s">
        <v>26</v>
      </c>
      <c r="F90" s="5" t="s">
        <v>26</v>
      </c>
      <c r="G90" s="5" t="s">
        <v>26</v>
      </c>
      <c r="H90" s="5" t="s">
        <v>25</v>
      </c>
      <c r="I90" s="5" t="s">
        <v>27</v>
      </c>
      <c r="J90" s="5" t="s">
        <v>25</v>
      </c>
      <c r="K90" s="82" t="s">
        <v>2001</v>
      </c>
      <c r="L90" s="5" t="s">
        <v>40</v>
      </c>
      <c r="M90" s="82" t="s">
        <v>2002</v>
      </c>
      <c r="N90" s="5" t="s">
        <v>2003</v>
      </c>
      <c r="O90" s="5"/>
      <c r="P90" s="5"/>
      <c r="Q90" s="5"/>
      <c r="R90" s="5"/>
      <c r="S90" s="5"/>
      <c r="T90" s="5"/>
      <c r="U90" s="5"/>
      <c r="V90" s="5"/>
      <c r="W90" s="5"/>
      <c r="X90" s="5"/>
      <c r="Y90" s="5"/>
      <c r="Z90" s="5"/>
    </row>
    <row r="91" ht="15.75" hidden="1" customHeight="1">
      <c r="A91" s="75">
        <v>45645.0</v>
      </c>
      <c r="B91" s="76">
        <f t="shared" si="3"/>
        <v>56</v>
      </c>
      <c r="C91" s="76">
        <v>76.36</v>
      </c>
      <c r="D91" s="5" t="s">
        <v>26</v>
      </c>
      <c r="E91" s="5" t="s">
        <v>26</v>
      </c>
      <c r="F91" s="5" t="s">
        <v>26</v>
      </c>
      <c r="G91" s="5" t="s">
        <v>26</v>
      </c>
      <c r="H91" s="5" t="s">
        <v>25</v>
      </c>
      <c r="I91" s="5" t="s">
        <v>27</v>
      </c>
      <c r="J91" s="5" t="s">
        <v>25</v>
      </c>
      <c r="K91" s="82" t="s">
        <v>2001</v>
      </c>
      <c r="L91" s="5" t="s">
        <v>40</v>
      </c>
      <c r="M91" s="82" t="s">
        <v>2004</v>
      </c>
      <c r="N91" s="5" t="s">
        <v>1993</v>
      </c>
      <c r="O91" s="5"/>
      <c r="P91" s="5"/>
      <c r="Q91" s="5"/>
      <c r="R91" s="5"/>
      <c r="S91" s="5"/>
      <c r="T91" s="5"/>
      <c r="U91" s="5"/>
      <c r="V91" s="5"/>
      <c r="W91" s="5"/>
      <c r="X91" s="5"/>
      <c r="Y91" s="5"/>
      <c r="Z91" s="5"/>
    </row>
    <row r="92" ht="15.75" hidden="1" customHeight="1">
      <c r="A92" s="75">
        <v>45646.0</v>
      </c>
      <c r="B92" s="76">
        <f t="shared" si="3"/>
        <v>60</v>
      </c>
      <c r="C92" s="76">
        <v>76.52</v>
      </c>
      <c r="D92" s="5" t="s">
        <v>26</v>
      </c>
      <c r="E92" s="5" t="s">
        <v>26</v>
      </c>
      <c r="F92" s="5" t="s">
        <v>26</v>
      </c>
      <c r="G92" s="5" t="s">
        <v>26</v>
      </c>
      <c r="H92" s="5" t="s">
        <v>25</v>
      </c>
      <c r="I92" s="5" t="s">
        <v>27</v>
      </c>
      <c r="J92" s="5" t="s">
        <v>25</v>
      </c>
      <c r="K92" s="82" t="s">
        <v>2005</v>
      </c>
      <c r="L92" s="5" t="s">
        <v>40</v>
      </c>
      <c r="M92" s="82" t="s">
        <v>2006</v>
      </c>
      <c r="N92" s="5"/>
      <c r="O92" s="5"/>
      <c r="P92" s="5"/>
      <c r="Q92" s="5"/>
      <c r="R92" s="5"/>
      <c r="S92" s="5"/>
      <c r="T92" s="5"/>
      <c r="U92" s="5"/>
      <c r="V92" s="5"/>
      <c r="W92" s="5"/>
      <c r="X92" s="5"/>
      <c r="Y92" s="5"/>
      <c r="Z92" s="5"/>
    </row>
    <row r="93" ht="15.75" hidden="1" customHeight="1">
      <c r="A93" s="75">
        <v>45649.0</v>
      </c>
      <c r="B93" s="76">
        <f t="shared" si="3"/>
        <v>64</v>
      </c>
      <c r="C93" s="76">
        <f>86.2-19.5</f>
        <v>66.7</v>
      </c>
      <c r="D93" s="5" t="s">
        <v>26</v>
      </c>
      <c r="E93" s="5" t="s">
        <v>26</v>
      </c>
      <c r="F93" s="5" t="s">
        <v>26</v>
      </c>
      <c r="G93" s="5" t="s">
        <v>26</v>
      </c>
      <c r="H93" s="5" t="s">
        <v>25</v>
      </c>
      <c r="I93" s="5" t="s">
        <v>27</v>
      </c>
      <c r="J93" s="5" t="s">
        <v>25</v>
      </c>
      <c r="K93" s="82" t="s">
        <v>2007</v>
      </c>
      <c r="L93" s="5" t="s">
        <v>40</v>
      </c>
      <c r="M93" s="82" t="s">
        <v>2008</v>
      </c>
      <c r="N93" s="5"/>
      <c r="O93" s="5"/>
      <c r="P93" s="5"/>
      <c r="Q93" s="5"/>
      <c r="R93" s="5"/>
      <c r="S93" s="5"/>
      <c r="T93" s="5"/>
      <c r="U93" s="5"/>
      <c r="V93" s="5"/>
      <c r="W93" s="5"/>
      <c r="X93" s="5"/>
      <c r="Y93" s="5"/>
      <c r="Z93" s="5"/>
    </row>
    <row r="94" ht="15.75" hidden="1" customHeight="1">
      <c r="A94" s="75">
        <v>45650.0</v>
      </c>
      <c r="B94" s="76">
        <f t="shared" si="3"/>
        <v>68</v>
      </c>
      <c r="C94" s="76">
        <f t="shared" ref="C94:C95" si="4">92.16-19.5</f>
        <v>72.66</v>
      </c>
      <c r="D94" s="5" t="s">
        <v>26</v>
      </c>
      <c r="E94" s="5" t="s">
        <v>26</v>
      </c>
      <c r="F94" s="5" t="s">
        <v>26</v>
      </c>
      <c r="G94" s="5" t="s">
        <v>26</v>
      </c>
      <c r="H94" s="5" t="s">
        <v>25</v>
      </c>
      <c r="I94" s="5" t="s">
        <v>27</v>
      </c>
      <c r="J94" s="5" t="s">
        <v>25</v>
      </c>
      <c r="K94" s="82" t="s">
        <v>2009</v>
      </c>
      <c r="L94" s="5" t="s">
        <v>40</v>
      </c>
      <c r="M94" s="82" t="s">
        <v>2010</v>
      </c>
      <c r="N94" s="5"/>
      <c r="O94" s="5"/>
      <c r="P94" s="5"/>
      <c r="Q94" s="5"/>
      <c r="R94" s="5"/>
      <c r="S94" s="5"/>
      <c r="T94" s="5"/>
      <c r="U94" s="5"/>
      <c r="V94" s="5"/>
      <c r="W94" s="5"/>
      <c r="X94" s="5"/>
      <c r="Y94" s="5"/>
      <c r="Z94" s="5"/>
    </row>
    <row r="95" ht="15.75" hidden="1" customHeight="1">
      <c r="A95" s="75">
        <v>45652.0</v>
      </c>
      <c r="B95" s="76">
        <f t="shared" si="3"/>
        <v>72</v>
      </c>
      <c r="C95" s="76">
        <f t="shared" si="4"/>
        <v>72.66</v>
      </c>
      <c r="D95" s="5" t="s">
        <v>26</v>
      </c>
      <c r="E95" s="5" t="s">
        <v>26</v>
      </c>
      <c r="F95" s="5" t="s">
        <v>26</v>
      </c>
      <c r="G95" s="5" t="s">
        <v>26</v>
      </c>
      <c r="H95" s="5" t="s">
        <v>25</v>
      </c>
      <c r="I95" s="5" t="s">
        <v>27</v>
      </c>
      <c r="J95" s="5" t="s">
        <v>25</v>
      </c>
      <c r="K95" s="82" t="s">
        <v>2011</v>
      </c>
      <c r="L95" s="5" t="s">
        <v>40</v>
      </c>
      <c r="M95" s="82" t="s">
        <v>2012</v>
      </c>
      <c r="N95" s="5"/>
      <c r="O95" s="5"/>
      <c r="P95" s="5"/>
      <c r="Q95" s="5"/>
      <c r="R95" s="5"/>
      <c r="S95" s="5"/>
      <c r="T95" s="5"/>
      <c r="U95" s="5"/>
      <c r="V95" s="5"/>
      <c r="W95" s="5"/>
      <c r="X95" s="5"/>
      <c r="Y95" s="5"/>
      <c r="Z95" s="5"/>
    </row>
    <row r="96" ht="15.75" hidden="1" customHeight="1">
      <c r="A96" s="75">
        <v>45653.0</v>
      </c>
      <c r="B96" s="76">
        <f t="shared" si="3"/>
        <v>76</v>
      </c>
      <c r="C96" s="76">
        <f>95.14-19.5</f>
        <v>75.64</v>
      </c>
      <c r="D96" s="5" t="s">
        <v>26</v>
      </c>
      <c r="E96" s="5" t="s">
        <v>26</v>
      </c>
      <c r="F96" s="5" t="s">
        <v>26</v>
      </c>
      <c r="G96" s="5" t="s">
        <v>26</v>
      </c>
      <c r="H96" s="5" t="s">
        <v>25</v>
      </c>
      <c r="I96" s="5" t="s">
        <v>27</v>
      </c>
      <c r="J96" s="5" t="s">
        <v>25</v>
      </c>
      <c r="K96" s="82" t="s">
        <v>2013</v>
      </c>
      <c r="L96" s="5" t="s">
        <v>40</v>
      </c>
      <c r="M96" s="82" t="s">
        <v>2014</v>
      </c>
      <c r="N96" s="69" t="s">
        <v>2015</v>
      </c>
      <c r="O96" s="5"/>
      <c r="P96" s="5"/>
      <c r="Q96" s="5"/>
      <c r="R96" s="5"/>
      <c r="S96" s="5"/>
      <c r="T96" s="5"/>
      <c r="U96" s="5"/>
      <c r="V96" s="5"/>
      <c r="W96" s="5"/>
      <c r="X96" s="5"/>
      <c r="Y96" s="5"/>
      <c r="Z96" s="5"/>
    </row>
    <row r="97" ht="15.75" hidden="1" customHeight="1">
      <c r="A97" s="75">
        <v>38351.0</v>
      </c>
      <c r="B97" s="76">
        <f t="shared" si="3"/>
        <v>80</v>
      </c>
      <c r="C97" s="76">
        <f>98.28-19.5</f>
        <v>78.78</v>
      </c>
      <c r="D97" s="5" t="s">
        <v>26</v>
      </c>
      <c r="E97" s="5" t="s">
        <v>26</v>
      </c>
      <c r="F97" s="5" t="s">
        <v>26</v>
      </c>
      <c r="G97" s="5" t="s">
        <v>26</v>
      </c>
      <c r="H97" s="5" t="s">
        <v>25</v>
      </c>
      <c r="I97" s="5" t="s">
        <v>27</v>
      </c>
      <c r="J97" s="5" t="s">
        <v>25</v>
      </c>
      <c r="K97" s="82" t="s">
        <v>2016</v>
      </c>
      <c r="L97" s="5" t="s">
        <v>26</v>
      </c>
      <c r="M97" s="82" t="s">
        <v>2017</v>
      </c>
      <c r="N97" s="5"/>
      <c r="O97" s="5"/>
      <c r="P97" s="5"/>
      <c r="Q97" s="5"/>
      <c r="R97" s="5"/>
      <c r="S97" s="5"/>
      <c r="T97" s="5"/>
      <c r="U97" s="5"/>
      <c r="V97" s="5"/>
      <c r="W97" s="5"/>
      <c r="X97" s="5"/>
      <c r="Y97" s="5"/>
      <c r="Z97" s="5"/>
    </row>
    <row r="98" ht="15.75" hidden="1" customHeight="1">
      <c r="A98" s="75">
        <v>45657.0</v>
      </c>
      <c r="B98" s="76">
        <v>84.0</v>
      </c>
      <c r="C98" s="76">
        <f>99.51-19.5</f>
        <v>80.01</v>
      </c>
      <c r="D98" s="5" t="s">
        <v>26</v>
      </c>
      <c r="E98" s="5" t="s">
        <v>26</v>
      </c>
      <c r="F98" s="5" t="s">
        <v>26</v>
      </c>
      <c r="G98" s="5" t="s">
        <v>26</v>
      </c>
      <c r="H98" s="5" t="s">
        <v>25</v>
      </c>
      <c r="I98" s="5" t="s">
        <v>27</v>
      </c>
      <c r="J98" s="5" t="s">
        <v>25</v>
      </c>
      <c r="K98" s="82" t="s">
        <v>2018</v>
      </c>
      <c r="L98" s="5" t="s">
        <v>26</v>
      </c>
      <c r="M98" s="82" t="s">
        <v>2019</v>
      </c>
      <c r="N98" s="69" t="s">
        <v>2020</v>
      </c>
      <c r="O98" s="5"/>
      <c r="P98" s="5"/>
      <c r="Q98" s="5"/>
      <c r="R98" s="5"/>
      <c r="S98" s="5"/>
      <c r="T98" s="5"/>
      <c r="U98" s="5"/>
      <c r="V98" s="5"/>
      <c r="W98" s="5"/>
      <c r="X98" s="5"/>
      <c r="Y98" s="5"/>
      <c r="Z98" s="5"/>
    </row>
    <row r="99" ht="15.75" hidden="1" customHeight="1">
      <c r="A99" s="75">
        <v>45659.0</v>
      </c>
      <c r="B99" s="76">
        <v>4.0</v>
      </c>
      <c r="C99" s="76">
        <f>8.57-3.25</f>
        <v>5.32</v>
      </c>
      <c r="D99" s="5" t="s">
        <v>26</v>
      </c>
      <c r="E99" s="5" t="s">
        <v>26</v>
      </c>
      <c r="F99" s="5" t="s">
        <v>26</v>
      </c>
      <c r="G99" s="5" t="s">
        <v>26</v>
      </c>
      <c r="H99" s="5" t="s">
        <v>25</v>
      </c>
      <c r="I99" s="5" t="s">
        <v>27</v>
      </c>
      <c r="J99" s="5" t="s">
        <v>25</v>
      </c>
      <c r="K99" s="82" t="s">
        <v>2021</v>
      </c>
      <c r="L99" s="5" t="s">
        <v>40</v>
      </c>
      <c r="M99" s="82" t="s">
        <v>2022</v>
      </c>
      <c r="N99" s="5"/>
      <c r="O99" s="5"/>
      <c r="P99" s="5"/>
      <c r="Q99" s="5"/>
      <c r="R99" s="5"/>
      <c r="S99" s="5"/>
      <c r="T99" s="5"/>
      <c r="U99" s="5"/>
      <c r="V99" s="5"/>
      <c r="W99" s="5"/>
      <c r="X99" s="5"/>
      <c r="Y99" s="5"/>
      <c r="Z99" s="5"/>
    </row>
    <row r="100" ht="15.75" hidden="1" customHeight="1">
      <c r="A100" s="75">
        <v>45660.0</v>
      </c>
      <c r="B100" s="76">
        <f t="shared" ref="B100:B121" si="5">B99+4</f>
        <v>8</v>
      </c>
      <c r="C100" s="76">
        <f>11.39-3.25</f>
        <v>8.14</v>
      </c>
      <c r="D100" s="5" t="s">
        <v>26</v>
      </c>
      <c r="E100" s="5" t="s">
        <v>26</v>
      </c>
      <c r="F100" s="5" t="s">
        <v>26</v>
      </c>
      <c r="G100" s="5" t="s">
        <v>26</v>
      </c>
      <c r="H100" s="5" t="s">
        <v>25</v>
      </c>
      <c r="I100" s="5" t="s">
        <v>27</v>
      </c>
      <c r="J100" s="5" t="s">
        <v>25</v>
      </c>
      <c r="K100" s="82" t="s">
        <v>2023</v>
      </c>
      <c r="L100" s="5" t="s">
        <v>126</v>
      </c>
      <c r="M100" s="82" t="s">
        <v>2024</v>
      </c>
      <c r="N100" s="5"/>
      <c r="O100" s="5"/>
      <c r="P100" s="5"/>
      <c r="Q100" s="5"/>
      <c r="R100" s="5"/>
      <c r="S100" s="5"/>
      <c r="T100" s="5"/>
      <c r="U100" s="5"/>
      <c r="V100" s="5"/>
      <c r="W100" s="5"/>
      <c r="X100" s="5"/>
      <c r="Y100" s="5"/>
      <c r="Z100" s="5"/>
    </row>
    <row r="101" ht="15.75" hidden="1" customHeight="1">
      <c r="A101" s="75">
        <v>45663.0</v>
      </c>
      <c r="B101" s="76">
        <f t="shared" si="5"/>
        <v>12</v>
      </c>
      <c r="C101" s="76">
        <f>13.45-3.25</f>
        <v>10.2</v>
      </c>
      <c r="D101" s="5" t="s">
        <v>26</v>
      </c>
      <c r="E101" s="5" t="s">
        <v>26</v>
      </c>
      <c r="F101" s="5" t="s">
        <v>26</v>
      </c>
      <c r="G101" s="5" t="s">
        <v>26</v>
      </c>
      <c r="H101" s="5" t="s">
        <v>25</v>
      </c>
      <c r="I101" s="5" t="s">
        <v>27</v>
      </c>
      <c r="J101" s="5" t="s">
        <v>25</v>
      </c>
      <c r="K101" s="82" t="s">
        <v>2025</v>
      </c>
      <c r="L101" s="5" t="s">
        <v>126</v>
      </c>
      <c r="M101" s="82" t="s">
        <v>2026</v>
      </c>
      <c r="N101" s="5"/>
      <c r="O101" s="5"/>
      <c r="P101" s="5"/>
      <c r="Q101" s="5"/>
      <c r="R101" s="5"/>
      <c r="S101" s="5"/>
      <c r="T101" s="5"/>
      <c r="U101" s="5"/>
      <c r="V101" s="5"/>
      <c r="W101" s="5"/>
      <c r="X101" s="5"/>
      <c r="Y101" s="5"/>
      <c r="Z101" s="5"/>
    </row>
    <row r="102" ht="15.75" hidden="1" customHeight="1">
      <c r="A102" s="75">
        <v>45664.0</v>
      </c>
      <c r="B102" s="76">
        <f t="shared" si="5"/>
        <v>16</v>
      </c>
      <c r="C102" s="76">
        <f>19-3.25</f>
        <v>15.75</v>
      </c>
      <c r="D102" s="5" t="s">
        <v>26</v>
      </c>
      <c r="E102" s="5" t="s">
        <v>26</v>
      </c>
      <c r="F102" s="5" t="s">
        <v>26</v>
      </c>
      <c r="G102" s="5" t="s">
        <v>26</v>
      </c>
      <c r="H102" s="5" t="s">
        <v>25</v>
      </c>
      <c r="I102" s="5" t="s">
        <v>27</v>
      </c>
      <c r="J102" s="5" t="s">
        <v>25</v>
      </c>
      <c r="K102" s="82" t="s">
        <v>2027</v>
      </c>
      <c r="L102" s="5" t="s">
        <v>126</v>
      </c>
      <c r="M102" s="82" t="s">
        <v>2028</v>
      </c>
      <c r="N102" s="5"/>
      <c r="O102" s="5"/>
      <c r="P102" s="5"/>
      <c r="Q102" s="5"/>
      <c r="R102" s="5"/>
      <c r="S102" s="5"/>
      <c r="T102" s="5"/>
      <c r="U102" s="5"/>
      <c r="V102" s="5"/>
      <c r="W102" s="5"/>
      <c r="X102" s="5"/>
      <c r="Y102" s="5"/>
      <c r="Z102" s="5"/>
    </row>
    <row r="103" ht="15.75" hidden="1" customHeight="1">
      <c r="A103" s="75">
        <v>45665.0</v>
      </c>
      <c r="B103" s="76">
        <f t="shared" si="5"/>
        <v>20</v>
      </c>
      <c r="C103" s="76">
        <f>36.71-11.25</f>
        <v>25.46</v>
      </c>
      <c r="D103" s="5" t="s">
        <v>26</v>
      </c>
      <c r="E103" s="5" t="s">
        <v>26</v>
      </c>
      <c r="F103" s="5" t="s">
        <v>26</v>
      </c>
      <c r="G103" s="5" t="s">
        <v>26</v>
      </c>
      <c r="H103" s="5" t="s">
        <v>25</v>
      </c>
      <c r="I103" s="5" t="s">
        <v>27</v>
      </c>
      <c r="J103" s="5" t="s">
        <v>25</v>
      </c>
      <c r="K103" s="82" t="s">
        <v>2029</v>
      </c>
      <c r="L103" s="5" t="s">
        <v>126</v>
      </c>
      <c r="M103" s="82" t="s">
        <v>2030</v>
      </c>
      <c r="N103" s="84" t="s">
        <v>2031</v>
      </c>
      <c r="O103" s="5"/>
      <c r="P103" s="5"/>
      <c r="Q103" s="5"/>
      <c r="R103" s="5"/>
      <c r="S103" s="5"/>
      <c r="T103" s="5"/>
      <c r="U103" s="5"/>
      <c r="V103" s="5"/>
      <c r="W103" s="5"/>
      <c r="X103" s="5"/>
      <c r="Y103" s="5"/>
      <c r="Z103" s="5"/>
    </row>
    <row r="104" ht="15.75" hidden="1" customHeight="1">
      <c r="A104" s="75">
        <v>45666.0</v>
      </c>
      <c r="B104" s="76">
        <f t="shared" si="5"/>
        <v>24</v>
      </c>
      <c r="C104" s="76">
        <f>34.29-11.25</f>
        <v>23.04</v>
      </c>
      <c r="D104" s="5" t="s">
        <v>26</v>
      </c>
      <c r="E104" s="5" t="s">
        <v>26</v>
      </c>
      <c r="F104" s="5" t="s">
        <v>26</v>
      </c>
      <c r="G104" s="5" t="s">
        <v>26</v>
      </c>
      <c r="H104" s="5" t="s">
        <v>25</v>
      </c>
      <c r="I104" s="5" t="s">
        <v>27</v>
      </c>
      <c r="J104" s="5" t="s">
        <v>25</v>
      </c>
      <c r="K104" s="82" t="s">
        <v>2032</v>
      </c>
      <c r="L104" s="5" t="s">
        <v>40</v>
      </c>
      <c r="M104" s="82" t="s">
        <v>2033</v>
      </c>
      <c r="N104" s="85" t="s">
        <v>2034</v>
      </c>
      <c r="O104" s="5"/>
      <c r="P104" s="5"/>
      <c r="Q104" s="5"/>
      <c r="R104" s="5"/>
      <c r="S104" s="5"/>
      <c r="T104" s="5"/>
      <c r="U104" s="5"/>
      <c r="V104" s="5"/>
      <c r="W104" s="5"/>
      <c r="X104" s="5"/>
      <c r="Y104" s="5"/>
      <c r="Z104" s="5"/>
    </row>
    <row r="105" ht="15.75" hidden="1" customHeight="1">
      <c r="A105" s="75">
        <v>45667.0</v>
      </c>
      <c r="B105" s="76">
        <f t="shared" si="5"/>
        <v>28</v>
      </c>
      <c r="C105" s="76">
        <f>35.94-11.25</f>
        <v>24.69</v>
      </c>
      <c r="D105" s="5" t="s">
        <v>26</v>
      </c>
      <c r="E105" s="5" t="s">
        <v>26</v>
      </c>
      <c r="F105" s="5" t="s">
        <v>26</v>
      </c>
      <c r="G105" s="5" t="s">
        <v>26</v>
      </c>
      <c r="H105" s="5" t="s">
        <v>25</v>
      </c>
      <c r="I105" s="5" t="s">
        <v>27</v>
      </c>
      <c r="J105" s="5" t="s">
        <v>25</v>
      </c>
      <c r="K105" s="82" t="s">
        <v>2035</v>
      </c>
      <c r="L105" s="5" t="s">
        <v>40</v>
      </c>
      <c r="M105" s="82" t="s">
        <v>2036</v>
      </c>
      <c r="N105" s="5"/>
      <c r="O105" s="5"/>
      <c r="P105" s="5"/>
      <c r="Q105" s="5"/>
      <c r="R105" s="5"/>
      <c r="S105" s="5"/>
      <c r="T105" s="5"/>
      <c r="U105" s="5"/>
      <c r="V105" s="5"/>
      <c r="W105" s="5"/>
      <c r="X105" s="5"/>
      <c r="Y105" s="5"/>
      <c r="Z105" s="5"/>
    </row>
    <row r="106" ht="15.75" hidden="1" customHeight="1">
      <c r="A106" s="75">
        <v>45670.0</v>
      </c>
      <c r="B106" s="76">
        <f t="shared" si="5"/>
        <v>32</v>
      </c>
      <c r="C106" s="76">
        <f>40.48-11.25</f>
        <v>29.23</v>
      </c>
      <c r="D106" s="5" t="s">
        <v>26</v>
      </c>
      <c r="E106" s="5" t="s">
        <v>26</v>
      </c>
      <c r="F106" s="5" t="s">
        <v>26</v>
      </c>
      <c r="G106" s="5" t="s">
        <v>26</v>
      </c>
      <c r="H106" s="5" t="s">
        <v>25</v>
      </c>
      <c r="I106" s="5" t="s">
        <v>27</v>
      </c>
      <c r="J106" s="5" t="s">
        <v>25</v>
      </c>
      <c r="K106" s="82" t="s">
        <v>2037</v>
      </c>
      <c r="L106" s="5" t="s">
        <v>40</v>
      </c>
      <c r="M106" s="82" t="s">
        <v>2038</v>
      </c>
      <c r="N106" s="69" t="s">
        <v>2039</v>
      </c>
      <c r="O106" s="69" t="s">
        <v>2040</v>
      </c>
      <c r="P106" s="5"/>
      <c r="Q106" s="5"/>
      <c r="R106" s="5"/>
      <c r="S106" s="5"/>
      <c r="T106" s="5"/>
      <c r="U106" s="5"/>
      <c r="V106" s="5"/>
      <c r="W106" s="5"/>
      <c r="X106" s="5"/>
      <c r="Y106" s="5"/>
      <c r="Z106" s="5"/>
    </row>
    <row r="107" ht="15.75" hidden="1" customHeight="1">
      <c r="A107" s="75">
        <v>45672.0</v>
      </c>
      <c r="B107" s="76">
        <f t="shared" si="5"/>
        <v>36</v>
      </c>
      <c r="C107" s="76">
        <f>46.21-15</f>
        <v>31.21</v>
      </c>
      <c r="D107" s="5" t="s">
        <v>26</v>
      </c>
      <c r="E107" s="5" t="s">
        <v>26</v>
      </c>
      <c r="F107" s="5" t="s">
        <v>26</v>
      </c>
      <c r="G107" s="5" t="s">
        <v>26</v>
      </c>
      <c r="H107" s="5" t="s">
        <v>25</v>
      </c>
      <c r="I107" s="5" t="s">
        <v>27</v>
      </c>
      <c r="J107" s="5" t="s">
        <v>25</v>
      </c>
      <c r="K107" s="82" t="s">
        <v>2041</v>
      </c>
      <c r="L107" s="5" t="s">
        <v>40</v>
      </c>
      <c r="M107" s="82" t="s">
        <v>2042</v>
      </c>
      <c r="N107" s="69" t="s">
        <v>2043</v>
      </c>
      <c r="O107" s="69" t="s">
        <v>2040</v>
      </c>
      <c r="P107" s="5"/>
      <c r="Q107" s="5"/>
      <c r="R107" s="5"/>
      <c r="S107" s="5"/>
      <c r="T107" s="5"/>
      <c r="U107" s="5"/>
      <c r="V107" s="5"/>
      <c r="W107" s="5"/>
      <c r="X107" s="5"/>
      <c r="Y107" s="5"/>
      <c r="Z107" s="5"/>
    </row>
    <row r="108" ht="15.75" hidden="1" customHeight="1">
      <c r="A108" s="75">
        <v>45673.0</v>
      </c>
      <c r="B108" s="76">
        <f t="shared" si="5"/>
        <v>40</v>
      </c>
      <c r="C108" s="76">
        <f>49.76-15</f>
        <v>34.76</v>
      </c>
      <c r="D108" s="5" t="s">
        <v>26</v>
      </c>
      <c r="E108" s="5" t="s">
        <v>26</v>
      </c>
      <c r="F108" s="5" t="s">
        <v>26</v>
      </c>
      <c r="G108" s="5" t="s">
        <v>26</v>
      </c>
      <c r="H108" s="5" t="s">
        <v>25</v>
      </c>
      <c r="I108" s="5" t="s">
        <v>27</v>
      </c>
      <c r="J108" s="5" t="s">
        <v>25</v>
      </c>
      <c r="K108" s="82" t="s">
        <v>2044</v>
      </c>
      <c r="L108" s="5" t="s">
        <v>40</v>
      </c>
      <c r="M108" s="82" t="s">
        <v>2045</v>
      </c>
      <c r="N108" s="5"/>
      <c r="O108" s="69" t="s">
        <v>2040</v>
      </c>
      <c r="P108" s="5"/>
      <c r="Q108" s="5"/>
      <c r="R108" s="5"/>
      <c r="S108" s="5"/>
      <c r="T108" s="5"/>
      <c r="U108" s="5"/>
      <c r="V108" s="5"/>
      <c r="W108" s="5"/>
      <c r="X108" s="5"/>
      <c r="Y108" s="5"/>
      <c r="Z108" s="5"/>
    </row>
    <row r="109" ht="15.75" hidden="1" customHeight="1">
      <c r="A109" s="75">
        <v>45674.0</v>
      </c>
      <c r="B109" s="76">
        <f t="shared" si="5"/>
        <v>44</v>
      </c>
      <c r="C109" s="76">
        <f>55.19-15</f>
        <v>40.19</v>
      </c>
      <c r="D109" s="5" t="s">
        <v>26</v>
      </c>
      <c r="E109" s="5" t="s">
        <v>26</v>
      </c>
      <c r="F109" s="5" t="s">
        <v>26</v>
      </c>
      <c r="G109" s="5" t="s">
        <v>26</v>
      </c>
      <c r="H109" s="5" t="s">
        <v>25</v>
      </c>
      <c r="I109" s="5" t="s">
        <v>27</v>
      </c>
      <c r="J109" s="5" t="s">
        <v>25</v>
      </c>
      <c r="K109" s="82" t="s">
        <v>2046</v>
      </c>
      <c r="L109" s="5" t="s">
        <v>40</v>
      </c>
      <c r="M109" s="82" t="s">
        <v>2047</v>
      </c>
      <c r="N109" s="5"/>
      <c r="O109" s="5"/>
      <c r="P109" s="5"/>
      <c r="Q109" s="5"/>
      <c r="R109" s="5"/>
      <c r="S109" s="5"/>
      <c r="T109" s="5"/>
      <c r="U109" s="5"/>
      <c r="V109" s="5"/>
      <c r="W109" s="5"/>
      <c r="X109" s="5"/>
      <c r="Y109" s="5"/>
      <c r="Z109" s="5"/>
    </row>
    <row r="110" ht="15.75" hidden="1" customHeight="1">
      <c r="A110" s="75">
        <v>45675.0</v>
      </c>
      <c r="B110" s="76">
        <f t="shared" si="5"/>
        <v>48</v>
      </c>
      <c r="C110" s="76">
        <v>44.99</v>
      </c>
      <c r="D110" s="5" t="s">
        <v>26</v>
      </c>
      <c r="E110" s="5" t="s">
        <v>26</v>
      </c>
      <c r="F110" s="5" t="s">
        <v>26</v>
      </c>
      <c r="G110" s="5" t="s">
        <v>26</v>
      </c>
      <c r="H110" s="5" t="s">
        <v>25</v>
      </c>
      <c r="I110" s="5" t="s">
        <v>27</v>
      </c>
      <c r="J110" s="5" t="s">
        <v>25</v>
      </c>
      <c r="K110" s="82" t="s">
        <v>2048</v>
      </c>
      <c r="L110" s="5" t="s">
        <v>40</v>
      </c>
      <c r="M110" s="82" t="s">
        <v>2049</v>
      </c>
      <c r="N110" s="5"/>
      <c r="O110" s="5"/>
      <c r="P110" s="5"/>
      <c r="Q110" s="5"/>
      <c r="R110" s="5"/>
      <c r="S110" s="5"/>
      <c r="T110" s="5"/>
      <c r="U110" s="5"/>
      <c r="V110" s="5"/>
      <c r="W110" s="5"/>
      <c r="X110" s="5"/>
      <c r="Y110" s="5"/>
      <c r="Z110" s="5"/>
    </row>
    <row r="111" ht="15.75" hidden="1" customHeight="1">
      <c r="A111" s="75">
        <v>45677.0</v>
      </c>
      <c r="B111" s="76">
        <f t="shared" si="5"/>
        <v>52</v>
      </c>
      <c r="C111" s="76">
        <v>48.39</v>
      </c>
      <c r="D111" s="5" t="s">
        <v>26</v>
      </c>
      <c r="E111" s="5" t="s">
        <v>26</v>
      </c>
      <c r="F111" s="5" t="s">
        <v>26</v>
      </c>
      <c r="G111" s="5" t="s">
        <v>26</v>
      </c>
      <c r="H111" s="5" t="s">
        <v>25</v>
      </c>
      <c r="I111" s="5" t="s">
        <v>27</v>
      </c>
      <c r="J111" s="5" t="s">
        <v>25</v>
      </c>
      <c r="K111" s="82" t="s">
        <v>2050</v>
      </c>
      <c r="L111" s="5" t="s">
        <v>40</v>
      </c>
      <c r="M111" s="82" t="s">
        <v>2051</v>
      </c>
      <c r="N111" s="5" t="s">
        <v>2052</v>
      </c>
      <c r="O111" s="5"/>
      <c r="P111" s="5"/>
      <c r="Q111" s="5"/>
      <c r="R111" s="5"/>
      <c r="S111" s="5"/>
      <c r="T111" s="5"/>
      <c r="U111" s="5"/>
      <c r="V111" s="5"/>
      <c r="W111" s="5"/>
      <c r="X111" s="5"/>
      <c r="Y111" s="5"/>
      <c r="Z111" s="5"/>
    </row>
    <row r="112" ht="15.75" hidden="1" customHeight="1">
      <c r="A112" s="75">
        <v>45678.0</v>
      </c>
      <c r="B112" s="76">
        <f t="shared" si="5"/>
        <v>56</v>
      </c>
      <c r="C112" s="76">
        <f>67.95-15</f>
        <v>52.95</v>
      </c>
      <c r="D112" s="5" t="s">
        <v>26</v>
      </c>
      <c r="E112" s="5" t="s">
        <v>26</v>
      </c>
      <c r="F112" s="5" t="s">
        <v>26</v>
      </c>
      <c r="G112" s="5" t="s">
        <v>26</v>
      </c>
      <c r="H112" s="5" t="s">
        <v>25</v>
      </c>
      <c r="I112" s="5" t="s">
        <v>27</v>
      </c>
      <c r="J112" s="5" t="s">
        <v>25</v>
      </c>
      <c r="K112" s="82" t="s">
        <v>2053</v>
      </c>
      <c r="L112" s="5" t="s">
        <v>40</v>
      </c>
      <c r="M112" s="82" t="s">
        <v>2054</v>
      </c>
      <c r="N112" s="5" t="s">
        <v>2055</v>
      </c>
      <c r="O112" s="5"/>
      <c r="P112" s="5"/>
      <c r="Q112" s="5"/>
      <c r="R112" s="5"/>
      <c r="S112" s="5"/>
      <c r="T112" s="5"/>
      <c r="U112" s="5"/>
      <c r="V112" s="5"/>
      <c r="W112" s="5"/>
      <c r="X112" s="5"/>
      <c r="Y112" s="5"/>
      <c r="Z112" s="5"/>
    </row>
    <row r="113" ht="15.75" hidden="1" customHeight="1">
      <c r="A113" s="75">
        <v>45679.0</v>
      </c>
      <c r="B113" s="76">
        <f t="shared" si="5"/>
        <v>60</v>
      </c>
      <c r="C113" s="76">
        <f>70.43-15</f>
        <v>55.43</v>
      </c>
      <c r="D113" s="5" t="s">
        <v>26</v>
      </c>
      <c r="E113" s="5" t="s">
        <v>26</v>
      </c>
      <c r="F113" s="5" t="s">
        <v>26</v>
      </c>
      <c r="G113" s="5" t="s">
        <v>26</v>
      </c>
      <c r="H113" s="5" t="s">
        <v>25</v>
      </c>
      <c r="I113" s="5" t="s">
        <v>27</v>
      </c>
      <c r="J113" s="5" t="s">
        <v>25</v>
      </c>
      <c r="K113" s="82" t="s">
        <v>2056</v>
      </c>
      <c r="L113" s="5" t="s">
        <v>40</v>
      </c>
      <c r="M113" s="82" t="s">
        <v>2057</v>
      </c>
      <c r="N113" s="5" t="s">
        <v>2058</v>
      </c>
      <c r="O113" s="5"/>
      <c r="P113" s="5"/>
      <c r="Q113" s="5"/>
      <c r="R113" s="5"/>
      <c r="S113" s="5"/>
      <c r="T113" s="5"/>
      <c r="U113" s="5"/>
      <c r="V113" s="5"/>
      <c r="W113" s="5"/>
      <c r="X113" s="5"/>
      <c r="Y113" s="5"/>
      <c r="Z113" s="5"/>
    </row>
    <row r="114" ht="15.75" hidden="1" customHeight="1">
      <c r="A114" s="75">
        <v>45680.0</v>
      </c>
      <c r="B114" s="76">
        <f t="shared" si="5"/>
        <v>64</v>
      </c>
      <c r="C114" s="76">
        <v>59.49</v>
      </c>
      <c r="D114" s="5" t="s">
        <v>26</v>
      </c>
      <c r="E114" s="5" t="s">
        <v>26</v>
      </c>
      <c r="F114" s="5" t="s">
        <v>26</v>
      </c>
      <c r="G114" s="5" t="s">
        <v>26</v>
      </c>
      <c r="H114" s="5" t="s">
        <v>25</v>
      </c>
      <c r="I114" s="5" t="s">
        <v>27</v>
      </c>
      <c r="J114" s="5" t="s">
        <v>25</v>
      </c>
      <c r="K114" s="82" t="s">
        <v>2059</v>
      </c>
      <c r="L114" s="5" t="s">
        <v>40</v>
      </c>
      <c r="M114" s="82" t="s">
        <v>2060</v>
      </c>
      <c r="N114" s="5" t="s">
        <v>2043</v>
      </c>
      <c r="O114" s="5"/>
      <c r="P114" s="5"/>
      <c r="Q114" s="5"/>
      <c r="R114" s="5"/>
      <c r="S114" s="5"/>
      <c r="T114" s="5"/>
      <c r="U114" s="5"/>
      <c r="V114" s="5"/>
      <c r="W114" s="5"/>
      <c r="X114" s="5"/>
      <c r="Y114" s="5"/>
      <c r="Z114" s="5"/>
    </row>
    <row r="115" ht="15.75" hidden="1" customHeight="1">
      <c r="A115" s="75">
        <v>45681.0</v>
      </c>
      <c r="B115" s="76">
        <f t="shared" si="5"/>
        <v>68</v>
      </c>
      <c r="C115" s="76">
        <f>83.31-15</f>
        <v>68.31</v>
      </c>
      <c r="D115" s="5" t="s">
        <v>26</v>
      </c>
      <c r="E115" s="5" t="s">
        <v>26</v>
      </c>
      <c r="F115" s="5" t="s">
        <v>26</v>
      </c>
      <c r="G115" s="5" t="s">
        <v>26</v>
      </c>
      <c r="H115" s="5" t="s">
        <v>25</v>
      </c>
      <c r="I115" s="5" t="s">
        <v>27</v>
      </c>
      <c r="J115" s="5" t="s">
        <v>25</v>
      </c>
      <c r="K115" s="82" t="s">
        <v>2061</v>
      </c>
      <c r="L115" s="5" t="s">
        <v>40</v>
      </c>
      <c r="M115" s="82" t="s">
        <v>2062</v>
      </c>
      <c r="N115" s="5"/>
      <c r="O115" s="5"/>
      <c r="P115" s="5"/>
      <c r="Q115" s="5"/>
      <c r="R115" s="5"/>
      <c r="S115" s="5"/>
      <c r="T115" s="5"/>
      <c r="U115" s="5"/>
      <c r="V115" s="5"/>
      <c r="W115" s="5"/>
      <c r="X115" s="5"/>
      <c r="Y115" s="5"/>
      <c r="Z115" s="5"/>
    </row>
    <row r="116" ht="15.75" hidden="1" customHeight="1">
      <c r="A116" s="75">
        <v>45682.0</v>
      </c>
      <c r="B116" s="76">
        <f t="shared" si="5"/>
        <v>72</v>
      </c>
      <c r="C116" s="76">
        <f>86.28-15</f>
        <v>71.28</v>
      </c>
      <c r="D116" s="5" t="s">
        <v>26</v>
      </c>
      <c r="E116" s="5" t="s">
        <v>26</v>
      </c>
      <c r="F116" s="5" t="s">
        <v>26</v>
      </c>
      <c r="G116" s="5" t="s">
        <v>26</v>
      </c>
      <c r="H116" s="5" t="s">
        <v>25</v>
      </c>
      <c r="I116" s="5" t="s">
        <v>27</v>
      </c>
      <c r="J116" s="5" t="s">
        <v>25</v>
      </c>
      <c r="K116" s="82" t="s">
        <v>2063</v>
      </c>
      <c r="L116" s="5" t="s">
        <v>40</v>
      </c>
      <c r="M116" s="82" t="s">
        <v>2064</v>
      </c>
      <c r="N116" s="5"/>
      <c r="O116" s="5"/>
      <c r="P116" s="5"/>
      <c r="Q116" s="5"/>
      <c r="R116" s="5"/>
      <c r="S116" s="5"/>
      <c r="T116" s="5"/>
      <c r="U116" s="5"/>
      <c r="V116" s="5"/>
      <c r="W116" s="5"/>
      <c r="X116" s="5"/>
      <c r="Y116" s="5"/>
      <c r="Z116" s="5"/>
    </row>
    <row r="117" ht="15.75" hidden="1" customHeight="1">
      <c r="A117" s="75">
        <v>45684.0</v>
      </c>
      <c r="B117" s="76">
        <f t="shared" si="5"/>
        <v>76</v>
      </c>
      <c r="C117" s="76">
        <f>92.1-20</f>
        <v>72.1</v>
      </c>
      <c r="D117" s="5" t="s">
        <v>26</v>
      </c>
      <c r="E117" s="5" t="s">
        <v>26</v>
      </c>
      <c r="F117" s="5" t="s">
        <v>26</v>
      </c>
      <c r="G117" s="5" t="s">
        <v>26</v>
      </c>
      <c r="H117" s="5" t="s">
        <v>25</v>
      </c>
      <c r="I117" s="5" t="s">
        <v>27</v>
      </c>
      <c r="J117" s="5" t="s">
        <v>25</v>
      </c>
      <c r="K117" s="82" t="s">
        <v>2065</v>
      </c>
      <c r="L117" s="5" t="s">
        <v>40</v>
      </c>
      <c r="M117" s="82" t="s">
        <v>2066</v>
      </c>
      <c r="N117" s="5"/>
      <c r="O117" s="5"/>
      <c r="P117" s="5"/>
      <c r="Q117" s="5"/>
      <c r="R117" s="5"/>
      <c r="S117" s="5"/>
      <c r="T117" s="5"/>
      <c r="U117" s="5"/>
      <c r="V117" s="5"/>
      <c r="W117" s="5"/>
      <c r="X117" s="5"/>
      <c r="Y117" s="5"/>
      <c r="Z117" s="5"/>
    </row>
    <row r="118" ht="15.75" hidden="1" customHeight="1">
      <c r="A118" s="75">
        <v>45685.0</v>
      </c>
      <c r="B118" s="76">
        <f t="shared" si="5"/>
        <v>80</v>
      </c>
      <c r="C118" s="76">
        <f>100.6-27.5</f>
        <v>73.1</v>
      </c>
      <c r="D118" s="5" t="s">
        <v>26</v>
      </c>
      <c r="E118" s="5" t="s">
        <v>26</v>
      </c>
      <c r="F118" s="5" t="s">
        <v>26</v>
      </c>
      <c r="G118" s="5" t="s">
        <v>26</v>
      </c>
      <c r="H118" s="5" t="s">
        <v>25</v>
      </c>
      <c r="I118" s="5" t="s">
        <v>27</v>
      </c>
      <c r="J118" s="5" t="s">
        <v>25</v>
      </c>
      <c r="K118" s="82" t="s">
        <v>2067</v>
      </c>
      <c r="L118" s="5" t="s">
        <v>40</v>
      </c>
      <c r="M118" s="82" t="s">
        <v>2068</v>
      </c>
      <c r="N118" s="5"/>
      <c r="O118" s="5"/>
      <c r="P118" s="5"/>
      <c r="Q118" s="5"/>
      <c r="R118" s="5"/>
      <c r="S118" s="5"/>
      <c r="T118" s="5"/>
      <c r="U118" s="5"/>
      <c r="V118" s="5"/>
      <c r="W118" s="5"/>
      <c r="X118" s="5"/>
      <c r="Y118" s="5"/>
      <c r="Z118" s="5"/>
    </row>
    <row r="119" ht="15.75" hidden="1" customHeight="1">
      <c r="A119" s="75">
        <v>45686.0</v>
      </c>
      <c r="B119" s="76">
        <f t="shared" si="5"/>
        <v>84</v>
      </c>
      <c r="C119" s="76">
        <f>104.24-27.5</f>
        <v>76.74</v>
      </c>
      <c r="D119" s="5" t="s">
        <v>26</v>
      </c>
      <c r="E119" s="5" t="s">
        <v>26</v>
      </c>
      <c r="F119" s="5" t="s">
        <v>26</v>
      </c>
      <c r="G119" s="5" t="s">
        <v>26</v>
      </c>
      <c r="H119" s="5" t="s">
        <v>25</v>
      </c>
      <c r="I119" s="5" t="s">
        <v>27</v>
      </c>
      <c r="J119" s="5" t="s">
        <v>25</v>
      </c>
      <c r="K119" s="82" t="s">
        <v>2069</v>
      </c>
      <c r="L119" s="5" t="s">
        <v>40</v>
      </c>
      <c r="M119" s="82" t="s">
        <v>2070</v>
      </c>
      <c r="N119" s="84" t="s">
        <v>2031</v>
      </c>
      <c r="O119" s="5"/>
      <c r="P119" s="5"/>
      <c r="Q119" s="5"/>
      <c r="R119" s="5"/>
      <c r="S119" s="5"/>
      <c r="T119" s="5"/>
      <c r="U119" s="5"/>
      <c r="V119" s="5"/>
      <c r="W119" s="5"/>
      <c r="X119" s="5"/>
      <c r="Y119" s="5"/>
      <c r="Z119" s="5"/>
    </row>
    <row r="120" ht="15.75" hidden="1" customHeight="1">
      <c r="A120" s="75">
        <v>45687.0</v>
      </c>
      <c r="B120" s="76">
        <f t="shared" si="5"/>
        <v>88</v>
      </c>
      <c r="C120" s="76">
        <f>107.4-27.5</f>
        <v>79.9</v>
      </c>
      <c r="D120" s="5" t="s">
        <v>26</v>
      </c>
      <c r="E120" s="5" t="s">
        <v>26</v>
      </c>
      <c r="F120" s="5" t="s">
        <v>26</v>
      </c>
      <c r="G120" s="5" t="s">
        <v>26</v>
      </c>
      <c r="H120" s="5" t="s">
        <v>25</v>
      </c>
      <c r="I120" s="5" t="s">
        <v>27</v>
      </c>
      <c r="J120" s="5" t="s">
        <v>25</v>
      </c>
      <c r="K120" s="82" t="s">
        <v>2071</v>
      </c>
      <c r="L120" s="5" t="s">
        <v>40</v>
      </c>
      <c r="M120" s="82" t="s">
        <v>2072</v>
      </c>
      <c r="N120" s="84"/>
      <c r="O120" s="5"/>
      <c r="P120" s="5"/>
      <c r="Q120" s="5"/>
      <c r="R120" s="5"/>
      <c r="S120" s="5"/>
      <c r="T120" s="5"/>
      <c r="U120" s="5"/>
      <c r="V120" s="5"/>
      <c r="W120" s="5"/>
      <c r="X120" s="5"/>
      <c r="Y120" s="5"/>
      <c r="Z120" s="5"/>
    </row>
    <row r="121" ht="15.75" hidden="1" customHeight="1">
      <c r="A121" s="75">
        <v>45688.0</v>
      </c>
      <c r="B121" s="76">
        <f t="shared" si="5"/>
        <v>92</v>
      </c>
      <c r="C121" s="76">
        <f>112.32-31</f>
        <v>81.32</v>
      </c>
      <c r="D121" s="5" t="s">
        <v>25</v>
      </c>
      <c r="E121" s="5" t="s">
        <v>25</v>
      </c>
      <c r="F121" s="5" t="s">
        <v>26</v>
      </c>
      <c r="G121" s="5" t="s">
        <v>26</v>
      </c>
      <c r="H121" s="5" t="s">
        <v>25</v>
      </c>
      <c r="I121" s="5" t="s">
        <v>27</v>
      </c>
      <c r="J121" s="5" t="s">
        <v>25</v>
      </c>
      <c r="K121" s="82" t="s">
        <v>2073</v>
      </c>
      <c r="L121" s="5" t="s">
        <v>126</v>
      </c>
      <c r="M121" s="82" t="s">
        <v>2074</v>
      </c>
      <c r="N121" s="5"/>
      <c r="O121" s="5"/>
      <c r="P121" s="5"/>
      <c r="Q121" s="5"/>
      <c r="R121" s="5"/>
      <c r="S121" s="5"/>
      <c r="T121" s="5"/>
      <c r="U121" s="5"/>
      <c r="V121" s="5"/>
      <c r="W121" s="5"/>
      <c r="X121" s="5"/>
      <c r="Y121" s="5"/>
      <c r="Z121" s="5"/>
    </row>
    <row r="122" ht="15.75" hidden="1" customHeight="1">
      <c r="A122" s="86"/>
      <c r="B122" s="5"/>
      <c r="C122" s="5"/>
      <c r="D122" s="5"/>
      <c r="E122" s="5"/>
      <c r="F122" s="5"/>
      <c r="G122" s="5"/>
      <c r="H122" s="5"/>
      <c r="I122" s="5"/>
      <c r="J122" s="5"/>
      <c r="K122" s="82"/>
      <c r="L122" s="5"/>
      <c r="M122" s="82"/>
      <c r="N122" s="5"/>
      <c r="O122" s="5"/>
      <c r="P122" s="5"/>
      <c r="Q122" s="5"/>
      <c r="R122" s="5"/>
      <c r="S122" s="5"/>
      <c r="T122" s="5"/>
      <c r="U122" s="5"/>
      <c r="V122" s="5"/>
      <c r="W122" s="5"/>
      <c r="X122" s="5"/>
      <c r="Y122" s="5"/>
      <c r="Z122" s="5"/>
    </row>
    <row r="123" ht="15.75" hidden="1" customHeight="1">
      <c r="A123" s="75">
        <v>45689.0</v>
      </c>
      <c r="B123" s="76">
        <v>4.0</v>
      </c>
      <c r="C123" s="76">
        <v>3.89</v>
      </c>
      <c r="D123" s="5" t="s">
        <v>26</v>
      </c>
      <c r="E123" s="5" t="s">
        <v>26</v>
      </c>
      <c r="F123" s="5" t="s">
        <v>26</v>
      </c>
      <c r="G123" s="5" t="s">
        <v>26</v>
      </c>
      <c r="H123" s="5" t="s">
        <v>25</v>
      </c>
      <c r="I123" s="5" t="s">
        <v>27</v>
      </c>
      <c r="J123" s="5" t="s">
        <v>25</v>
      </c>
      <c r="K123" s="82" t="s">
        <v>2075</v>
      </c>
      <c r="L123" s="5" t="s">
        <v>40</v>
      </c>
      <c r="M123" s="82" t="s">
        <v>2076</v>
      </c>
      <c r="N123" s="5"/>
      <c r="O123" s="5"/>
      <c r="P123" s="5"/>
      <c r="Q123" s="5"/>
      <c r="R123" s="5"/>
      <c r="S123" s="5"/>
      <c r="T123" s="5"/>
      <c r="U123" s="5"/>
      <c r="V123" s="5"/>
      <c r="W123" s="5"/>
      <c r="X123" s="5"/>
      <c r="Y123" s="5"/>
      <c r="Z123" s="5"/>
    </row>
    <row r="124" ht="15.75" hidden="1" customHeight="1">
      <c r="A124" s="75">
        <v>45691.0</v>
      </c>
      <c r="B124" s="76">
        <f t="shared" ref="B124:B146" si="6">B123+4</f>
        <v>8</v>
      </c>
      <c r="C124" s="76">
        <v>8.7</v>
      </c>
      <c r="D124" s="5" t="s">
        <v>26</v>
      </c>
      <c r="E124" s="5" t="s">
        <v>26</v>
      </c>
      <c r="F124" s="5" t="s">
        <v>26</v>
      </c>
      <c r="G124" s="5" t="s">
        <v>26</v>
      </c>
      <c r="H124" s="5" t="s">
        <v>25</v>
      </c>
      <c r="I124" s="5" t="s">
        <v>27</v>
      </c>
      <c r="J124" s="5" t="s">
        <v>25</v>
      </c>
      <c r="K124" s="82" t="s">
        <v>2077</v>
      </c>
      <c r="L124" s="5" t="s">
        <v>40</v>
      </c>
      <c r="M124" s="82" t="s">
        <v>2078</v>
      </c>
      <c r="N124" s="5"/>
      <c r="O124" s="5"/>
      <c r="P124" s="5"/>
      <c r="Q124" s="5"/>
      <c r="R124" s="5"/>
      <c r="S124" s="5"/>
      <c r="T124" s="5"/>
      <c r="U124" s="5"/>
      <c r="V124" s="5"/>
      <c r="W124" s="5"/>
      <c r="X124" s="5"/>
      <c r="Y124" s="5"/>
      <c r="Z124" s="5"/>
    </row>
    <row r="125" ht="15.75" hidden="1" customHeight="1">
      <c r="A125" s="75">
        <v>45692.0</v>
      </c>
      <c r="B125" s="76">
        <f t="shared" si="6"/>
        <v>12</v>
      </c>
      <c r="C125" s="76">
        <v>15.02</v>
      </c>
      <c r="D125" s="5" t="s">
        <v>26</v>
      </c>
      <c r="E125" s="5" t="s">
        <v>26</v>
      </c>
      <c r="F125" s="5" t="s">
        <v>26</v>
      </c>
      <c r="G125" s="5" t="s">
        <v>26</v>
      </c>
      <c r="H125" s="5" t="s">
        <v>25</v>
      </c>
      <c r="I125" s="5" t="s">
        <v>27</v>
      </c>
      <c r="J125" s="5" t="s">
        <v>25</v>
      </c>
      <c r="K125" s="82" t="s">
        <v>2079</v>
      </c>
      <c r="L125" s="5" t="s">
        <v>40</v>
      </c>
      <c r="M125" s="82" t="s">
        <v>2080</v>
      </c>
      <c r="N125" s="5"/>
      <c r="O125" s="5"/>
      <c r="P125" s="5"/>
      <c r="Q125" s="5"/>
      <c r="R125" s="5"/>
      <c r="S125" s="5"/>
      <c r="T125" s="5"/>
      <c r="U125" s="5"/>
      <c r="V125" s="5"/>
      <c r="W125" s="5"/>
      <c r="X125" s="5"/>
      <c r="Y125" s="5"/>
      <c r="Z125" s="5"/>
    </row>
    <row r="126" ht="15.75" hidden="1" customHeight="1">
      <c r="A126" s="75">
        <v>45693.0</v>
      </c>
      <c r="B126" s="76">
        <f t="shared" si="6"/>
        <v>16</v>
      </c>
      <c r="C126" s="76">
        <v>21.11</v>
      </c>
      <c r="D126" s="5" t="s">
        <v>26</v>
      </c>
      <c r="E126" s="5" t="s">
        <v>26</v>
      </c>
      <c r="F126" s="5" t="s">
        <v>26</v>
      </c>
      <c r="G126" s="5" t="s">
        <v>26</v>
      </c>
      <c r="H126" s="5" t="s">
        <v>25</v>
      </c>
      <c r="I126" s="5" t="s">
        <v>27</v>
      </c>
      <c r="J126" s="5" t="s">
        <v>25</v>
      </c>
      <c r="K126" s="82" t="s">
        <v>2081</v>
      </c>
      <c r="L126" s="5" t="s">
        <v>40</v>
      </c>
      <c r="M126" s="82" t="s">
        <v>2082</v>
      </c>
      <c r="N126" s="5" t="s">
        <v>2083</v>
      </c>
      <c r="O126" s="5"/>
      <c r="P126" s="5"/>
      <c r="Q126" s="5"/>
      <c r="R126" s="5"/>
      <c r="S126" s="5"/>
      <c r="T126" s="5"/>
      <c r="U126" s="5"/>
      <c r="V126" s="5"/>
      <c r="W126" s="5"/>
      <c r="X126" s="5"/>
      <c r="Y126" s="5"/>
      <c r="Z126" s="5"/>
    </row>
    <row r="127" ht="15.75" hidden="1" customHeight="1">
      <c r="A127" s="75">
        <v>45694.0</v>
      </c>
      <c r="B127" s="76">
        <f t="shared" si="6"/>
        <v>20</v>
      </c>
      <c r="C127" s="76">
        <v>27.08</v>
      </c>
      <c r="D127" s="5" t="s">
        <v>26</v>
      </c>
      <c r="E127" s="5" t="s">
        <v>26</v>
      </c>
      <c r="F127" s="5" t="s">
        <v>26</v>
      </c>
      <c r="G127" s="5" t="s">
        <v>26</v>
      </c>
      <c r="H127" s="5" t="s">
        <v>25</v>
      </c>
      <c r="I127" s="5" t="s">
        <v>27</v>
      </c>
      <c r="J127" s="5" t="s">
        <v>25</v>
      </c>
      <c r="K127" s="82" t="s">
        <v>2084</v>
      </c>
      <c r="L127" s="5" t="s">
        <v>40</v>
      </c>
      <c r="M127" s="82" t="s">
        <v>2085</v>
      </c>
      <c r="N127" s="5" t="s">
        <v>2086</v>
      </c>
      <c r="O127" s="5"/>
      <c r="P127" s="5"/>
      <c r="Q127" s="5"/>
      <c r="R127" s="5"/>
      <c r="S127" s="5"/>
      <c r="T127" s="5"/>
      <c r="U127" s="5"/>
      <c r="V127" s="5"/>
      <c r="W127" s="5"/>
      <c r="X127" s="5"/>
      <c r="Y127" s="5"/>
      <c r="Z127" s="5"/>
    </row>
    <row r="128" ht="15.75" hidden="1" customHeight="1">
      <c r="A128" s="75">
        <v>45695.0</v>
      </c>
      <c r="B128" s="76">
        <f t="shared" si="6"/>
        <v>24</v>
      </c>
      <c r="C128" s="76">
        <v>31.95</v>
      </c>
      <c r="D128" s="5" t="s">
        <v>26</v>
      </c>
      <c r="E128" s="5" t="s">
        <v>26</v>
      </c>
      <c r="F128" s="5" t="s">
        <v>26</v>
      </c>
      <c r="G128" s="5" t="s">
        <v>26</v>
      </c>
      <c r="H128" s="5" t="s">
        <v>25</v>
      </c>
      <c r="I128" s="5" t="s">
        <v>27</v>
      </c>
      <c r="J128" s="5" t="s">
        <v>25</v>
      </c>
      <c r="K128" s="82" t="s">
        <v>2087</v>
      </c>
      <c r="L128" s="5" t="s">
        <v>40</v>
      </c>
      <c r="M128" s="82" t="s">
        <v>2088</v>
      </c>
      <c r="N128" s="5" t="s">
        <v>2089</v>
      </c>
      <c r="O128" s="5"/>
      <c r="P128" s="5"/>
      <c r="Q128" s="5"/>
      <c r="R128" s="5"/>
      <c r="S128" s="5"/>
      <c r="T128" s="5"/>
      <c r="U128" s="5"/>
      <c r="V128" s="5"/>
      <c r="W128" s="5"/>
      <c r="X128" s="5"/>
      <c r="Y128" s="5"/>
      <c r="Z128" s="5"/>
    </row>
    <row r="129" ht="15.75" hidden="1" customHeight="1">
      <c r="A129" s="75">
        <v>45696.0</v>
      </c>
      <c r="B129" s="76">
        <f t="shared" si="6"/>
        <v>28</v>
      </c>
      <c r="C129" s="76">
        <v>35.94</v>
      </c>
      <c r="D129" s="5" t="s">
        <v>26</v>
      </c>
      <c r="E129" s="5" t="s">
        <v>26</v>
      </c>
      <c r="F129" s="5" t="s">
        <v>26</v>
      </c>
      <c r="G129" s="5" t="s">
        <v>26</v>
      </c>
      <c r="H129" s="5" t="s">
        <v>25</v>
      </c>
      <c r="I129" s="5" t="s">
        <v>27</v>
      </c>
      <c r="J129" s="5" t="s">
        <v>25</v>
      </c>
      <c r="K129" s="82" t="s">
        <v>2090</v>
      </c>
      <c r="L129" s="5" t="s">
        <v>40</v>
      </c>
      <c r="M129" s="82" t="s">
        <v>2091</v>
      </c>
      <c r="N129" s="5" t="s">
        <v>2092</v>
      </c>
      <c r="O129" s="5"/>
      <c r="P129" s="5"/>
      <c r="Q129" s="5"/>
      <c r="R129" s="5"/>
      <c r="S129" s="5"/>
      <c r="T129" s="5"/>
      <c r="U129" s="5"/>
      <c r="V129" s="5"/>
      <c r="W129" s="5"/>
      <c r="X129" s="5"/>
      <c r="Y129" s="5"/>
      <c r="Z129" s="5"/>
    </row>
    <row r="130" ht="15.75" hidden="1" customHeight="1">
      <c r="A130" s="75">
        <v>45698.0</v>
      </c>
      <c r="B130" s="76">
        <f t="shared" si="6"/>
        <v>32</v>
      </c>
      <c r="C130" s="76">
        <f>39.83-1.75</f>
        <v>38.08</v>
      </c>
      <c r="D130" s="5" t="s">
        <v>26</v>
      </c>
      <c r="E130" s="5" t="s">
        <v>26</v>
      </c>
      <c r="F130" s="5" t="s">
        <v>26</v>
      </c>
      <c r="G130" s="5" t="s">
        <v>26</v>
      </c>
      <c r="H130" s="5" t="s">
        <v>25</v>
      </c>
      <c r="I130" s="5" t="s">
        <v>27</v>
      </c>
      <c r="J130" s="5" t="s">
        <v>25</v>
      </c>
      <c r="K130" s="82" t="s">
        <v>2093</v>
      </c>
      <c r="L130" s="5" t="s">
        <v>40</v>
      </c>
      <c r="M130" s="82" t="s">
        <v>2094</v>
      </c>
      <c r="N130" s="5" t="s">
        <v>2095</v>
      </c>
      <c r="O130" s="5"/>
      <c r="P130" s="5"/>
      <c r="Q130" s="5"/>
      <c r="R130" s="5"/>
      <c r="S130" s="5"/>
      <c r="T130" s="5"/>
      <c r="U130" s="5"/>
      <c r="V130" s="5"/>
      <c r="W130" s="5"/>
      <c r="X130" s="5"/>
      <c r="Y130" s="5"/>
      <c r="Z130" s="5"/>
    </row>
    <row r="131" ht="15.75" hidden="1" customHeight="1">
      <c r="A131" s="75">
        <v>45699.0</v>
      </c>
      <c r="B131" s="76">
        <f t="shared" si="6"/>
        <v>36</v>
      </c>
      <c r="C131" s="76">
        <f>46.48-1.75</f>
        <v>44.73</v>
      </c>
      <c r="D131" s="5" t="s">
        <v>26</v>
      </c>
      <c r="E131" s="5" t="s">
        <v>26</v>
      </c>
      <c r="F131" s="5" t="s">
        <v>26</v>
      </c>
      <c r="G131" s="5" t="s">
        <v>26</v>
      </c>
      <c r="H131" s="5" t="s">
        <v>25</v>
      </c>
      <c r="I131" s="5" t="s">
        <v>27</v>
      </c>
      <c r="J131" s="5" t="s">
        <v>25</v>
      </c>
      <c r="K131" s="82" t="s">
        <v>2096</v>
      </c>
      <c r="L131" s="5" t="s">
        <v>40</v>
      </c>
      <c r="M131" s="82" t="s">
        <v>2097</v>
      </c>
      <c r="N131" s="5" t="s">
        <v>2098</v>
      </c>
      <c r="O131" s="5"/>
      <c r="P131" s="5"/>
      <c r="Q131" s="5"/>
      <c r="R131" s="5"/>
      <c r="S131" s="5"/>
      <c r="T131" s="5"/>
      <c r="U131" s="5"/>
      <c r="V131" s="5"/>
      <c r="W131" s="5"/>
      <c r="X131" s="5"/>
      <c r="Y131" s="5"/>
      <c r="Z131" s="5"/>
    </row>
    <row r="132" ht="15.75" hidden="1" customHeight="1">
      <c r="A132" s="75">
        <v>45700.0</v>
      </c>
      <c r="B132" s="76">
        <f t="shared" si="6"/>
        <v>40</v>
      </c>
      <c r="C132" s="76">
        <f>46.47-1.75</f>
        <v>44.72</v>
      </c>
      <c r="D132" s="5" t="s">
        <v>26</v>
      </c>
      <c r="E132" s="5" t="s">
        <v>26</v>
      </c>
      <c r="F132" s="5" t="s">
        <v>26</v>
      </c>
      <c r="G132" s="5" t="s">
        <v>26</v>
      </c>
      <c r="H132" s="5" t="s">
        <v>25</v>
      </c>
      <c r="I132" s="5" t="s">
        <v>27</v>
      </c>
      <c r="J132" s="5" t="s">
        <v>25</v>
      </c>
      <c r="K132" s="82" t="s">
        <v>2099</v>
      </c>
      <c r="L132" s="5" t="s">
        <v>40</v>
      </c>
      <c r="M132" s="82" t="s">
        <v>2100</v>
      </c>
      <c r="N132" s="85" t="s">
        <v>2101</v>
      </c>
      <c r="O132" s="5"/>
      <c r="P132" s="5"/>
      <c r="Q132" s="5"/>
      <c r="R132" s="5"/>
      <c r="S132" s="5"/>
      <c r="T132" s="5"/>
      <c r="U132" s="5"/>
      <c r="V132" s="5"/>
      <c r="W132" s="5"/>
      <c r="X132" s="5"/>
      <c r="Y132" s="5"/>
      <c r="Z132" s="5"/>
    </row>
    <row r="133" ht="15.75" hidden="1" customHeight="1">
      <c r="A133" s="75">
        <v>45701.0</v>
      </c>
      <c r="B133" s="76">
        <f t="shared" si="6"/>
        <v>44</v>
      </c>
      <c r="C133" s="76">
        <f>50.46-4.25</f>
        <v>46.21</v>
      </c>
      <c r="D133" s="5" t="s">
        <v>26</v>
      </c>
      <c r="E133" s="5" t="s">
        <v>26</v>
      </c>
      <c r="F133" s="5" t="s">
        <v>26</v>
      </c>
      <c r="G133" s="5" t="s">
        <v>26</v>
      </c>
      <c r="H133" s="5" t="s">
        <v>25</v>
      </c>
      <c r="I133" s="5" t="s">
        <v>27</v>
      </c>
      <c r="J133" s="5" t="s">
        <v>25</v>
      </c>
      <c r="K133" s="82" t="s">
        <v>2102</v>
      </c>
      <c r="L133" s="5" t="s">
        <v>40</v>
      </c>
      <c r="M133" s="82" t="s">
        <v>2103</v>
      </c>
      <c r="N133" s="85" t="s">
        <v>2104</v>
      </c>
      <c r="O133" s="5"/>
      <c r="P133" s="5"/>
      <c r="Q133" s="5"/>
      <c r="R133" s="5"/>
      <c r="S133" s="5"/>
      <c r="T133" s="5"/>
      <c r="U133" s="5"/>
      <c r="V133" s="5"/>
      <c r="W133" s="5"/>
      <c r="X133" s="5"/>
      <c r="Y133" s="5"/>
      <c r="Z133" s="5"/>
    </row>
    <row r="134" ht="15.75" hidden="1" customHeight="1">
      <c r="A134" s="75">
        <v>45702.0</v>
      </c>
      <c r="B134" s="76">
        <f t="shared" si="6"/>
        <v>48</v>
      </c>
      <c r="C134" s="76">
        <f>58.55-4.25</f>
        <v>54.3</v>
      </c>
      <c r="D134" s="5" t="s">
        <v>26</v>
      </c>
      <c r="E134" s="5" t="s">
        <v>26</v>
      </c>
      <c r="F134" s="5" t="s">
        <v>26</v>
      </c>
      <c r="G134" s="5" t="s">
        <v>26</v>
      </c>
      <c r="H134" s="5" t="s">
        <v>25</v>
      </c>
      <c r="I134" s="5" t="s">
        <v>27</v>
      </c>
      <c r="J134" s="5" t="s">
        <v>25</v>
      </c>
      <c r="K134" s="82" t="s">
        <v>2105</v>
      </c>
      <c r="L134" s="5" t="s">
        <v>40</v>
      </c>
      <c r="M134" s="82" t="s">
        <v>2106</v>
      </c>
      <c r="N134" s="85" t="s">
        <v>2107</v>
      </c>
      <c r="O134" s="5"/>
      <c r="P134" s="5"/>
      <c r="Q134" s="5"/>
      <c r="R134" s="5"/>
      <c r="S134" s="5"/>
      <c r="T134" s="5"/>
      <c r="U134" s="5"/>
      <c r="V134" s="5"/>
      <c r="W134" s="5"/>
      <c r="X134" s="5"/>
      <c r="Y134" s="5"/>
      <c r="Z134" s="5"/>
    </row>
    <row r="135" ht="15.75" hidden="1" customHeight="1">
      <c r="A135" s="75">
        <v>45703.0</v>
      </c>
      <c r="B135" s="76">
        <f t="shared" si="6"/>
        <v>52</v>
      </c>
      <c r="C135" s="76">
        <f>58.1-4.25</f>
        <v>53.85</v>
      </c>
      <c r="D135" s="5" t="s">
        <v>26</v>
      </c>
      <c r="E135" s="5" t="s">
        <v>26</v>
      </c>
      <c r="F135" s="5" t="s">
        <v>26</v>
      </c>
      <c r="G135" s="5" t="s">
        <v>26</v>
      </c>
      <c r="H135" s="5" t="s">
        <v>25</v>
      </c>
      <c r="I135" s="5" t="s">
        <v>27</v>
      </c>
      <c r="J135" s="5" t="s">
        <v>25</v>
      </c>
      <c r="K135" s="82" t="s">
        <v>2108</v>
      </c>
      <c r="L135" s="5" t="s">
        <v>40</v>
      </c>
      <c r="M135" s="82" t="s">
        <v>2109</v>
      </c>
      <c r="N135" s="85" t="s">
        <v>2110</v>
      </c>
      <c r="O135" s="5"/>
      <c r="P135" s="5"/>
      <c r="Q135" s="5"/>
      <c r="R135" s="5"/>
      <c r="S135" s="5"/>
      <c r="T135" s="5"/>
      <c r="U135" s="5"/>
      <c r="V135" s="5"/>
      <c r="W135" s="5"/>
      <c r="X135" s="5"/>
      <c r="Y135" s="5"/>
      <c r="Z135" s="5"/>
    </row>
    <row r="136" ht="15.75" hidden="1" customHeight="1">
      <c r="A136" s="75">
        <v>45705.0</v>
      </c>
      <c r="B136" s="76">
        <f t="shared" si="6"/>
        <v>56</v>
      </c>
      <c r="C136" s="76">
        <f>62.47-4.25</f>
        <v>58.22</v>
      </c>
      <c r="D136" s="5" t="s">
        <v>26</v>
      </c>
      <c r="E136" s="5" t="s">
        <v>26</v>
      </c>
      <c r="F136" s="5" t="s">
        <v>26</v>
      </c>
      <c r="G136" s="5" t="s">
        <v>26</v>
      </c>
      <c r="H136" s="5" t="s">
        <v>25</v>
      </c>
      <c r="I136" s="5" t="s">
        <v>27</v>
      </c>
      <c r="J136" s="5" t="s">
        <v>25</v>
      </c>
      <c r="K136" s="82" t="s">
        <v>2111</v>
      </c>
      <c r="L136" s="5" t="s">
        <v>126</v>
      </c>
      <c r="M136" s="82" t="s">
        <v>2112</v>
      </c>
      <c r="N136" s="5" t="s">
        <v>2110</v>
      </c>
      <c r="O136" s="5"/>
      <c r="P136" s="5"/>
      <c r="Q136" s="5"/>
      <c r="R136" s="5"/>
      <c r="S136" s="5"/>
      <c r="T136" s="5"/>
      <c r="U136" s="5"/>
      <c r="V136" s="5"/>
      <c r="W136" s="5"/>
      <c r="X136" s="5"/>
      <c r="Y136" s="5"/>
      <c r="Z136" s="5"/>
    </row>
    <row r="137" ht="15.75" hidden="1" customHeight="1">
      <c r="A137" s="75">
        <v>45706.0</v>
      </c>
      <c r="B137" s="76">
        <f t="shared" si="6"/>
        <v>60</v>
      </c>
      <c r="C137" s="76">
        <f t="shared" ref="C137:C138" si="7">62.55-4.25</f>
        <v>58.3</v>
      </c>
      <c r="D137" s="5" t="s">
        <v>25</v>
      </c>
      <c r="E137" s="5" t="s">
        <v>25</v>
      </c>
      <c r="F137" s="5" t="s">
        <v>26</v>
      </c>
      <c r="G137" s="5" t="s">
        <v>26</v>
      </c>
      <c r="H137" s="5" t="s">
        <v>25</v>
      </c>
      <c r="I137" s="5" t="s">
        <v>27</v>
      </c>
      <c r="J137" s="5" t="s">
        <v>25</v>
      </c>
      <c r="K137" s="82" t="s">
        <v>2113</v>
      </c>
      <c r="L137" s="5" t="s">
        <v>126</v>
      </c>
      <c r="M137" s="82" t="s">
        <v>2114</v>
      </c>
      <c r="N137" s="5" t="s">
        <v>2110</v>
      </c>
      <c r="O137" s="5"/>
      <c r="P137" s="5"/>
      <c r="Q137" s="5"/>
      <c r="R137" s="5"/>
      <c r="S137" s="5"/>
      <c r="T137" s="5"/>
      <c r="U137" s="5"/>
      <c r="V137" s="5"/>
      <c r="W137" s="5"/>
      <c r="X137" s="5"/>
      <c r="Y137" s="5"/>
      <c r="Z137" s="5"/>
    </row>
    <row r="138" ht="15.75" hidden="1" customHeight="1">
      <c r="A138" s="75">
        <v>45707.0</v>
      </c>
      <c r="B138" s="76">
        <f t="shared" si="6"/>
        <v>64</v>
      </c>
      <c r="C138" s="76">
        <f t="shared" si="7"/>
        <v>58.3</v>
      </c>
      <c r="D138" s="5" t="s">
        <v>25</v>
      </c>
      <c r="E138" s="5" t="s">
        <v>25</v>
      </c>
      <c r="F138" s="5" t="s">
        <v>26</v>
      </c>
      <c r="G138" s="5" t="s">
        <v>26</v>
      </c>
      <c r="H138" s="5" t="s">
        <v>25</v>
      </c>
      <c r="I138" s="5" t="s">
        <v>27</v>
      </c>
      <c r="J138" s="5" t="s">
        <v>25</v>
      </c>
      <c r="K138" s="82" t="s">
        <v>2115</v>
      </c>
      <c r="L138" s="5" t="s">
        <v>126</v>
      </c>
      <c r="M138" s="82" t="s">
        <v>2116</v>
      </c>
      <c r="N138" s="84" t="s">
        <v>2117</v>
      </c>
      <c r="O138" s="5"/>
      <c r="P138" s="5"/>
      <c r="Q138" s="5"/>
      <c r="R138" s="5"/>
      <c r="S138" s="5"/>
      <c r="T138" s="5"/>
      <c r="U138" s="5"/>
      <c r="V138" s="5"/>
      <c r="W138" s="5"/>
      <c r="X138" s="5"/>
      <c r="Y138" s="5"/>
      <c r="Z138" s="5"/>
    </row>
    <row r="139" ht="15.75" hidden="1" customHeight="1">
      <c r="A139" s="75">
        <v>45708.0</v>
      </c>
      <c r="B139" s="76">
        <f t="shared" si="6"/>
        <v>68</v>
      </c>
      <c r="C139" s="76">
        <f t="shared" ref="C139:C140" si="8">62.88-4.25</f>
        <v>58.63</v>
      </c>
      <c r="D139" s="5" t="s">
        <v>26</v>
      </c>
      <c r="E139" s="5" t="s">
        <v>26</v>
      </c>
      <c r="F139" s="5" t="s">
        <v>26</v>
      </c>
      <c r="G139" s="5" t="s">
        <v>26</v>
      </c>
      <c r="H139" s="5" t="s">
        <v>25</v>
      </c>
      <c r="I139" s="5" t="s">
        <v>27</v>
      </c>
      <c r="J139" s="5" t="s">
        <v>25</v>
      </c>
      <c r="K139" s="82" t="s">
        <v>2118</v>
      </c>
      <c r="L139" s="5" t="s">
        <v>126</v>
      </c>
      <c r="M139" s="82" t="s">
        <v>2119</v>
      </c>
      <c r="N139" s="5" t="s">
        <v>2110</v>
      </c>
      <c r="O139" s="5"/>
      <c r="P139" s="5"/>
      <c r="Q139" s="5"/>
      <c r="R139" s="5"/>
      <c r="S139" s="5"/>
      <c r="T139" s="5"/>
      <c r="U139" s="5"/>
      <c r="V139" s="5"/>
      <c r="W139" s="5"/>
      <c r="X139" s="5"/>
      <c r="Y139" s="5"/>
      <c r="Z139" s="5"/>
    </row>
    <row r="140" ht="15.75" hidden="1" customHeight="1">
      <c r="A140" s="75">
        <v>45709.0</v>
      </c>
      <c r="B140" s="76">
        <f t="shared" si="6"/>
        <v>72</v>
      </c>
      <c r="C140" s="76">
        <f t="shared" si="8"/>
        <v>58.63</v>
      </c>
      <c r="D140" s="5" t="s">
        <v>25</v>
      </c>
      <c r="E140" s="5" t="s">
        <v>25</v>
      </c>
      <c r="F140" s="5" t="s">
        <v>26</v>
      </c>
      <c r="G140" s="5" t="s">
        <v>26</v>
      </c>
      <c r="H140" s="5" t="s">
        <v>25</v>
      </c>
      <c r="I140" s="5" t="s">
        <v>27</v>
      </c>
      <c r="J140" s="5" t="s">
        <v>25</v>
      </c>
      <c r="K140" s="82" t="s">
        <v>2120</v>
      </c>
      <c r="L140" s="5" t="s">
        <v>126</v>
      </c>
      <c r="M140" s="69" t="s">
        <v>1966</v>
      </c>
      <c r="N140" s="5" t="s">
        <v>2110</v>
      </c>
      <c r="O140" s="5"/>
      <c r="P140" s="5"/>
      <c r="Q140" s="5"/>
      <c r="R140" s="5"/>
      <c r="S140" s="5"/>
      <c r="T140" s="5"/>
      <c r="U140" s="5"/>
      <c r="V140" s="5"/>
      <c r="W140" s="5"/>
      <c r="X140" s="5"/>
      <c r="Y140" s="5"/>
      <c r="Z140" s="5"/>
    </row>
    <row r="141" ht="15.75" hidden="1" customHeight="1">
      <c r="A141" s="75">
        <v>45710.0</v>
      </c>
      <c r="B141" s="76">
        <f t="shared" si="6"/>
        <v>76</v>
      </c>
      <c r="C141" s="76">
        <f t="shared" ref="C141:C142" si="9">63.46-4.25</f>
        <v>59.21</v>
      </c>
      <c r="D141" s="5" t="s">
        <v>26</v>
      </c>
      <c r="E141" s="5" t="s">
        <v>26</v>
      </c>
      <c r="F141" s="5" t="s">
        <v>26</v>
      </c>
      <c r="G141" s="5" t="s">
        <v>26</v>
      </c>
      <c r="H141" s="5" t="s">
        <v>25</v>
      </c>
      <c r="I141" s="5" t="s">
        <v>27</v>
      </c>
      <c r="J141" s="5" t="s">
        <v>25</v>
      </c>
      <c r="K141" s="82" t="s">
        <v>2121</v>
      </c>
      <c r="L141" s="5" t="s">
        <v>126</v>
      </c>
      <c r="M141" s="82" t="s">
        <v>2122</v>
      </c>
      <c r="N141" s="5" t="s">
        <v>2110</v>
      </c>
      <c r="O141" s="5"/>
      <c r="P141" s="5"/>
      <c r="Q141" s="5"/>
      <c r="R141" s="5"/>
      <c r="S141" s="5"/>
      <c r="T141" s="5"/>
      <c r="U141" s="5"/>
      <c r="V141" s="5"/>
      <c r="W141" s="5"/>
      <c r="X141" s="5"/>
      <c r="Y141" s="5"/>
      <c r="Z141" s="5"/>
    </row>
    <row r="142" ht="15.75" hidden="1" customHeight="1">
      <c r="A142" s="75">
        <v>45712.0</v>
      </c>
      <c r="B142" s="76">
        <f t="shared" si="6"/>
        <v>80</v>
      </c>
      <c r="C142" s="76">
        <f t="shared" si="9"/>
        <v>59.21</v>
      </c>
      <c r="D142" s="5" t="s">
        <v>25</v>
      </c>
      <c r="E142" s="5" t="s">
        <v>25</v>
      </c>
      <c r="F142" s="5" t="s">
        <v>26</v>
      </c>
      <c r="G142" s="5" t="s">
        <v>26</v>
      </c>
      <c r="H142" s="5" t="s">
        <v>25</v>
      </c>
      <c r="I142" s="5" t="s">
        <v>27</v>
      </c>
      <c r="J142" s="5" t="s">
        <v>25</v>
      </c>
      <c r="K142" s="82" t="s">
        <v>2123</v>
      </c>
      <c r="L142" s="5" t="s">
        <v>126</v>
      </c>
      <c r="M142" s="69" t="s">
        <v>1966</v>
      </c>
      <c r="N142" s="5"/>
      <c r="O142" s="5"/>
      <c r="P142" s="5"/>
      <c r="Q142" s="5"/>
      <c r="R142" s="5"/>
      <c r="S142" s="5"/>
      <c r="T142" s="5"/>
      <c r="U142" s="5"/>
      <c r="V142" s="5"/>
      <c r="W142" s="5"/>
      <c r="X142" s="5"/>
      <c r="Y142" s="5"/>
      <c r="Z142" s="5"/>
    </row>
    <row r="143" ht="15.75" hidden="1" customHeight="1">
      <c r="A143" s="75">
        <v>45713.0</v>
      </c>
      <c r="B143" s="76">
        <f t="shared" si="6"/>
        <v>84</v>
      </c>
      <c r="C143" s="76">
        <f>67.45-4.25</f>
        <v>63.2</v>
      </c>
      <c r="D143" s="5" t="s">
        <v>26</v>
      </c>
      <c r="E143" s="5" t="s">
        <v>26</v>
      </c>
      <c r="F143" s="5" t="s">
        <v>26</v>
      </c>
      <c r="G143" s="5" t="s">
        <v>26</v>
      </c>
      <c r="H143" s="5" t="s">
        <v>25</v>
      </c>
      <c r="I143" s="5" t="s">
        <v>27</v>
      </c>
      <c r="J143" s="5" t="s">
        <v>25</v>
      </c>
      <c r="K143" s="82" t="s">
        <v>2124</v>
      </c>
      <c r="L143" s="5" t="s">
        <v>126</v>
      </c>
      <c r="M143" s="82" t="s">
        <v>2125</v>
      </c>
      <c r="N143" s="5" t="s">
        <v>2126</v>
      </c>
      <c r="O143" s="69" t="s">
        <v>2127</v>
      </c>
      <c r="P143" s="5"/>
      <c r="Q143" s="5"/>
      <c r="R143" s="5"/>
      <c r="S143" s="5"/>
      <c r="T143" s="5"/>
      <c r="U143" s="5"/>
      <c r="V143" s="5"/>
      <c r="W143" s="5"/>
      <c r="X143" s="5"/>
      <c r="Y143" s="5"/>
      <c r="Z143" s="5"/>
    </row>
    <row r="144" ht="15.75" hidden="1" customHeight="1">
      <c r="A144" s="75">
        <v>45714.0</v>
      </c>
      <c r="B144" s="76">
        <f t="shared" si="6"/>
        <v>88</v>
      </c>
      <c r="C144" s="76">
        <f>70.41-4.25</f>
        <v>66.16</v>
      </c>
      <c r="D144" s="5" t="s">
        <v>26</v>
      </c>
      <c r="E144" s="5" t="s">
        <v>26</v>
      </c>
      <c r="F144" s="5" t="s">
        <v>26</v>
      </c>
      <c r="G144" s="5" t="s">
        <v>26</v>
      </c>
      <c r="H144" s="5" t="s">
        <v>25</v>
      </c>
      <c r="I144" s="5" t="s">
        <v>27</v>
      </c>
      <c r="J144" s="5" t="s">
        <v>25</v>
      </c>
      <c r="K144" s="82" t="s">
        <v>2128</v>
      </c>
      <c r="L144" s="5" t="s">
        <v>126</v>
      </c>
      <c r="M144" s="82" t="s">
        <v>2129</v>
      </c>
      <c r="N144" s="5" t="s">
        <v>2126</v>
      </c>
      <c r="O144" s="87" t="s">
        <v>2130</v>
      </c>
      <c r="P144" s="5"/>
      <c r="Q144" s="5"/>
      <c r="R144" s="5"/>
      <c r="S144" s="5"/>
      <c r="T144" s="5"/>
      <c r="U144" s="5"/>
      <c r="V144" s="5"/>
      <c r="W144" s="5"/>
      <c r="X144" s="5"/>
      <c r="Y144" s="5"/>
      <c r="Z144" s="5"/>
    </row>
    <row r="145" ht="15.75" hidden="1" customHeight="1">
      <c r="A145" s="75">
        <v>45715.0</v>
      </c>
      <c r="B145" s="76">
        <f t="shared" si="6"/>
        <v>92</v>
      </c>
      <c r="C145" s="76">
        <f>81.64-8.5</f>
        <v>73.14</v>
      </c>
      <c r="D145" s="5" t="s">
        <v>26</v>
      </c>
      <c r="E145" s="5" t="s">
        <v>26</v>
      </c>
      <c r="F145" s="5" t="s">
        <v>26</v>
      </c>
      <c r="G145" s="5" t="s">
        <v>26</v>
      </c>
      <c r="H145" s="5" t="s">
        <v>25</v>
      </c>
      <c r="I145" s="5" t="s">
        <v>27</v>
      </c>
      <c r="J145" s="5" t="s">
        <v>25</v>
      </c>
      <c r="K145" s="82" t="s">
        <v>2131</v>
      </c>
      <c r="L145" s="5" t="s">
        <v>40</v>
      </c>
      <c r="M145" s="82" t="s">
        <v>2132</v>
      </c>
      <c r="N145" s="5" t="s">
        <v>2133</v>
      </c>
      <c r="O145" s="5"/>
      <c r="P145" s="5"/>
      <c r="Q145" s="5"/>
      <c r="R145" s="5"/>
      <c r="S145" s="5"/>
      <c r="T145" s="5"/>
      <c r="U145" s="5"/>
      <c r="V145" s="5"/>
      <c r="W145" s="5"/>
      <c r="X145" s="5"/>
      <c r="Y145" s="5"/>
      <c r="Z145" s="5"/>
    </row>
    <row r="146" ht="15.75" hidden="1" customHeight="1">
      <c r="A146" s="75">
        <v>45716.0</v>
      </c>
      <c r="B146" s="76">
        <f t="shared" si="6"/>
        <v>96</v>
      </c>
      <c r="C146" s="76">
        <f>87.72-8.5</f>
        <v>79.22</v>
      </c>
      <c r="D146" s="5" t="s">
        <v>26</v>
      </c>
      <c r="E146" s="5" t="s">
        <v>26</v>
      </c>
      <c r="F146" s="5" t="s">
        <v>26</v>
      </c>
      <c r="G146" s="5" t="s">
        <v>26</v>
      </c>
      <c r="H146" s="5" t="s">
        <v>25</v>
      </c>
      <c r="I146" s="5" t="s">
        <v>27</v>
      </c>
      <c r="J146" s="5" t="s">
        <v>25</v>
      </c>
      <c r="K146" s="82" t="s">
        <v>2134</v>
      </c>
      <c r="L146" s="5" t="s">
        <v>40</v>
      </c>
      <c r="M146" s="82" t="s">
        <v>2135</v>
      </c>
      <c r="N146" s="5" t="s">
        <v>2133</v>
      </c>
      <c r="O146" s="69" t="s">
        <v>2136</v>
      </c>
      <c r="P146" s="5"/>
      <c r="Q146" s="5"/>
      <c r="R146" s="5"/>
      <c r="S146" s="5"/>
      <c r="T146" s="5"/>
      <c r="U146" s="5"/>
      <c r="V146" s="5"/>
      <c r="W146" s="5"/>
      <c r="X146" s="5"/>
      <c r="Y146" s="5"/>
      <c r="Z146" s="5"/>
    </row>
    <row r="147" ht="15.75" hidden="1" customHeight="1">
      <c r="A147" s="86"/>
      <c r="B147" s="5"/>
      <c r="C147" s="5"/>
      <c r="D147" s="5"/>
      <c r="E147" s="5"/>
      <c r="F147" s="5"/>
      <c r="G147" s="5"/>
      <c r="H147" s="5"/>
      <c r="I147" s="5"/>
      <c r="J147" s="5"/>
      <c r="K147" s="82"/>
      <c r="L147" s="5"/>
      <c r="M147" s="82"/>
      <c r="N147" s="5"/>
      <c r="O147" s="5"/>
      <c r="P147" s="5"/>
      <c r="Q147" s="5"/>
      <c r="R147" s="5"/>
      <c r="S147" s="5"/>
      <c r="T147" s="5"/>
      <c r="U147" s="5"/>
      <c r="V147" s="5"/>
      <c r="W147" s="5"/>
      <c r="X147" s="5"/>
      <c r="Y147" s="5"/>
      <c r="Z147" s="5"/>
    </row>
    <row r="148" ht="15.75" hidden="1" customHeight="1">
      <c r="A148" s="75">
        <v>45717.0</v>
      </c>
      <c r="B148" s="76">
        <f>8</f>
        <v>8</v>
      </c>
      <c r="C148" s="76">
        <v>5.23</v>
      </c>
      <c r="D148" s="5" t="s">
        <v>26</v>
      </c>
      <c r="E148" s="5" t="s">
        <v>26</v>
      </c>
      <c r="F148" s="5" t="s">
        <v>26</v>
      </c>
      <c r="G148" s="5" t="s">
        <v>26</v>
      </c>
      <c r="H148" s="5" t="s">
        <v>25</v>
      </c>
      <c r="I148" s="5" t="s">
        <v>27</v>
      </c>
      <c r="J148" s="5" t="s">
        <v>25</v>
      </c>
      <c r="K148" s="82" t="s">
        <v>2137</v>
      </c>
      <c r="L148" s="5" t="s">
        <v>40</v>
      </c>
      <c r="M148" s="82" t="s">
        <v>2138</v>
      </c>
      <c r="N148" s="5"/>
      <c r="O148" s="69" t="s">
        <v>2136</v>
      </c>
      <c r="P148" s="5"/>
      <c r="Q148" s="5"/>
      <c r="R148" s="5"/>
      <c r="S148" s="5"/>
      <c r="T148" s="5"/>
      <c r="U148" s="5"/>
      <c r="V148" s="5"/>
      <c r="W148" s="5"/>
      <c r="X148" s="5"/>
      <c r="Y148" s="5"/>
      <c r="Z148" s="5"/>
    </row>
    <row r="149" ht="15.75" hidden="1" customHeight="1">
      <c r="A149" s="75">
        <v>45719.0</v>
      </c>
      <c r="B149" s="76">
        <f t="shared" ref="B149:B167" si="10">B148+8</f>
        <v>16</v>
      </c>
      <c r="C149" s="76">
        <v>9.71</v>
      </c>
      <c r="D149" s="5" t="s">
        <v>26</v>
      </c>
      <c r="E149" s="5" t="s">
        <v>26</v>
      </c>
      <c r="F149" s="5" t="s">
        <v>26</v>
      </c>
      <c r="G149" s="5" t="s">
        <v>26</v>
      </c>
      <c r="H149" s="5" t="s">
        <v>25</v>
      </c>
      <c r="I149" s="5" t="s">
        <v>27</v>
      </c>
      <c r="J149" s="5" t="s">
        <v>25</v>
      </c>
      <c r="K149" s="82" t="s">
        <v>2139</v>
      </c>
      <c r="L149" s="5" t="s">
        <v>40</v>
      </c>
      <c r="M149" s="82" t="s">
        <v>2140</v>
      </c>
      <c r="N149" s="5"/>
      <c r="O149" s="5"/>
      <c r="P149" s="5"/>
      <c r="Q149" s="5"/>
      <c r="R149" s="5"/>
      <c r="S149" s="5"/>
      <c r="T149" s="5"/>
      <c r="U149" s="5"/>
      <c r="V149" s="5"/>
      <c r="W149" s="5"/>
      <c r="X149" s="5"/>
      <c r="Y149" s="5"/>
      <c r="Z149" s="5"/>
    </row>
    <row r="150" ht="15.75" hidden="1" customHeight="1">
      <c r="A150" s="75">
        <v>45720.0</v>
      </c>
      <c r="B150" s="76">
        <f t="shared" si="10"/>
        <v>24</v>
      </c>
      <c r="C150" s="76">
        <v>14.79</v>
      </c>
      <c r="D150" s="5" t="s">
        <v>26</v>
      </c>
      <c r="E150" s="5" t="s">
        <v>26</v>
      </c>
      <c r="F150" s="5" t="s">
        <v>26</v>
      </c>
      <c r="G150" s="5" t="s">
        <v>26</v>
      </c>
      <c r="H150" s="5" t="s">
        <v>25</v>
      </c>
      <c r="I150" s="5" t="s">
        <v>27</v>
      </c>
      <c r="J150" s="5" t="s">
        <v>25</v>
      </c>
      <c r="K150" s="82" t="s">
        <v>2141</v>
      </c>
      <c r="L150" s="5" t="s">
        <v>40</v>
      </c>
      <c r="M150" s="82" t="s">
        <v>2142</v>
      </c>
      <c r="N150" s="84" t="s">
        <v>2143</v>
      </c>
      <c r="O150" s="5"/>
      <c r="P150" s="5"/>
      <c r="Q150" s="5"/>
      <c r="R150" s="5"/>
      <c r="S150" s="5"/>
      <c r="T150" s="5"/>
      <c r="U150" s="5"/>
      <c r="V150" s="5"/>
      <c r="W150" s="5"/>
      <c r="X150" s="5"/>
      <c r="Y150" s="5"/>
      <c r="Z150" s="5"/>
    </row>
    <row r="151" ht="15.75" hidden="1" customHeight="1">
      <c r="A151" s="75">
        <v>45721.0</v>
      </c>
      <c r="B151" s="76">
        <f t="shared" si="10"/>
        <v>32</v>
      </c>
      <c r="C151" s="76">
        <v>21.31</v>
      </c>
      <c r="D151" s="5" t="s">
        <v>26</v>
      </c>
      <c r="E151" s="5" t="s">
        <v>26</v>
      </c>
      <c r="F151" s="5" t="s">
        <v>26</v>
      </c>
      <c r="G151" s="5" t="s">
        <v>26</v>
      </c>
      <c r="H151" s="5" t="s">
        <v>25</v>
      </c>
      <c r="I151" s="5" t="s">
        <v>27</v>
      </c>
      <c r="J151" s="5" t="s">
        <v>25</v>
      </c>
      <c r="K151" s="82" t="s">
        <v>2144</v>
      </c>
      <c r="L151" s="5" t="s">
        <v>40</v>
      </c>
      <c r="M151" s="82" t="s">
        <v>2145</v>
      </c>
      <c r="N151" s="84" t="s">
        <v>2143</v>
      </c>
      <c r="O151" s="69" t="s">
        <v>2043</v>
      </c>
      <c r="P151" s="5"/>
      <c r="Q151" s="5"/>
      <c r="R151" s="5"/>
      <c r="S151" s="5"/>
      <c r="T151" s="5"/>
      <c r="U151" s="5"/>
      <c r="V151" s="5"/>
      <c r="W151" s="5"/>
      <c r="X151" s="5"/>
      <c r="Y151" s="5"/>
      <c r="Z151" s="5"/>
    </row>
    <row r="152" ht="15.75" hidden="1" customHeight="1">
      <c r="A152" s="75">
        <v>45722.0</v>
      </c>
      <c r="B152" s="76">
        <f t="shared" si="10"/>
        <v>40</v>
      </c>
      <c r="C152" s="76">
        <v>27.63</v>
      </c>
      <c r="D152" s="5" t="s">
        <v>26</v>
      </c>
      <c r="E152" s="5" t="s">
        <v>26</v>
      </c>
      <c r="F152" s="5" t="s">
        <v>26</v>
      </c>
      <c r="G152" s="5" t="s">
        <v>26</v>
      </c>
      <c r="H152" s="5" t="s">
        <v>25</v>
      </c>
      <c r="I152" s="5" t="s">
        <v>27</v>
      </c>
      <c r="J152" s="5" t="s">
        <v>25</v>
      </c>
      <c r="K152" s="82" t="s">
        <v>2146</v>
      </c>
      <c r="L152" s="5" t="s">
        <v>40</v>
      </c>
      <c r="M152" s="82" t="s">
        <v>2147</v>
      </c>
      <c r="N152" s="84" t="s">
        <v>2143</v>
      </c>
      <c r="O152" s="5"/>
      <c r="P152" s="5"/>
      <c r="Q152" s="5"/>
      <c r="R152" s="5"/>
      <c r="S152" s="5"/>
      <c r="T152" s="5"/>
      <c r="U152" s="5"/>
      <c r="V152" s="5"/>
      <c r="W152" s="5"/>
      <c r="X152" s="5"/>
      <c r="Y152" s="5"/>
      <c r="Z152" s="5"/>
    </row>
    <row r="153" ht="15.75" hidden="1" customHeight="1">
      <c r="A153" s="75">
        <v>45723.0</v>
      </c>
      <c r="B153" s="76">
        <f t="shared" si="10"/>
        <v>48</v>
      </c>
      <c r="C153" s="76">
        <v>32.63</v>
      </c>
      <c r="D153" s="5" t="s">
        <v>26</v>
      </c>
      <c r="E153" s="5" t="s">
        <v>26</v>
      </c>
      <c r="F153" s="5" t="s">
        <v>26</v>
      </c>
      <c r="G153" s="5" t="s">
        <v>26</v>
      </c>
      <c r="H153" s="5" t="s">
        <v>25</v>
      </c>
      <c r="I153" s="5" t="s">
        <v>27</v>
      </c>
      <c r="J153" s="5" t="s">
        <v>25</v>
      </c>
      <c r="K153" s="82" t="s">
        <v>2148</v>
      </c>
      <c r="L153" s="5" t="s">
        <v>40</v>
      </c>
      <c r="M153" s="82" t="s">
        <v>2149</v>
      </c>
      <c r="N153" s="84"/>
      <c r="O153" s="5"/>
      <c r="P153" s="5"/>
      <c r="Q153" s="5"/>
      <c r="R153" s="5"/>
      <c r="S153" s="5"/>
      <c r="T153" s="5"/>
      <c r="U153" s="5"/>
      <c r="V153" s="5"/>
      <c r="W153" s="5"/>
      <c r="X153" s="5"/>
      <c r="Y153" s="5"/>
      <c r="Z153" s="5"/>
    </row>
    <row r="154" ht="15.75" hidden="1" customHeight="1">
      <c r="A154" s="75">
        <v>45724.0</v>
      </c>
      <c r="B154" s="76">
        <f t="shared" si="10"/>
        <v>56</v>
      </c>
      <c r="C154" s="76">
        <v>36.48</v>
      </c>
      <c r="D154" s="5" t="s">
        <v>26</v>
      </c>
      <c r="E154" s="5" t="s">
        <v>26</v>
      </c>
      <c r="F154" s="5" t="s">
        <v>26</v>
      </c>
      <c r="G154" s="5" t="s">
        <v>26</v>
      </c>
      <c r="H154" s="5" t="s">
        <v>25</v>
      </c>
      <c r="I154" s="5" t="s">
        <v>27</v>
      </c>
      <c r="J154" s="5" t="s">
        <v>25</v>
      </c>
      <c r="K154" s="82" t="s">
        <v>2150</v>
      </c>
      <c r="L154" s="5" t="s">
        <v>40</v>
      </c>
      <c r="M154" s="82" t="s">
        <v>2151</v>
      </c>
      <c r="N154" s="84"/>
      <c r="O154" s="5"/>
      <c r="P154" s="5"/>
      <c r="Q154" s="5"/>
      <c r="R154" s="5"/>
      <c r="S154" s="5"/>
      <c r="T154" s="5"/>
      <c r="U154" s="5"/>
      <c r="V154" s="5"/>
      <c r="W154" s="5"/>
      <c r="X154" s="5"/>
      <c r="Y154" s="5"/>
      <c r="Z154" s="5"/>
    </row>
    <row r="155" ht="15.75" hidden="1" customHeight="1">
      <c r="A155" s="75">
        <v>45726.0</v>
      </c>
      <c r="B155" s="76">
        <f t="shared" si="10"/>
        <v>64</v>
      </c>
      <c r="C155" s="76">
        <v>42.91</v>
      </c>
      <c r="D155" s="5" t="s">
        <v>26</v>
      </c>
      <c r="E155" s="5" t="s">
        <v>26</v>
      </c>
      <c r="F155" s="5" t="s">
        <v>26</v>
      </c>
      <c r="G155" s="5" t="s">
        <v>26</v>
      </c>
      <c r="H155" s="5" t="s">
        <v>25</v>
      </c>
      <c r="I155" s="5" t="s">
        <v>27</v>
      </c>
      <c r="J155" s="5" t="s">
        <v>25</v>
      </c>
      <c r="K155" s="82" t="s">
        <v>2152</v>
      </c>
      <c r="L155" s="5" t="s">
        <v>40</v>
      </c>
      <c r="M155" s="82" t="s">
        <v>2153</v>
      </c>
      <c r="N155" s="84" t="s">
        <v>2154</v>
      </c>
      <c r="O155" s="5"/>
      <c r="P155" s="5"/>
      <c r="Q155" s="5"/>
      <c r="R155" s="5"/>
      <c r="S155" s="5"/>
      <c r="T155" s="5"/>
      <c r="U155" s="5"/>
      <c r="V155" s="5"/>
      <c r="W155" s="5"/>
      <c r="X155" s="5"/>
      <c r="Y155" s="5"/>
      <c r="Z155" s="5"/>
    </row>
    <row r="156" ht="15.75" hidden="1" customHeight="1">
      <c r="A156" s="75">
        <v>45727.0</v>
      </c>
      <c r="B156" s="76">
        <f t="shared" si="10"/>
        <v>72</v>
      </c>
      <c r="C156" s="76">
        <v>49.65</v>
      </c>
      <c r="D156" s="5" t="s">
        <v>26</v>
      </c>
      <c r="E156" s="5" t="s">
        <v>26</v>
      </c>
      <c r="F156" s="5" t="s">
        <v>26</v>
      </c>
      <c r="G156" s="5" t="s">
        <v>26</v>
      </c>
      <c r="H156" s="5" t="s">
        <v>25</v>
      </c>
      <c r="I156" s="5" t="s">
        <v>27</v>
      </c>
      <c r="J156" s="5" t="s">
        <v>25</v>
      </c>
      <c r="K156" s="82" t="s">
        <v>2155</v>
      </c>
      <c r="L156" s="5" t="s">
        <v>40</v>
      </c>
      <c r="M156" s="82" t="s">
        <v>2156</v>
      </c>
      <c r="N156" s="84" t="s">
        <v>2157</v>
      </c>
      <c r="O156" s="5"/>
      <c r="P156" s="5"/>
      <c r="Q156" s="5"/>
      <c r="R156" s="5"/>
      <c r="S156" s="5"/>
      <c r="T156" s="5"/>
      <c r="U156" s="5"/>
      <c r="V156" s="5"/>
      <c r="W156" s="5"/>
      <c r="X156" s="5"/>
      <c r="Y156" s="5"/>
      <c r="Z156" s="5"/>
    </row>
    <row r="157" ht="15.75" hidden="1" customHeight="1">
      <c r="A157" s="75">
        <v>45728.0</v>
      </c>
      <c r="B157" s="76">
        <f t="shared" si="10"/>
        <v>80</v>
      </c>
      <c r="C157" s="76">
        <v>58.63</v>
      </c>
      <c r="D157" s="5" t="s">
        <v>26</v>
      </c>
      <c r="E157" s="5" t="s">
        <v>26</v>
      </c>
      <c r="F157" s="5" t="s">
        <v>26</v>
      </c>
      <c r="G157" s="5" t="s">
        <v>26</v>
      </c>
      <c r="H157" s="5" t="s">
        <v>25</v>
      </c>
      <c r="I157" s="5" t="s">
        <v>27</v>
      </c>
      <c r="J157" s="5" t="s">
        <v>25</v>
      </c>
      <c r="K157" s="82" t="s">
        <v>2158</v>
      </c>
      <c r="L157" s="5" t="s">
        <v>40</v>
      </c>
      <c r="M157" s="82" t="s">
        <v>2159</v>
      </c>
      <c r="N157" s="84" t="s">
        <v>2160</v>
      </c>
      <c r="O157" s="5"/>
      <c r="P157" s="5"/>
      <c r="Q157" s="5"/>
      <c r="R157" s="5"/>
      <c r="S157" s="5"/>
      <c r="T157" s="5"/>
      <c r="U157" s="5"/>
      <c r="V157" s="5"/>
      <c r="W157" s="5"/>
      <c r="X157" s="5"/>
      <c r="Y157" s="5"/>
      <c r="Z157" s="5"/>
    </row>
    <row r="158" ht="15.75" hidden="1" customHeight="1">
      <c r="A158" s="75">
        <v>45729.0</v>
      </c>
      <c r="B158" s="76">
        <f t="shared" si="10"/>
        <v>88</v>
      </c>
      <c r="C158" s="76">
        <v>64.86</v>
      </c>
      <c r="D158" s="5" t="s">
        <v>26</v>
      </c>
      <c r="E158" s="5" t="s">
        <v>26</v>
      </c>
      <c r="F158" s="5" t="s">
        <v>26</v>
      </c>
      <c r="G158" s="5" t="s">
        <v>26</v>
      </c>
      <c r="H158" s="5" t="s">
        <v>25</v>
      </c>
      <c r="I158" s="5" t="s">
        <v>27</v>
      </c>
      <c r="J158" s="5" t="s">
        <v>25</v>
      </c>
      <c r="K158" s="82" t="s">
        <v>2161</v>
      </c>
      <c r="L158" s="5" t="s">
        <v>40</v>
      </c>
      <c r="M158" s="82" t="s">
        <v>2162</v>
      </c>
      <c r="N158" s="84" t="s">
        <v>2163</v>
      </c>
      <c r="O158" s="5"/>
      <c r="P158" s="5"/>
      <c r="Q158" s="5"/>
      <c r="R158" s="5"/>
      <c r="S158" s="5"/>
      <c r="T158" s="5"/>
      <c r="U158" s="5"/>
      <c r="V158" s="5"/>
      <c r="W158" s="5"/>
      <c r="X158" s="5"/>
      <c r="Y158" s="5"/>
      <c r="Z158" s="5"/>
    </row>
    <row r="159" ht="15.75" hidden="1" customHeight="1">
      <c r="A159" s="75">
        <v>45730.0</v>
      </c>
      <c r="B159" s="76">
        <f t="shared" si="10"/>
        <v>96</v>
      </c>
      <c r="C159" s="76">
        <v>68.75</v>
      </c>
      <c r="D159" s="5" t="s">
        <v>26</v>
      </c>
      <c r="E159" s="5" t="s">
        <v>26</v>
      </c>
      <c r="F159" s="5" t="s">
        <v>26</v>
      </c>
      <c r="G159" s="5" t="s">
        <v>26</v>
      </c>
      <c r="H159" s="5" t="s">
        <v>25</v>
      </c>
      <c r="I159" s="5" t="s">
        <v>27</v>
      </c>
      <c r="J159" s="5" t="s">
        <v>25</v>
      </c>
      <c r="K159" s="82" t="s">
        <v>2164</v>
      </c>
      <c r="L159" s="5" t="s">
        <v>40</v>
      </c>
      <c r="M159" s="82" t="s">
        <v>2165</v>
      </c>
      <c r="N159" s="84" t="s">
        <v>2166</v>
      </c>
      <c r="O159" s="5"/>
      <c r="P159" s="5"/>
      <c r="Q159" s="5"/>
      <c r="R159" s="5"/>
      <c r="S159" s="5"/>
      <c r="T159" s="5"/>
      <c r="U159" s="5"/>
      <c r="V159" s="5"/>
      <c r="W159" s="5"/>
      <c r="X159" s="5"/>
      <c r="Y159" s="5"/>
      <c r="Z159" s="5"/>
    </row>
    <row r="160" ht="15.75" hidden="1" customHeight="1">
      <c r="A160" s="75">
        <v>45731.0</v>
      </c>
      <c r="B160" s="76">
        <f t="shared" si="10"/>
        <v>104</v>
      </c>
      <c r="C160" s="76">
        <v>72.73</v>
      </c>
      <c r="D160" s="5" t="s">
        <v>26</v>
      </c>
      <c r="E160" s="5" t="s">
        <v>26</v>
      </c>
      <c r="F160" s="5" t="s">
        <v>26</v>
      </c>
      <c r="G160" s="5" t="s">
        <v>26</v>
      </c>
      <c r="H160" s="5" t="s">
        <v>25</v>
      </c>
      <c r="I160" s="5" t="s">
        <v>27</v>
      </c>
      <c r="J160" s="5" t="s">
        <v>25</v>
      </c>
      <c r="K160" s="82" t="s">
        <v>2167</v>
      </c>
      <c r="L160" s="5" t="s">
        <v>40</v>
      </c>
      <c r="M160" s="82" t="s">
        <v>2168</v>
      </c>
      <c r="N160" s="84" t="s">
        <v>2169</v>
      </c>
      <c r="O160" s="5"/>
      <c r="P160" s="5"/>
      <c r="Q160" s="5"/>
      <c r="R160" s="5"/>
      <c r="S160" s="5"/>
      <c r="T160" s="5"/>
      <c r="U160" s="5"/>
      <c r="V160" s="5"/>
      <c r="W160" s="5"/>
      <c r="X160" s="5"/>
      <c r="Y160" s="5"/>
      <c r="Z160" s="5"/>
    </row>
    <row r="161" ht="15.75" hidden="1" customHeight="1">
      <c r="A161" s="75">
        <v>45733.0</v>
      </c>
      <c r="B161" s="76">
        <f t="shared" si="10"/>
        <v>112</v>
      </c>
      <c r="C161" s="76">
        <v>79.79</v>
      </c>
      <c r="D161" s="5" t="s">
        <v>26</v>
      </c>
      <c r="E161" s="5" t="s">
        <v>26</v>
      </c>
      <c r="F161" s="5" t="s">
        <v>26</v>
      </c>
      <c r="G161" s="5" t="s">
        <v>26</v>
      </c>
      <c r="H161" s="5" t="s">
        <v>25</v>
      </c>
      <c r="I161" s="5" t="s">
        <v>27</v>
      </c>
      <c r="J161" s="5" t="s">
        <v>25</v>
      </c>
      <c r="K161" s="82" t="s">
        <v>2170</v>
      </c>
      <c r="L161" s="5" t="s">
        <v>40</v>
      </c>
      <c r="M161" s="82" t="s">
        <v>2171</v>
      </c>
      <c r="N161" s="84" t="s">
        <v>2172</v>
      </c>
      <c r="O161" s="5"/>
      <c r="P161" s="5"/>
      <c r="Q161" s="5"/>
      <c r="R161" s="5"/>
      <c r="S161" s="5"/>
      <c r="T161" s="5"/>
      <c r="U161" s="5"/>
      <c r="V161" s="5"/>
      <c r="W161" s="5"/>
      <c r="X161" s="5"/>
      <c r="Y161" s="5"/>
      <c r="Z161" s="5"/>
    </row>
    <row r="162" ht="15.75" hidden="1" customHeight="1">
      <c r="A162" s="75">
        <v>45734.0</v>
      </c>
      <c r="B162" s="76">
        <f t="shared" si="10"/>
        <v>120</v>
      </c>
      <c r="C162" s="76">
        <v>84.86</v>
      </c>
      <c r="D162" s="5" t="s">
        <v>26</v>
      </c>
      <c r="E162" s="5" t="s">
        <v>26</v>
      </c>
      <c r="F162" s="5" t="s">
        <v>26</v>
      </c>
      <c r="G162" s="5" t="s">
        <v>26</v>
      </c>
      <c r="H162" s="5" t="s">
        <v>25</v>
      </c>
      <c r="I162" s="5" t="s">
        <v>27</v>
      </c>
      <c r="J162" s="5" t="s">
        <v>25</v>
      </c>
      <c r="K162" s="82" t="s">
        <v>2173</v>
      </c>
      <c r="L162" s="5" t="s">
        <v>40</v>
      </c>
      <c r="M162" s="82" t="s">
        <v>2174</v>
      </c>
      <c r="N162" s="84" t="s">
        <v>2175</v>
      </c>
      <c r="O162" s="5"/>
      <c r="P162" s="5"/>
      <c r="Q162" s="5"/>
      <c r="R162" s="5"/>
      <c r="S162" s="5"/>
      <c r="T162" s="5"/>
      <c r="U162" s="5"/>
      <c r="V162" s="5"/>
      <c r="W162" s="5"/>
      <c r="X162" s="5"/>
      <c r="Y162" s="5"/>
      <c r="Z162" s="5"/>
    </row>
    <row r="163" ht="15.75" hidden="1" customHeight="1">
      <c r="A163" s="75">
        <v>45735.0</v>
      </c>
      <c r="B163" s="76">
        <f t="shared" si="10"/>
        <v>128</v>
      </c>
      <c r="C163" s="76">
        <f>C162+5.89</f>
        <v>90.75</v>
      </c>
      <c r="D163" s="5" t="s">
        <v>26</v>
      </c>
      <c r="E163" s="5" t="s">
        <v>26</v>
      </c>
      <c r="F163" s="5" t="s">
        <v>26</v>
      </c>
      <c r="G163" s="5" t="s">
        <v>26</v>
      </c>
      <c r="H163" s="5" t="s">
        <v>25</v>
      </c>
      <c r="I163" s="5" t="s">
        <v>27</v>
      </c>
      <c r="J163" s="5" t="s">
        <v>25</v>
      </c>
      <c r="K163" s="82" t="s">
        <v>2176</v>
      </c>
      <c r="L163" s="5" t="s">
        <v>40</v>
      </c>
      <c r="M163" s="82" t="s">
        <v>2177</v>
      </c>
      <c r="N163" s="84" t="s">
        <v>2178</v>
      </c>
      <c r="O163" s="5"/>
      <c r="P163" s="5"/>
      <c r="Q163" s="5"/>
      <c r="R163" s="5"/>
      <c r="S163" s="5"/>
      <c r="T163" s="5"/>
      <c r="U163" s="5"/>
      <c r="V163" s="5"/>
      <c r="W163" s="5"/>
      <c r="X163" s="5"/>
      <c r="Y163" s="5"/>
      <c r="Z163" s="5"/>
    </row>
    <row r="164" ht="15.75" hidden="1" customHeight="1">
      <c r="A164" s="75">
        <v>45736.0</v>
      </c>
      <c r="B164" s="76">
        <f t="shared" si="10"/>
        <v>136</v>
      </c>
      <c r="C164" s="76">
        <v>94.47</v>
      </c>
      <c r="D164" s="5" t="s">
        <v>26</v>
      </c>
      <c r="E164" s="5" t="s">
        <v>26</v>
      </c>
      <c r="F164" s="5" t="s">
        <v>26</v>
      </c>
      <c r="G164" s="5" t="s">
        <v>26</v>
      </c>
      <c r="H164" s="5" t="s">
        <v>25</v>
      </c>
      <c r="I164" s="5" t="s">
        <v>27</v>
      </c>
      <c r="J164" s="5" t="s">
        <v>25</v>
      </c>
      <c r="K164" s="82" t="s">
        <v>2179</v>
      </c>
      <c r="L164" s="5" t="s">
        <v>40</v>
      </c>
      <c r="M164" s="82" t="s">
        <v>2180</v>
      </c>
      <c r="N164" s="84" t="s">
        <v>2181</v>
      </c>
      <c r="O164" s="5"/>
      <c r="P164" s="5"/>
      <c r="Q164" s="5"/>
      <c r="R164" s="5"/>
      <c r="S164" s="5"/>
      <c r="T164" s="5"/>
      <c r="U164" s="5"/>
      <c r="V164" s="5"/>
      <c r="W164" s="5"/>
      <c r="X164" s="5"/>
      <c r="Y164" s="5"/>
      <c r="Z164" s="5"/>
    </row>
    <row r="165" ht="15.75" hidden="1" customHeight="1">
      <c r="A165" s="75">
        <v>45737.0</v>
      </c>
      <c r="B165" s="76">
        <f t="shared" si="10"/>
        <v>144</v>
      </c>
      <c r="C165" s="76">
        <v>98.3</v>
      </c>
      <c r="D165" s="5" t="s">
        <v>26</v>
      </c>
      <c r="E165" s="5" t="s">
        <v>26</v>
      </c>
      <c r="F165" s="5" t="s">
        <v>26</v>
      </c>
      <c r="G165" s="5" t="s">
        <v>26</v>
      </c>
      <c r="H165" s="5" t="s">
        <v>25</v>
      </c>
      <c r="I165" s="5" t="s">
        <v>27</v>
      </c>
      <c r="J165" s="5" t="s">
        <v>25</v>
      </c>
      <c r="K165" s="82" t="s">
        <v>2182</v>
      </c>
      <c r="L165" s="5" t="s">
        <v>40</v>
      </c>
      <c r="M165" s="82" t="s">
        <v>2183</v>
      </c>
      <c r="N165" s="84" t="s">
        <v>2184</v>
      </c>
      <c r="O165" s="5"/>
      <c r="P165" s="5"/>
      <c r="Q165" s="5"/>
      <c r="R165" s="5"/>
      <c r="S165" s="5"/>
      <c r="T165" s="5"/>
      <c r="U165" s="5"/>
      <c r="V165" s="5"/>
      <c r="W165" s="5"/>
      <c r="X165" s="5"/>
      <c r="Y165" s="5"/>
      <c r="Z165" s="5"/>
    </row>
    <row r="166" ht="15.75" hidden="1" customHeight="1">
      <c r="A166" s="75">
        <v>45738.0</v>
      </c>
      <c r="B166" s="76">
        <f t="shared" si="10"/>
        <v>152</v>
      </c>
      <c r="C166" s="76">
        <f>C165+1.89</f>
        <v>100.19</v>
      </c>
      <c r="D166" s="5" t="s">
        <v>26</v>
      </c>
      <c r="E166" s="5" t="s">
        <v>26</v>
      </c>
      <c r="F166" s="5" t="s">
        <v>26</v>
      </c>
      <c r="G166" s="5" t="s">
        <v>26</v>
      </c>
      <c r="H166" s="5" t="s">
        <v>25</v>
      </c>
      <c r="I166" s="5" t="s">
        <v>27</v>
      </c>
      <c r="J166" s="5" t="s">
        <v>25</v>
      </c>
      <c r="K166" s="82" t="s">
        <v>2185</v>
      </c>
      <c r="L166" s="5" t="s">
        <v>40</v>
      </c>
      <c r="M166" s="82" t="s">
        <v>2186</v>
      </c>
      <c r="N166" s="84" t="s">
        <v>2187</v>
      </c>
      <c r="O166" s="5"/>
      <c r="P166" s="5"/>
      <c r="Q166" s="5"/>
      <c r="R166" s="5"/>
      <c r="S166" s="5"/>
      <c r="T166" s="5"/>
      <c r="U166" s="5"/>
      <c r="V166" s="5"/>
      <c r="W166" s="5"/>
      <c r="X166" s="5"/>
      <c r="Y166" s="5"/>
      <c r="Z166" s="5"/>
    </row>
    <row r="167" ht="15.75" hidden="1" customHeight="1">
      <c r="A167" s="75">
        <v>45740.0</v>
      </c>
      <c r="B167" s="76">
        <f t="shared" si="10"/>
        <v>160</v>
      </c>
      <c r="C167" s="76">
        <f>C166+3.72</f>
        <v>103.91</v>
      </c>
      <c r="D167" s="5" t="s">
        <v>26</v>
      </c>
      <c r="E167" s="5" t="s">
        <v>26</v>
      </c>
      <c r="F167" s="5" t="s">
        <v>26</v>
      </c>
      <c r="G167" s="5" t="s">
        <v>26</v>
      </c>
      <c r="H167" s="5" t="s">
        <v>25</v>
      </c>
      <c r="I167" s="5" t="s">
        <v>27</v>
      </c>
      <c r="J167" s="5" t="s">
        <v>25</v>
      </c>
      <c r="K167" s="82" t="s">
        <v>2188</v>
      </c>
      <c r="L167" s="5" t="s">
        <v>126</v>
      </c>
      <c r="M167" s="82" t="s">
        <v>2189</v>
      </c>
      <c r="N167" s="84" t="s">
        <v>2187</v>
      </c>
      <c r="O167" s="5"/>
      <c r="P167" s="5"/>
      <c r="Q167" s="5"/>
      <c r="R167" s="5"/>
      <c r="S167" s="5"/>
      <c r="T167" s="5"/>
      <c r="U167" s="5"/>
      <c r="V167" s="5"/>
      <c r="W167" s="5"/>
      <c r="X167" s="5"/>
      <c r="Y167" s="5"/>
      <c r="Z167" s="5"/>
    </row>
    <row r="168" ht="15.75" hidden="1" customHeight="1">
      <c r="A168" s="75">
        <v>45741.0</v>
      </c>
      <c r="B168" s="76">
        <v>160.0</v>
      </c>
      <c r="C168" s="76">
        <v>103.91</v>
      </c>
      <c r="D168" s="5" t="s">
        <v>25</v>
      </c>
      <c r="E168" s="5" t="s">
        <v>25</v>
      </c>
      <c r="F168" s="5" t="s">
        <v>26</v>
      </c>
      <c r="G168" s="5" t="s">
        <v>26</v>
      </c>
      <c r="H168" s="5" t="s">
        <v>25</v>
      </c>
      <c r="I168" s="5" t="s">
        <v>27</v>
      </c>
      <c r="J168" s="5" t="s">
        <v>25</v>
      </c>
      <c r="K168" s="82" t="s">
        <v>2190</v>
      </c>
      <c r="L168" s="5" t="s">
        <v>126</v>
      </c>
      <c r="M168" s="82" t="s">
        <v>2191</v>
      </c>
      <c r="N168" s="84" t="s">
        <v>2187</v>
      </c>
      <c r="O168" s="5"/>
      <c r="P168" s="5"/>
      <c r="Q168" s="5"/>
      <c r="R168" s="5"/>
      <c r="S168" s="5"/>
      <c r="T168" s="5"/>
      <c r="U168" s="5"/>
      <c r="V168" s="5"/>
      <c r="W168" s="5"/>
      <c r="X168" s="5"/>
      <c r="Y168" s="5"/>
      <c r="Z168" s="5"/>
    </row>
    <row r="169" ht="15.75" hidden="1" customHeight="1">
      <c r="A169" s="75">
        <v>45742.0</v>
      </c>
      <c r="B169" s="76">
        <v>160.0</v>
      </c>
      <c r="C169" s="76">
        <v>103.91</v>
      </c>
      <c r="D169" s="5" t="s">
        <v>25</v>
      </c>
      <c r="E169" s="5" t="s">
        <v>25</v>
      </c>
      <c r="F169" s="5" t="s">
        <v>26</v>
      </c>
      <c r="G169" s="5" t="s">
        <v>26</v>
      </c>
      <c r="H169" s="5" t="s">
        <v>25</v>
      </c>
      <c r="I169" s="5" t="s">
        <v>27</v>
      </c>
      <c r="J169" s="5" t="s">
        <v>25</v>
      </c>
      <c r="K169" s="82" t="s">
        <v>2192</v>
      </c>
      <c r="L169" s="5" t="s">
        <v>126</v>
      </c>
      <c r="M169" s="82" t="s">
        <v>1966</v>
      </c>
      <c r="N169" s="5"/>
      <c r="O169" s="84" t="s">
        <v>2193</v>
      </c>
      <c r="P169" s="5"/>
      <c r="Q169" s="5"/>
      <c r="R169" s="5"/>
      <c r="S169" s="5"/>
      <c r="T169" s="5"/>
      <c r="U169" s="5"/>
      <c r="V169" s="5"/>
      <c r="W169" s="5"/>
      <c r="X169" s="5"/>
      <c r="Y169" s="5"/>
      <c r="Z169" s="5"/>
    </row>
    <row r="170" ht="15.75" hidden="1" customHeight="1">
      <c r="A170" s="75">
        <v>45743.0</v>
      </c>
      <c r="B170" s="76">
        <v>160.0</v>
      </c>
      <c r="C170" s="76">
        <v>103.91</v>
      </c>
      <c r="D170" s="5" t="s">
        <v>25</v>
      </c>
      <c r="E170" s="5" t="s">
        <v>25</v>
      </c>
      <c r="F170" s="5" t="s">
        <v>26</v>
      </c>
      <c r="G170" s="5" t="s">
        <v>26</v>
      </c>
      <c r="H170" s="5" t="s">
        <v>25</v>
      </c>
      <c r="I170" s="5" t="s">
        <v>27</v>
      </c>
      <c r="J170" s="5" t="s">
        <v>25</v>
      </c>
      <c r="K170" s="82" t="s">
        <v>2194</v>
      </c>
      <c r="L170" s="5" t="s">
        <v>126</v>
      </c>
      <c r="M170" s="82" t="s">
        <v>1966</v>
      </c>
      <c r="N170" s="5"/>
      <c r="O170" s="84"/>
      <c r="P170" s="5"/>
      <c r="Q170" s="5"/>
      <c r="R170" s="5"/>
      <c r="S170" s="5"/>
      <c r="T170" s="5"/>
      <c r="U170" s="5"/>
      <c r="V170" s="5"/>
      <c r="W170" s="5"/>
      <c r="X170" s="5"/>
      <c r="Y170" s="5"/>
      <c r="Z170" s="5"/>
    </row>
    <row r="171" ht="15.75" hidden="1" customHeight="1">
      <c r="A171" s="75">
        <v>45744.0</v>
      </c>
      <c r="B171" s="76">
        <v>160.0</v>
      </c>
      <c r="C171" s="76">
        <v>110.05</v>
      </c>
      <c r="D171" s="5" t="s">
        <v>26</v>
      </c>
      <c r="E171" s="5" t="s">
        <v>26</v>
      </c>
      <c r="F171" s="5" t="s">
        <v>26</v>
      </c>
      <c r="G171" s="5" t="s">
        <v>26</v>
      </c>
      <c r="H171" s="5" t="s">
        <v>25</v>
      </c>
      <c r="I171" s="5" t="s">
        <v>27</v>
      </c>
      <c r="J171" s="5" t="s">
        <v>25</v>
      </c>
      <c r="K171" s="82" t="s">
        <v>2195</v>
      </c>
      <c r="L171" s="5" t="s">
        <v>126</v>
      </c>
      <c r="M171" s="82" t="s">
        <v>2196</v>
      </c>
      <c r="N171" s="5"/>
      <c r="O171" s="84"/>
      <c r="P171" s="5"/>
      <c r="Q171" s="5"/>
      <c r="R171" s="5"/>
      <c r="S171" s="5"/>
      <c r="T171" s="5"/>
      <c r="U171" s="5"/>
      <c r="V171" s="5"/>
      <c r="W171" s="5"/>
      <c r="X171" s="5"/>
      <c r="Y171" s="5"/>
      <c r="Z171" s="5"/>
    </row>
    <row r="172" ht="15.75" hidden="1" customHeight="1">
      <c r="A172" s="75">
        <v>45747.0</v>
      </c>
      <c r="B172" s="76">
        <v>160.0</v>
      </c>
      <c r="C172" s="76">
        <v>114.3</v>
      </c>
      <c r="D172" s="5" t="s">
        <v>26</v>
      </c>
      <c r="E172" s="5" t="s">
        <v>26</v>
      </c>
      <c r="F172" s="5" t="s">
        <v>26</v>
      </c>
      <c r="G172" s="5" t="s">
        <v>26</v>
      </c>
      <c r="H172" s="5" t="s">
        <v>25</v>
      </c>
      <c r="I172" s="5" t="s">
        <v>27</v>
      </c>
      <c r="J172" s="5" t="s">
        <v>25</v>
      </c>
      <c r="K172" s="82" t="s">
        <v>2197</v>
      </c>
      <c r="L172" s="5" t="s">
        <v>126</v>
      </c>
      <c r="M172" s="82" t="s">
        <v>2198</v>
      </c>
      <c r="N172" s="69" t="s">
        <v>2199</v>
      </c>
      <c r="O172" s="84"/>
      <c r="P172" s="5"/>
      <c r="Q172" s="5"/>
      <c r="R172" s="5"/>
      <c r="S172" s="5"/>
      <c r="T172" s="5"/>
      <c r="U172" s="5"/>
      <c r="V172" s="5"/>
      <c r="W172" s="5"/>
      <c r="X172" s="5"/>
      <c r="Y172" s="5"/>
      <c r="Z172" s="5"/>
    </row>
    <row r="173" ht="15.75" hidden="1" customHeight="1">
      <c r="A173" s="88">
        <v>45748.0</v>
      </c>
      <c r="B173" s="76">
        <v>8.0</v>
      </c>
      <c r="C173" s="76">
        <v>4.7</v>
      </c>
      <c r="D173" s="5" t="s">
        <v>26</v>
      </c>
      <c r="E173" s="5" t="s">
        <v>26</v>
      </c>
      <c r="F173" s="5" t="s">
        <v>26</v>
      </c>
      <c r="G173" s="5" t="s">
        <v>26</v>
      </c>
      <c r="H173" s="5" t="s">
        <v>25</v>
      </c>
      <c r="I173" s="5" t="s">
        <v>27</v>
      </c>
      <c r="J173" s="5" t="s">
        <v>25</v>
      </c>
      <c r="K173" s="82" t="s">
        <v>2200</v>
      </c>
      <c r="L173" s="5" t="s">
        <v>126</v>
      </c>
      <c r="M173" s="82" t="s">
        <v>2201</v>
      </c>
      <c r="N173" s="69" t="s">
        <v>2202</v>
      </c>
      <c r="O173" s="84"/>
      <c r="P173" s="5"/>
      <c r="Q173" s="5"/>
      <c r="R173" s="5"/>
      <c r="S173" s="5"/>
      <c r="T173" s="5"/>
      <c r="U173" s="5"/>
      <c r="V173" s="5"/>
      <c r="W173" s="5"/>
      <c r="X173" s="5"/>
      <c r="Y173" s="5"/>
      <c r="Z173" s="5"/>
    </row>
    <row r="174" ht="15.75" hidden="1" customHeight="1">
      <c r="A174" s="88">
        <v>45749.0</v>
      </c>
      <c r="B174" s="76">
        <f t="shared" ref="B174:B192" si="11">B173+8</f>
        <v>16</v>
      </c>
      <c r="C174" s="76">
        <f>C173+5.25</f>
        <v>9.95</v>
      </c>
      <c r="D174" s="5" t="s">
        <v>26</v>
      </c>
      <c r="E174" s="5" t="s">
        <v>26</v>
      </c>
      <c r="F174" s="5" t="s">
        <v>26</v>
      </c>
      <c r="G174" s="5" t="s">
        <v>26</v>
      </c>
      <c r="H174" s="5" t="s">
        <v>25</v>
      </c>
      <c r="I174" s="5" t="s">
        <v>27</v>
      </c>
      <c r="J174" s="5" t="s">
        <v>25</v>
      </c>
      <c r="K174" s="82" t="s">
        <v>2203</v>
      </c>
      <c r="L174" s="5" t="s">
        <v>40</v>
      </c>
      <c r="M174" s="82" t="s">
        <v>2204</v>
      </c>
      <c r="N174" s="5"/>
      <c r="O174" s="84" t="s">
        <v>2205</v>
      </c>
      <c r="P174" s="5"/>
      <c r="Q174" s="5"/>
      <c r="R174" s="5"/>
      <c r="S174" s="5"/>
      <c r="T174" s="5"/>
      <c r="U174" s="5"/>
      <c r="V174" s="5"/>
      <c r="W174" s="5"/>
      <c r="X174" s="5"/>
      <c r="Y174" s="5"/>
      <c r="Z174" s="5"/>
    </row>
    <row r="175" ht="15.75" hidden="1" customHeight="1">
      <c r="A175" s="88">
        <v>45750.0</v>
      </c>
      <c r="B175" s="76">
        <f t="shared" si="11"/>
        <v>24</v>
      </c>
      <c r="C175" s="76">
        <v>15.69</v>
      </c>
      <c r="D175" s="5" t="s">
        <v>26</v>
      </c>
      <c r="E175" s="5" t="s">
        <v>26</v>
      </c>
      <c r="F175" s="5" t="s">
        <v>26</v>
      </c>
      <c r="G175" s="5" t="s">
        <v>26</v>
      </c>
      <c r="H175" s="5" t="s">
        <v>25</v>
      </c>
      <c r="I175" s="5" t="s">
        <v>27</v>
      </c>
      <c r="J175" s="5" t="s">
        <v>25</v>
      </c>
      <c r="K175" s="82" t="s">
        <v>2206</v>
      </c>
      <c r="L175" s="5" t="s">
        <v>40</v>
      </c>
      <c r="M175" s="82" t="s">
        <v>2207</v>
      </c>
      <c r="N175" s="5"/>
      <c r="O175" s="84" t="s">
        <v>2205</v>
      </c>
      <c r="P175" s="5"/>
      <c r="Q175" s="5"/>
      <c r="R175" s="5"/>
      <c r="S175" s="5"/>
      <c r="T175" s="5"/>
      <c r="U175" s="5"/>
      <c r="V175" s="5"/>
      <c r="W175" s="5"/>
      <c r="X175" s="5"/>
      <c r="Y175" s="5"/>
      <c r="Z175" s="5"/>
    </row>
    <row r="176" ht="15.75" hidden="1" customHeight="1">
      <c r="A176" s="88">
        <v>45751.0</v>
      </c>
      <c r="B176" s="76">
        <f t="shared" si="11"/>
        <v>32</v>
      </c>
      <c r="C176" s="76">
        <v>22.1</v>
      </c>
      <c r="D176" s="5" t="s">
        <v>26</v>
      </c>
      <c r="E176" s="5" t="s">
        <v>26</v>
      </c>
      <c r="F176" s="5" t="s">
        <v>26</v>
      </c>
      <c r="G176" s="5" t="s">
        <v>26</v>
      </c>
      <c r="H176" s="5" t="s">
        <v>25</v>
      </c>
      <c r="I176" s="5" t="s">
        <v>27</v>
      </c>
      <c r="J176" s="5" t="s">
        <v>25</v>
      </c>
      <c r="K176" s="82" t="s">
        <v>2208</v>
      </c>
      <c r="L176" s="5" t="s">
        <v>40</v>
      </c>
      <c r="M176" s="82" t="s">
        <v>2209</v>
      </c>
      <c r="N176" s="69" t="s">
        <v>2210</v>
      </c>
      <c r="O176" s="84" t="s">
        <v>2205</v>
      </c>
      <c r="P176" s="5"/>
      <c r="Q176" s="5"/>
      <c r="R176" s="5"/>
      <c r="S176" s="5"/>
      <c r="T176" s="5"/>
      <c r="U176" s="5"/>
      <c r="V176" s="5"/>
      <c r="W176" s="5"/>
      <c r="X176" s="5"/>
      <c r="Y176" s="5"/>
      <c r="Z176" s="5"/>
    </row>
    <row r="177" ht="15.75" hidden="1" customHeight="1">
      <c r="A177" s="88">
        <v>45754.0</v>
      </c>
      <c r="B177" s="76">
        <f t="shared" si="11"/>
        <v>40</v>
      </c>
      <c r="C177" s="76">
        <v>30.83</v>
      </c>
      <c r="D177" s="5" t="s">
        <v>26</v>
      </c>
      <c r="E177" s="5" t="s">
        <v>26</v>
      </c>
      <c r="F177" s="5" t="s">
        <v>26</v>
      </c>
      <c r="G177" s="5" t="s">
        <v>26</v>
      </c>
      <c r="H177" s="5" t="s">
        <v>25</v>
      </c>
      <c r="I177" s="5" t="s">
        <v>27</v>
      </c>
      <c r="J177" s="5" t="s">
        <v>25</v>
      </c>
      <c r="K177" s="82" t="s">
        <v>2211</v>
      </c>
      <c r="L177" s="5" t="s">
        <v>40</v>
      </c>
      <c r="M177" s="82" t="s">
        <v>2212</v>
      </c>
      <c r="N177" s="5"/>
      <c r="O177" s="5"/>
      <c r="P177" s="5"/>
      <c r="Q177" s="5"/>
      <c r="R177" s="5"/>
      <c r="S177" s="5"/>
      <c r="T177" s="5"/>
      <c r="U177" s="5"/>
      <c r="V177" s="5"/>
      <c r="W177" s="5"/>
      <c r="X177" s="5"/>
      <c r="Y177" s="5"/>
      <c r="Z177" s="5"/>
    </row>
    <row r="178" ht="15.75" hidden="1" customHeight="1">
      <c r="A178" s="88">
        <v>45755.0</v>
      </c>
      <c r="B178" s="76">
        <f t="shared" si="11"/>
        <v>48</v>
      </c>
      <c r="C178" s="76">
        <v>34.88</v>
      </c>
      <c r="D178" s="5" t="s">
        <v>26</v>
      </c>
      <c r="E178" s="5" t="s">
        <v>26</v>
      </c>
      <c r="F178" s="5" t="s">
        <v>26</v>
      </c>
      <c r="G178" s="5" t="s">
        <v>26</v>
      </c>
      <c r="H178" s="5" t="s">
        <v>25</v>
      </c>
      <c r="I178" s="5" t="s">
        <v>27</v>
      </c>
      <c r="J178" s="5" t="s">
        <v>25</v>
      </c>
      <c r="K178" s="82" t="s">
        <v>2213</v>
      </c>
      <c r="L178" s="5" t="s">
        <v>40</v>
      </c>
      <c r="M178" s="82" t="s">
        <v>2214</v>
      </c>
      <c r="N178" s="5"/>
      <c r="O178" s="5"/>
      <c r="P178" s="5"/>
      <c r="Q178" s="5"/>
      <c r="R178" s="5"/>
      <c r="S178" s="5"/>
      <c r="T178" s="5"/>
      <c r="U178" s="5"/>
      <c r="V178" s="5"/>
      <c r="W178" s="5"/>
      <c r="X178" s="5"/>
      <c r="Y178" s="5"/>
      <c r="Z178" s="5"/>
    </row>
    <row r="179" ht="15.75" hidden="1" customHeight="1">
      <c r="A179" s="88">
        <v>45756.0</v>
      </c>
      <c r="B179" s="76">
        <f t="shared" si="11"/>
        <v>56</v>
      </c>
      <c r="C179" s="76">
        <v>41.36</v>
      </c>
      <c r="D179" s="5" t="s">
        <v>26</v>
      </c>
      <c r="E179" s="5" t="s">
        <v>26</v>
      </c>
      <c r="F179" s="5" t="s">
        <v>26</v>
      </c>
      <c r="G179" s="5" t="s">
        <v>26</v>
      </c>
      <c r="H179" s="5" t="s">
        <v>25</v>
      </c>
      <c r="I179" s="5" t="s">
        <v>27</v>
      </c>
      <c r="J179" s="5" t="s">
        <v>25</v>
      </c>
      <c r="K179" s="82" t="s">
        <v>2215</v>
      </c>
      <c r="L179" s="5" t="s">
        <v>40</v>
      </c>
      <c r="M179" s="82" t="s">
        <v>2216</v>
      </c>
      <c r="N179" s="5"/>
      <c r="O179" s="84" t="s">
        <v>2205</v>
      </c>
      <c r="P179" s="5"/>
      <c r="Q179" s="5"/>
      <c r="R179" s="5"/>
      <c r="S179" s="5"/>
      <c r="T179" s="5"/>
      <c r="U179" s="5"/>
      <c r="V179" s="5"/>
      <c r="W179" s="5"/>
      <c r="X179" s="5"/>
      <c r="Y179" s="5"/>
      <c r="Z179" s="5"/>
    </row>
    <row r="180" ht="15.75" hidden="1" customHeight="1">
      <c r="A180" s="88">
        <v>45757.0</v>
      </c>
      <c r="B180" s="76">
        <f t="shared" si="11"/>
        <v>64</v>
      </c>
      <c r="C180" s="76">
        <v>47.63</v>
      </c>
      <c r="D180" s="5" t="s">
        <v>26</v>
      </c>
      <c r="E180" s="5" t="s">
        <v>26</v>
      </c>
      <c r="F180" s="5" t="s">
        <v>26</v>
      </c>
      <c r="G180" s="5" t="s">
        <v>26</v>
      </c>
      <c r="H180" s="5" t="s">
        <v>25</v>
      </c>
      <c r="I180" s="5" t="s">
        <v>27</v>
      </c>
      <c r="J180" s="5" t="s">
        <v>25</v>
      </c>
      <c r="K180" s="82" t="s">
        <v>2217</v>
      </c>
      <c r="L180" s="5" t="s">
        <v>40</v>
      </c>
      <c r="M180" s="82" t="s">
        <v>2218</v>
      </c>
      <c r="N180" s="5"/>
      <c r="O180" s="84"/>
      <c r="P180" s="5"/>
      <c r="Q180" s="5"/>
      <c r="R180" s="5"/>
      <c r="S180" s="5"/>
      <c r="T180" s="5"/>
      <c r="U180" s="5"/>
      <c r="V180" s="5"/>
      <c r="W180" s="5"/>
      <c r="X180" s="5"/>
      <c r="Y180" s="5"/>
      <c r="Z180" s="5"/>
    </row>
    <row r="181" ht="15.75" hidden="1" customHeight="1">
      <c r="A181" s="88">
        <v>45758.0</v>
      </c>
      <c r="B181" s="76">
        <f t="shared" si="11"/>
        <v>72</v>
      </c>
      <c r="C181" s="76">
        <v>55.21</v>
      </c>
      <c r="D181" s="5" t="s">
        <v>26</v>
      </c>
      <c r="E181" s="5" t="s">
        <v>26</v>
      </c>
      <c r="F181" s="5" t="s">
        <v>26</v>
      </c>
      <c r="G181" s="5" t="s">
        <v>26</v>
      </c>
      <c r="H181" s="5" t="s">
        <v>25</v>
      </c>
      <c r="I181" s="5" t="s">
        <v>27</v>
      </c>
      <c r="J181" s="5" t="s">
        <v>25</v>
      </c>
      <c r="K181" s="82" t="s">
        <v>2219</v>
      </c>
      <c r="L181" s="5" t="s">
        <v>40</v>
      </c>
      <c r="M181" s="82" t="s">
        <v>2220</v>
      </c>
      <c r="N181" s="5"/>
      <c r="O181" s="5"/>
      <c r="P181" s="5"/>
      <c r="Q181" s="5"/>
      <c r="R181" s="5"/>
      <c r="S181" s="5"/>
      <c r="T181" s="5"/>
      <c r="U181" s="5"/>
      <c r="V181" s="5"/>
      <c r="W181" s="5"/>
      <c r="X181" s="5"/>
      <c r="Y181" s="5"/>
      <c r="Z181" s="5"/>
    </row>
    <row r="182" ht="15.75" hidden="1" customHeight="1">
      <c r="A182" s="88">
        <v>45759.0</v>
      </c>
      <c r="B182" s="76">
        <f t="shared" si="11"/>
        <v>80</v>
      </c>
      <c r="C182" s="76">
        <v>61.27</v>
      </c>
      <c r="D182" s="5" t="s">
        <v>26</v>
      </c>
      <c r="E182" s="5" t="s">
        <v>26</v>
      </c>
      <c r="F182" s="5" t="s">
        <v>26</v>
      </c>
      <c r="G182" s="5" t="s">
        <v>26</v>
      </c>
      <c r="H182" s="5" t="s">
        <v>25</v>
      </c>
      <c r="I182" s="5" t="s">
        <v>27</v>
      </c>
      <c r="J182" s="5" t="s">
        <v>25</v>
      </c>
      <c r="K182" s="82" t="s">
        <v>2221</v>
      </c>
      <c r="L182" s="5" t="s">
        <v>40</v>
      </c>
      <c r="M182" s="82" t="s">
        <v>2222</v>
      </c>
      <c r="N182" s="5"/>
      <c r="O182" s="5"/>
      <c r="P182" s="5"/>
      <c r="Q182" s="5"/>
      <c r="R182" s="5"/>
      <c r="S182" s="5"/>
      <c r="T182" s="5"/>
      <c r="U182" s="5"/>
      <c r="V182" s="5"/>
      <c r="W182" s="5"/>
      <c r="X182" s="5"/>
      <c r="Y182" s="5"/>
      <c r="Z182" s="5"/>
    </row>
    <row r="183" ht="15.75" hidden="1" customHeight="1">
      <c r="A183" s="88">
        <v>45762.0</v>
      </c>
      <c r="B183" s="76">
        <f t="shared" si="11"/>
        <v>88</v>
      </c>
      <c r="C183" s="76">
        <v>67.07</v>
      </c>
      <c r="D183" s="5" t="s">
        <v>26</v>
      </c>
      <c r="E183" s="5" t="s">
        <v>26</v>
      </c>
      <c r="F183" s="5" t="s">
        <v>26</v>
      </c>
      <c r="G183" s="5" t="s">
        <v>26</v>
      </c>
      <c r="H183" s="5" t="s">
        <v>25</v>
      </c>
      <c r="I183" s="5" t="s">
        <v>27</v>
      </c>
      <c r="J183" s="5" t="s">
        <v>25</v>
      </c>
      <c r="K183" s="82" t="s">
        <v>2223</v>
      </c>
      <c r="L183" s="5" t="s">
        <v>40</v>
      </c>
      <c r="M183" s="82" t="s">
        <v>2224</v>
      </c>
      <c r="N183" s="5"/>
      <c r="O183" s="5"/>
      <c r="P183" s="5"/>
      <c r="Q183" s="5"/>
      <c r="R183" s="5"/>
      <c r="S183" s="5"/>
      <c r="T183" s="5"/>
      <c r="U183" s="5"/>
      <c r="V183" s="5"/>
      <c r="W183" s="5"/>
      <c r="X183" s="5"/>
      <c r="Y183" s="5"/>
      <c r="Z183" s="5"/>
    </row>
    <row r="184" ht="15.75" hidden="1" customHeight="1">
      <c r="A184" s="88">
        <v>45763.0</v>
      </c>
      <c r="B184" s="76">
        <f t="shared" si="11"/>
        <v>96</v>
      </c>
      <c r="C184" s="76">
        <v>70.85</v>
      </c>
      <c r="D184" s="5" t="s">
        <v>26</v>
      </c>
      <c r="E184" s="5" t="s">
        <v>26</v>
      </c>
      <c r="F184" s="5" t="s">
        <v>26</v>
      </c>
      <c r="G184" s="5" t="s">
        <v>26</v>
      </c>
      <c r="H184" s="5" t="s">
        <v>25</v>
      </c>
      <c r="I184" s="5" t="s">
        <v>27</v>
      </c>
      <c r="J184" s="5" t="s">
        <v>25</v>
      </c>
      <c r="K184" s="82" t="s">
        <v>2225</v>
      </c>
      <c r="L184" s="5" t="s">
        <v>40</v>
      </c>
      <c r="M184" s="82" t="s">
        <v>2226</v>
      </c>
      <c r="N184" s="5"/>
      <c r="O184" s="5"/>
      <c r="P184" s="5"/>
      <c r="Q184" s="5"/>
      <c r="R184" s="5"/>
      <c r="S184" s="5"/>
      <c r="T184" s="5"/>
      <c r="U184" s="5"/>
      <c r="V184" s="5"/>
      <c r="W184" s="5"/>
      <c r="X184" s="5"/>
      <c r="Y184" s="5"/>
      <c r="Z184" s="5"/>
    </row>
    <row r="185" ht="15.75" hidden="1" customHeight="1">
      <c r="A185" s="88">
        <v>45764.0</v>
      </c>
      <c r="B185" s="76">
        <f t="shared" si="11"/>
        <v>104</v>
      </c>
      <c r="C185" s="76">
        <f>70.85+5.05</f>
        <v>75.9</v>
      </c>
      <c r="D185" s="5" t="s">
        <v>26</v>
      </c>
      <c r="E185" s="5" t="s">
        <v>26</v>
      </c>
      <c r="F185" s="5" t="s">
        <v>26</v>
      </c>
      <c r="G185" s="5" t="s">
        <v>26</v>
      </c>
      <c r="H185" s="5" t="s">
        <v>25</v>
      </c>
      <c r="I185" s="5" t="s">
        <v>27</v>
      </c>
      <c r="J185" s="5" t="s">
        <v>25</v>
      </c>
      <c r="K185" s="82" t="s">
        <v>2227</v>
      </c>
      <c r="L185" s="5" t="s">
        <v>40</v>
      </c>
      <c r="M185" s="82" t="s">
        <v>2228</v>
      </c>
      <c r="N185" s="5"/>
      <c r="O185" s="5"/>
      <c r="P185" s="5"/>
      <c r="Q185" s="5"/>
      <c r="R185" s="5"/>
      <c r="S185" s="5"/>
      <c r="T185" s="5"/>
      <c r="U185" s="5"/>
      <c r="V185" s="5"/>
      <c r="W185" s="5"/>
      <c r="X185" s="5"/>
      <c r="Y185" s="5"/>
      <c r="Z185" s="5"/>
    </row>
    <row r="186" ht="15.75" hidden="1" customHeight="1">
      <c r="A186" s="88">
        <v>45765.0</v>
      </c>
      <c r="B186" s="76">
        <f t="shared" si="11"/>
        <v>112</v>
      </c>
      <c r="C186" s="76">
        <v>82.15</v>
      </c>
      <c r="D186" s="5" t="s">
        <v>26</v>
      </c>
      <c r="E186" s="5" t="s">
        <v>26</v>
      </c>
      <c r="F186" s="5" t="s">
        <v>26</v>
      </c>
      <c r="G186" s="5" t="s">
        <v>26</v>
      </c>
      <c r="H186" s="5" t="s">
        <v>25</v>
      </c>
      <c r="I186" s="5" t="s">
        <v>27</v>
      </c>
      <c r="J186" s="5" t="s">
        <v>25</v>
      </c>
      <c r="K186" s="82" t="s">
        <v>2229</v>
      </c>
      <c r="L186" s="5" t="s">
        <v>40</v>
      </c>
      <c r="M186" s="82" t="s">
        <v>2230</v>
      </c>
      <c r="N186" s="5"/>
      <c r="O186" s="5"/>
      <c r="P186" s="5"/>
      <c r="Q186" s="5"/>
      <c r="R186" s="5"/>
      <c r="S186" s="5"/>
      <c r="T186" s="5"/>
      <c r="U186" s="5"/>
      <c r="V186" s="5"/>
      <c r="W186" s="5"/>
      <c r="X186" s="5"/>
      <c r="Y186" s="5"/>
      <c r="Z186" s="5"/>
    </row>
    <row r="187" ht="15.75" hidden="1" customHeight="1">
      <c r="A187" s="88">
        <v>45768.0</v>
      </c>
      <c r="B187" s="76">
        <f t="shared" si="11"/>
        <v>120</v>
      </c>
      <c r="C187" s="76">
        <v>86.44</v>
      </c>
      <c r="D187" s="5" t="s">
        <v>26</v>
      </c>
      <c r="E187" s="5" t="s">
        <v>26</v>
      </c>
      <c r="F187" s="5" t="s">
        <v>26</v>
      </c>
      <c r="G187" s="5" t="s">
        <v>26</v>
      </c>
      <c r="H187" s="5" t="s">
        <v>25</v>
      </c>
      <c r="I187" s="5" t="s">
        <v>27</v>
      </c>
      <c r="J187" s="5" t="s">
        <v>25</v>
      </c>
      <c r="K187" s="82" t="s">
        <v>2231</v>
      </c>
      <c r="L187" s="5" t="s">
        <v>40</v>
      </c>
      <c r="M187" s="82" t="s">
        <v>2232</v>
      </c>
      <c r="N187" s="5"/>
      <c r="O187" s="5"/>
      <c r="P187" s="5"/>
      <c r="Q187" s="5"/>
      <c r="R187" s="5"/>
      <c r="S187" s="5"/>
      <c r="T187" s="5"/>
      <c r="U187" s="5"/>
      <c r="V187" s="5"/>
      <c r="W187" s="5"/>
      <c r="X187" s="5"/>
      <c r="Y187" s="5"/>
      <c r="Z187" s="5"/>
    </row>
    <row r="188" ht="15.75" hidden="1" customHeight="1">
      <c r="A188" s="88">
        <v>45769.0</v>
      </c>
      <c r="B188" s="76">
        <f t="shared" si="11"/>
        <v>128</v>
      </c>
      <c r="C188" s="76">
        <v>93.63</v>
      </c>
      <c r="D188" s="5" t="s">
        <v>26</v>
      </c>
      <c r="E188" s="5" t="s">
        <v>26</v>
      </c>
      <c r="F188" s="5" t="s">
        <v>26</v>
      </c>
      <c r="G188" s="5" t="s">
        <v>26</v>
      </c>
      <c r="H188" s="5" t="s">
        <v>25</v>
      </c>
      <c r="I188" s="5" t="s">
        <v>27</v>
      </c>
      <c r="J188" s="5" t="s">
        <v>25</v>
      </c>
      <c r="K188" s="82" t="s">
        <v>2233</v>
      </c>
      <c r="L188" s="5" t="s">
        <v>40</v>
      </c>
      <c r="M188" s="82" t="s">
        <v>2234</v>
      </c>
      <c r="N188" s="5"/>
      <c r="O188" s="5"/>
      <c r="P188" s="5"/>
      <c r="Q188" s="5"/>
      <c r="R188" s="5"/>
      <c r="S188" s="5"/>
      <c r="T188" s="5"/>
      <c r="U188" s="5"/>
      <c r="V188" s="5"/>
      <c r="W188" s="5"/>
      <c r="X188" s="5"/>
      <c r="Y188" s="5"/>
      <c r="Z188" s="5"/>
    </row>
    <row r="189" ht="15.75" hidden="1" customHeight="1">
      <c r="A189" s="88">
        <v>45770.0</v>
      </c>
      <c r="B189" s="76">
        <f t="shared" si="11"/>
        <v>136</v>
      </c>
      <c r="C189" s="76">
        <v>98.69</v>
      </c>
      <c r="D189" s="5" t="s">
        <v>26</v>
      </c>
      <c r="E189" s="5" t="s">
        <v>26</v>
      </c>
      <c r="F189" s="5" t="s">
        <v>26</v>
      </c>
      <c r="G189" s="5" t="s">
        <v>26</v>
      </c>
      <c r="H189" s="5" t="s">
        <v>25</v>
      </c>
      <c r="I189" s="5" t="s">
        <v>27</v>
      </c>
      <c r="J189" s="5" t="s">
        <v>25</v>
      </c>
      <c r="K189" s="82" t="s">
        <v>2235</v>
      </c>
      <c r="L189" s="5" t="s">
        <v>40</v>
      </c>
      <c r="M189" s="82" t="s">
        <v>2236</v>
      </c>
      <c r="N189" s="5" t="s">
        <v>2237</v>
      </c>
      <c r="O189" s="5"/>
      <c r="P189" s="5"/>
      <c r="Q189" s="5"/>
      <c r="R189" s="5"/>
      <c r="S189" s="5"/>
      <c r="T189" s="5"/>
      <c r="U189" s="5"/>
      <c r="V189" s="5"/>
      <c r="W189" s="5"/>
      <c r="X189" s="5"/>
      <c r="Y189" s="5"/>
      <c r="Z189" s="5"/>
    </row>
    <row r="190" ht="15.75" hidden="1" customHeight="1">
      <c r="A190" s="88">
        <v>45771.0</v>
      </c>
      <c r="B190" s="76">
        <f t="shared" si="11"/>
        <v>144</v>
      </c>
      <c r="C190" s="76">
        <v>98.69</v>
      </c>
      <c r="D190" s="5" t="s">
        <v>26</v>
      </c>
      <c r="E190" s="5" t="s">
        <v>26</v>
      </c>
      <c r="F190" s="5" t="s">
        <v>26</v>
      </c>
      <c r="G190" s="5" t="s">
        <v>26</v>
      </c>
      <c r="H190" s="5" t="s">
        <v>25</v>
      </c>
      <c r="I190" s="5" t="s">
        <v>27</v>
      </c>
      <c r="J190" s="5" t="s">
        <v>25</v>
      </c>
      <c r="K190" s="82" t="s">
        <v>2238</v>
      </c>
      <c r="L190" s="5" t="s">
        <v>40</v>
      </c>
      <c r="M190" s="69" t="s">
        <v>2239</v>
      </c>
      <c r="N190" s="5" t="s">
        <v>2240</v>
      </c>
      <c r="O190" s="5"/>
      <c r="P190" s="5"/>
      <c r="Q190" s="5"/>
      <c r="R190" s="5"/>
      <c r="S190" s="5"/>
      <c r="T190" s="5"/>
      <c r="U190" s="5"/>
      <c r="V190" s="5"/>
      <c r="W190" s="5"/>
      <c r="X190" s="5"/>
      <c r="Y190" s="5"/>
      <c r="Z190" s="5"/>
    </row>
    <row r="191" ht="15.75" hidden="1" customHeight="1">
      <c r="A191" s="88">
        <v>45772.0</v>
      </c>
      <c r="B191" s="76">
        <f t="shared" si="11"/>
        <v>152</v>
      </c>
      <c r="C191" s="76">
        <f>C190+7.21</f>
        <v>105.9</v>
      </c>
      <c r="D191" s="5" t="s">
        <v>26</v>
      </c>
      <c r="E191" s="5" t="s">
        <v>26</v>
      </c>
      <c r="F191" s="5" t="s">
        <v>26</v>
      </c>
      <c r="G191" s="5" t="s">
        <v>26</v>
      </c>
      <c r="H191" s="5" t="s">
        <v>25</v>
      </c>
      <c r="I191" s="5" t="s">
        <v>27</v>
      </c>
      <c r="J191" s="5" t="s">
        <v>25</v>
      </c>
      <c r="K191" s="82" t="s">
        <v>2241</v>
      </c>
      <c r="L191" s="5" t="s">
        <v>40</v>
      </c>
      <c r="M191" s="82" t="s">
        <v>2242</v>
      </c>
      <c r="N191" s="5"/>
      <c r="O191" s="5"/>
      <c r="P191" s="5"/>
      <c r="Q191" s="5"/>
      <c r="R191" s="5"/>
      <c r="S191" s="5"/>
      <c r="T191" s="5"/>
      <c r="U191" s="5"/>
      <c r="V191" s="5"/>
      <c r="W191" s="5"/>
      <c r="X191" s="5"/>
      <c r="Y191" s="5"/>
      <c r="Z191" s="5"/>
    </row>
    <row r="192" ht="15.75" hidden="1" customHeight="1">
      <c r="A192" s="88">
        <v>45775.0</v>
      </c>
      <c r="B192" s="76">
        <f t="shared" si="11"/>
        <v>160</v>
      </c>
      <c r="C192" s="76">
        <v>112.03</v>
      </c>
      <c r="D192" s="5" t="s">
        <v>26</v>
      </c>
      <c r="E192" s="5" t="s">
        <v>26</v>
      </c>
      <c r="F192" s="5" t="s">
        <v>26</v>
      </c>
      <c r="G192" s="5" t="s">
        <v>26</v>
      </c>
      <c r="H192" s="5" t="s">
        <v>25</v>
      </c>
      <c r="I192" s="5" t="s">
        <v>27</v>
      </c>
      <c r="J192" s="5" t="s">
        <v>25</v>
      </c>
      <c r="K192" s="82" t="s">
        <v>2243</v>
      </c>
      <c r="L192" s="5" t="s">
        <v>40</v>
      </c>
      <c r="M192" s="82" t="s">
        <v>2244</v>
      </c>
      <c r="N192" s="5" t="s">
        <v>2245</v>
      </c>
      <c r="O192" s="5"/>
      <c r="P192" s="5"/>
      <c r="Q192" s="5"/>
      <c r="R192" s="5"/>
      <c r="S192" s="5"/>
      <c r="T192" s="5"/>
      <c r="U192" s="5"/>
      <c r="V192" s="5"/>
      <c r="W192" s="5"/>
      <c r="X192" s="5"/>
      <c r="Y192" s="5"/>
      <c r="Z192" s="5"/>
    </row>
    <row r="193" ht="15.75" hidden="1" customHeight="1">
      <c r="A193" s="88">
        <v>45776.0</v>
      </c>
      <c r="B193" s="76">
        <v>160.0</v>
      </c>
      <c r="C193" s="76">
        <v>118.27</v>
      </c>
      <c r="D193" s="5" t="s">
        <v>26</v>
      </c>
      <c r="E193" s="5" t="s">
        <v>26</v>
      </c>
      <c r="F193" s="5" t="s">
        <v>26</v>
      </c>
      <c r="G193" s="5" t="s">
        <v>26</v>
      </c>
      <c r="H193" s="5" t="s">
        <v>25</v>
      </c>
      <c r="I193" s="5" t="s">
        <v>27</v>
      </c>
      <c r="J193" s="5" t="s">
        <v>25</v>
      </c>
      <c r="K193" s="82" t="s">
        <v>2246</v>
      </c>
      <c r="L193" s="5" t="s">
        <v>40</v>
      </c>
      <c r="M193" s="82" t="s">
        <v>2247</v>
      </c>
      <c r="N193" s="5"/>
      <c r="O193" s="5"/>
      <c r="P193" s="5"/>
      <c r="Q193" s="5"/>
      <c r="R193" s="5"/>
      <c r="S193" s="5"/>
      <c r="T193" s="5"/>
      <c r="U193" s="5"/>
      <c r="V193" s="5"/>
      <c r="W193" s="5"/>
      <c r="X193" s="5"/>
      <c r="Y193" s="5"/>
      <c r="Z193" s="5"/>
    </row>
    <row r="194" ht="15.75" hidden="1" customHeight="1">
      <c r="A194" s="88">
        <v>45777.0</v>
      </c>
      <c r="B194" s="76">
        <v>160.0</v>
      </c>
      <c r="C194" s="76">
        <v>120.01</v>
      </c>
      <c r="D194" s="5" t="s">
        <v>26</v>
      </c>
      <c r="E194" s="5" t="s">
        <v>26</v>
      </c>
      <c r="F194" s="5" t="s">
        <v>26</v>
      </c>
      <c r="G194" s="5" t="s">
        <v>26</v>
      </c>
      <c r="H194" s="5" t="s">
        <v>25</v>
      </c>
      <c r="I194" s="5" t="s">
        <v>27</v>
      </c>
      <c r="J194" s="5" t="s">
        <v>25</v>
      </c>
      <c r="K194" s="82" t="s">
        <v>2248</v>
      </c>
      <c r="L194" s="5" t="s">
        <v>126</v>
      </c>
      <c r="M194" s="82" t="s">
        <v>2249</v>
      </c>
      <c r="N194" s="84" t="s">
        <v>2250</v>
      </c>
      <c r="O194" s="5"/>
      <c r="P194" s="5"/>
      <c r="Q194" s="5"/>
      <c r="R194" s="5"/>
      <c r="S194" s="5"/>
      <c r="T194" s="5"/>
      <c r="U194" s="5"/>
      <c r="V194" s="5"/>
      <c r="W194" s="5"/>
      <c r="X194" s="5"/>
      <c r="Y194" s="5"/>
      <c r="Z194" s="5"/>
    </row>
    <row r="195" ht="15.75" hidden="1" customHeight="1">
      <c r="A195" s="89"/>
      <c r="B195" s="5"/>
      <c r="C195" s="5"/>
      <c r="D195" s="5"/>
      <c r="E195" s="5"/>
      <c r="F195" s="5"/>
      <c r="G195" s="5"/>
      <c r="H195" s="5"/>
      <c r="I195" s="5"/>
      <c r="J195" s="5"/>
      <c r="K195" s="82"/>
      <c r="L195" s="5"/>
      <c r="M195" s="82"/>
      <c r="N195" s="84"/>
      <c r="O195" s="5"/>
      <c r="P195" s="5"/>
      <c r="Q195" s="5"/>
      <c r="R195" s="5"/>
      <c r="S195" s="5"/>
      <c r="T195" s="5"/>
      <c r="U195" s="5"/>
      <c r="V195" s="5"/>
      <c r="W195" s="5"/>
      <c r="X195" s="5"/>
      <c r="Y195" s="5"/>
      <c r="Z195" s="5"/>
    </row>
    <row r="196" ht="15.75" hidden="1" customHeight="1">
      <c r="A196" s="88">
        <v>45779.0</v>
      </c>
      <c r="B196" s="76">
        <v>8.0</v>
      </c>
      <c r="C196" s="76">
        <v>1.59</v>
      </c>
      <c r="D196" s="5" t="s">
        <v>26</v>
      </c>
      <c r="E196" s="5" t="s">
        <v>26</v>
      </c>
      <c r="F196" s="5" t="s">
        <v>26</v>
      </c>
      <c r="G196" s="5" t="s">
        <v>26</v>
      </c>
      <c r="H196" s="5" t="s">
        <v>25</v>
      </c>
      <c r="I196" s="5" t="s">
        <v>27</v>
      </c>
      <c r="J196" s="5" t="s">
        <v>25</v>
      </c>
      <c r="K196" s="82" t="s">
        <v>2251</v>
      </c>
      <c r="L196" s="5" t="s">
        <v>40</v>
      </c>
      <c r="M196" s="82" t="s">
        <v>2252</v>
      </c>
      <c r="N196" s="84" t="s">
        <v>2253</v>
      </c>
      <c r="O196" s="5"/>
      <c r="P196" s="5"/>
      <c r="Q196" s="5"/>
      <c r="R196" s="5"/>
      <c r="S196" s="5"/>
      <c r="T196" s="5"/>
      <c r="U196" s="5"/>
      <c r="V196" s="5"/>
      <c r="W196" s="5"/>
      <c r="X196" s="5"/>
      <c r="Y196" s="5"/>
      <c r="Z196" s="5"/>
    </row>
    <row r="197" ht="15.75" hidden="1" customHeight="1">
      <c r="A197" s="88">
        <v>45782.0</v>
      </c>
      <c r="B197" s="76">
        <f t="shared" ref="B197:B202" si="12">B196+8</f>
        <v>16</v>
      </c>
      <c r="C197" s="76">
        <v>5.28</v>
      </c>
      <c r="D197" s="5" t="s">
        <v>26</v>
      </c>
      <c r="E197" s="5" t="s">
        <v>26</v>
      </c>
      <c r="F197" s="5" t="s">
        <v>26</v>
      </c>
      <c r="G197" s="5" t="s">
        <v>26</v>
      </c>
      <c r="H197" s="5" t="s">
        <v>25</v>
      </c>
      <c r="I197" s="5" t="s">
        <v>27</v>
      </c>
      <c r="J197" s="5" t="s">
        <v>25</v>
      </c>
      <c r="K197" s="82" t="s">
        <v>2254</v>
      </c>
      <c r="L197" s="5" t="s">
        <v>40</v>
      </c>
      <c r="M197" s="82" t="s">
        <v>2255</v>
      </c>
      <c r="N197" s="84"/>
      <c r="O197" s="5"/>
      <c r="P197" s="5"/>
      <c r="Q197" s="5"/>
      <c r="R197" s="5"/>
      <c r="S197" s="5"/>
      <c r="T197" s="5"/>
      <c r="U197" s="5"/>
      <c r="V197" s="5"/>
      <c r="W197" s="5"/>
      <c r="X197" s="5"/>
      <c r="Y197" s="5"/>
      <c r="Z197" s="5"/>
    </row>
    <row r="198" ht="15.75" hidden="1" customHeight="1">
      <c r="A198" s="88">
        <v>45783.0</v>
      </c>
      <c r="B198" s="76">
        <f t="shared" si="12"/>
        <v>24</v>
      </c>
      <c r="C198" s="76">
        <v>12.79</v>
      </c>
      <c r="D198" s="5" t="s">
        <v>26</v>
      </c>
      <c r="E198" s="5" t="s">
        <v>26</v>
      </c>
      <c r="F198" s="5" t="s">
        <v>26</v>
      </c>
      <c r="G198" s="5" t="s">
        <v>26</v>
      </c>
      <c r="H198" s="5" t="s">
        <v>25</v>
      </c>
      <c r="I198" s="5" t="s">
        <v>27</v>
      </c>
      <c r="J198" s="5" t="s">
        <v>25</v>
      </c>
      <c r="K198" s="90" t="s">
        <v>2256</v>
      </c>
      <c r="L198" s="5" t="s">
        <v>40</v>
      </c>
      <c r="M198" s="90" t="s">
        <v>2257</v>
      </c>
      <c r="N198" s="85" t="s">
        <v>2258</v>
      </c>
      <c r="O198" s="5"/>
      <c r="P198" s="5"/>
      <c r="Q198" s="5"/>
      <c r="R198" s="5"/>
      <c r="S198" s="5"/>
      <c r="T198" s="5"/>
      <c r="U198" s="5"/>
      <c r="V198" s="5"/>
      <c r="W198" s="5"/>
      <c r="X198" s="5"/>
      <c r="Y198" s="5"/>
      <c r="Z198" s="5"/>
    </row>
    <row r="199" ht="15.75" hidden="1" customHeight="1">
      <c r="A199" s="88">
        <v>45784.0</v>
      </c>
      <c r="B199" s="76">
        <f t="shared" si="12"/>
        <v>32</v>
      </c>
      <c r="C199" s="76">
        <v>11.81</v>
      </c>
      <c r="D199" s="5" t="s">
        <v>26</v>
      </c>
      <c r="E199" s="5" t="s">
        <v>26</v>
      </c>
      <c r="F199" s="5" t="s">
        <v>26</v>
      </c>
      <c r="G199" s="5" t="s">
        <v>26</v>
      </c>
      <c r="H199" s="5" t="s">
        <v>25</v>
      </c>
      <c r="I199" s="5" t="s">
        <v>27</v>
      </c>
      <c r="J199" s="5" t="s">
        <v>25</v>
      </c>
      <c r="K199" s="90" t="s">
        <v>2259</v>
      </c>
      <c r="L199" s="5" t="s">
        <v>40</v>
      </c>
      <c r="M199" s="90" t="s">
        <v>2260</v>
      </c>
      <c r="N199" s="5" t="s">
        <v>2261</v>
      </c>
      <c r="O199" s="5"/>
      <c r="P199" s="5"/>
      <c r="Q199" s="5"/>
      <c r="R199" s="5"/>
      <c r="S199" s="5"/>
      <c r="T199" s="5"/>
      <c r="U199" s="5"/>
      <c r="V199" s="5"/>
      <c r="W199" s="5"/>
      <c r="X199" s="5"/>
      <c r="Y199" s="5"/>
      <c r="Z199" s="5"/>
    </row>
    <row r="200" ht="15.75" hidden="1" customHeight="1">
      <c r="A200" s="88">
        <v>45785.0</v>
      </c>
      <c r="B200" s="76">
        <f t="shared" si="12"/>
        <v>40</v>
      </c>
      <c r="C200" s="76">
        <v>11.81</v>
      </c>
      <c r="D200" s="5" t="s">
        <v>25</v>
      </c>
      <c r="E200" s="5" t="s">
        <v>25</v>
      </c>
      <c r="F200" s="5" t="s">
        <v>25</v>
      </c>
      <c r="G200" s="5" t="s">
        <v>25</v>
      </c>
      <c r="H200" s="5" t="s">
        <v>25</v>
      </c>
      <c r="I200" s="5"/>
      <c r="J200" s="5" t="s">
        <v>25</v>
      </c>
      <c r="K200" s="69" t="s">
        <v>2262</v>
      </c>
      <c r="L200" s="5"/>
      <c r="M200" s="5"/>
      <c r="N200" s="5"/>
      <c r="O200" s="5"/>
      <c r="P200" s="5"/>
      <c r="Q200" s="5"/>
      <c r="R200" s="5"/>
      <c r="S200" s="5"/>
      <c r="T200" s="5"/>
      <c r="U200" s="5"/>
      <c r="V200" s="5"/>
      <c r="W200" s="5"/>
      <c r="X200" s="5"/>
      <c r="Y200" s="5"/>
      <c r="Z200" s="5"/>
    </row>
    <row r="201" ht="15.75" hidden="1" customHeight="1">
      <c r="A201" s="88">
        <v>45786.0</v>
      </c>
      <c r="B201" s="76">
        <f t="shared" si="12"/>
        <v>48</v>
      </c>
      <c r="C201" s="76">
        <v>11.81</v>
      </c>
      <c r="D201" s="5" t="s">
        <v>25</v>
      </c>
      <c r="E201" s="5" t="s">
        <v>25</v>
      </c>
      <c r="F201" s="5" t="s">
        <v>25</v>
      </c>
      <c r="G201" s="5" t="s">
        <v>25</v>
      </c>
      <c r="H201" s="5" t="s">
        <v>25</v>
      </c>
      <c r="I201" s="5"/>
      <c r="J201" s="5" t="s">
        <v>25</v>
      </c>
      <c r="K201" s="69" t="s">
        <v>2262</v>
      </c>
      <c r="L201" s="5"/>
      <c r="M201" s="5"/>
      <c r="N201" s="5"/>
      <c r="O201" s="5"/>
      <c r="P201" s="5"/>
      <c r="Q201" s="5"/>
      <c r="R201" s="5"/>
      <c r="S201" s="5"/>
      <c r="T201" s="5"/>
      <c r="U201" s="5"/>
      <c r="V201" s="5"/>
      <c r="W201" s="5"/>
      <c r="X201" s="5"/>
      <c r="Y201" s="5"/>
      <c r="Z201" s="5"/>
    </row>
    <row r="202" ht="15.75" hidden="1" customHeight="1">
      <c r="A202" s="88">
        <v>45789.0</v>
      </c>
      <c r="B202" s="76">
        <f t="shared" si="12"/>
        <v>56</v>
      </c>
      <c r="C202" s="76">
        <v>11.81</v>
      </c>
      <c r="D202" s="5" t="s">
        <v>25</v>
      </c>
      <c r="E202" s="5" t="s">
        <v>25</v>
      </c>
      <c r="F202" s="5" t="s">
        <v>25</v>
      </c>
      <c r="G202" s="5" t="s">
        <v>25</v>
      </c>
      <c r="H202" s="5" t="s">
        <v>25</v>
      </c>
      <c r="I202" s="5"/>
      <c r="J202" s="5" t="s">
        <v>25</v>
      </c>
      <c r="K202" s="69" t="s">
        <v>2262</v>
      </c>
      <c r="L202" s="5"/>
      <c r="M202" s="5"/>
      <c r="N202" s="5"/>
      <c r="O202" s="5"/>
      <c r="P202" s="5"/>
      <c r="Q202" s="5"/>
      <c r="R202" s="5"/>
      <c r="S202" s="5"/>
      <c r="T202" s="5"/>
      <c r="U202" s="5"/>
      <c r="V202" s="5"/>
      <c r="W202" s="5"/>
      <c r="X202" s="5"/>
      <c r="Y202" s="5"/>
      <c r="Z202" s="5"/>
    </row>
    <row r="203" ht="15.75" hidden="1" customHeight="1">
      <c r="A203" s="75">
        <v>45790.0</v>
      </c>
      <c r="B203" s="76">
        <v>64.0</v>
      </c>
      <c r="C203" s="76">
        <v>17.31</v>
      </c>
      <c r="D203" s="5" t="s">
        <v>25</v>
      </c>
      <c r="E203" s="5" t="s">
        <v>25</v>
      </c>
      <c r="F203" s="5" t="s">
        <v>26</v>
      </c>
      <c r="G203" s="5" t="s">
        <v>26</v>
      </c>
      <c r="H203" s="5" t="s">
        <v>25</v>
      </c>
      <c r="I203" s="5"/>
      <c r="J203" s="5" t="s">
        <v>25</v>
      </c>
      <c r="K203" s="90" t="s">
        <v>2263</v>
      </c>
      <c r="L203" s="5"/>
      <c r="M203" s="90" t="s">
        <v>2264</v>
      </c>
      <c r="N203" s="5"/>
      <c r="O203" s="5"/>
      <c r="P203" s="5"/>
      <c r="Q203" s="5"/>
      <c r="R203" s="5"/>
      <c r="S203" s="5"/>
      <c r="T203" s="5"/>
      <c r="U203" s="5"/>
      <c r="V203" s="5"/>
      <c r="W203" s="5"/>
      <c r="X203" s="5"/>
      <c r="Y203" s="5"/>
      <c r="Z203" s="5"/>
    </row>
    <row r="204" ht="15.75" hidden="1" customHeight="1">
      <c r="A204" s="75">
        <v>45791.0</v>
      </c>
      <c r="B204" s="76">
        <v>72.0</v>
      </c>
      <c r="C204" s="76">
        <v>18.57</v>
      </c>
      <c r="D204" s="5" t="s">
        <v>25</v>
      </c>
      <c r="E204" s="5" t="s">
        <v>25</v>
      </c>
      <c r="F204" s="5" t="s">
        <v>26</v>
      </c>
      <c r="G204" s="5" t="s">
        <v>26</v>
      </c>
      <c r="H204" s="5" t="s">
        <v>25</v>
      </c>
      <c r="I204" s="5"/>
      <c r="J204" s="5" t="s">
        <v>25</v>
      </c>
      <c r="K204" s="90" t="s">
        <v>2265</v>
      </c>
      <c r="L204" s="5"/>
      <c r="M204" s="90" t="s">
        <v>2266</v>
      </c>
      <c r="N204" s="5"/>
      <c r="O204" s="5"/>
      <c r="P204" s="5"/>
      <c r="Q204" s="5"/>
      <c r="R204" s="5"/>
      <c r="S204" s="5"/>
      <c r="T204" s="5"/>
      <c r="U204" s="5"/>
      <c r="V204" s="5"/>
      <c r="W204" s="5"/>
      <c r="X204" s="5"/>
      <c r="Y204" s="5"/>
      <c r="Z204" s="5"/>
    </row>
    <row r="205" ht="15.75" hidden="1" customHeight="1">
      <c r="A205" s="75">
        <v>45792.0</v>
      </c>
      <c r="B205" s="76">
        <v>80.0</v>
      </c>
      <c r="C205" s="76">
        <v>22.6</v>
      </c>
      <c r="D205" s="5" t="s">
        <v>25</v>
      </c>
      <c r="E205" s="5" t="s">
        <v>25</v>
      </c>
      <c r="F205" s="5" t="s">
        <v>26</v>
      </c>
      <c r="G205" s="5" t="s">
        <v>26</v>
      </c>
      <c r="H205" s="5" t="s">
        <v>25</v>
      </c>
      <c r="I205" s="5"/>
      <c r="J205" s="5" t="s">
        <v>25</v>
      </c>
      <c r="K205" s="90" t="s">
        <v>2267</v>
      </c>
      <c r="L205" s="5"/>
      <c r="M205" s="90" t="s">
        <v>2268</v>
      </c>
      <c r="N205" s="5"/>
      <c r="O205" s="5"/>
      <c r="P205" s="5"/>
      <c r="Q205" s="5"/>
      <c r="R205" s="5"/>
      <c r="S205" s="5"/>
      <c r="T205" s="5"/>
      <c r="U205" s="5"/>
      <c r="V205" s="5"/>
      <c r="W205" s="5"/>
      <c r="X205" s="5"/>
      <c r="Y205" s="5"/>
      <c r="Z205" s="5"/>
    </row>
    <row r="206" ht="15.75" hidden="1" customHeight="1">
      <c r="A206" s="75">
        <v>45793.0</v>
      </c>
      <c r="B206" s="76">
        <v>88.0</v>
      </c>
      <c r="C206" s="76">
        <v>29.6</v>
      </c>
      <c r="D206" s="5" t="s">
        <v>25</v>
      </c>
      <c r="E206" s="5" t="s">
        <v>25</v>
      </c>
      <c r="F206" s="5" t="s">
        <v>26</v>
      </c>
      <c r="G206" s="5" t="s">
        <v>26</v>
      </c>
      <c r="H206" s="5" t="s">
        <v>25</v>
      </c>
      <c r="I206" s="5"/>
      <c r="J206" s="5" t="s">
        <v>25</v>
      </c>
      <c r="K206" s="90" t="s">
        <v>2269</v>
      </c>
      <c r="L206" s="5"/>
      <c r="M206" s="90" t="s">
        <v>2270</v>
      </c>
      <c r="N206" s="5"/>
      <c r="O206" s="5"/>
      <c r="P206" s="5"/>
      <c r="Q206" s="5"/>
      <c r="R206" s="5"/>
      <c r="S206" s="5"/>
      <c r="T206" s="5"/>
      <c r="U206" s="5"/>
      <c r="V206" s="5"/>
      <c r="W206" s="5"/>
      <c r="X206" s="5"/>
      <c r="Y206" s="5"/>
      <c r="Z206" s="5"/>
    </row>
    <row r="207" ht="15.75" hidden="1" customHeight="1">
      <c r="A207" s="75">
        <v>45794.0</v>
      </c>
      <c r="B207" s="76">
        <v>96.0</v>
      </c>
      <c r="C207" s="76">
        <v>34.57</v>
      </c>
      <c r="D207" s="5" t="s">
        <v>25</v>
      </c>
      <c r="E207" s="5" t="s">
        <v>25</v>
      </c>
      <c r="F207" s="5" t="s">
        <v>26</v>
      </c>
      <c r="G207" s="5" t="s">
        <v>26</v>
      </c>
      <c r="H207" s="5" t="s">
        <v>155</v>
      </c>
      <c r="I207" s="5"/>
      <c r="J207" s="5" t="s">
        <v>25</v>
      </c>
      <c r="K207" s="90" t="s">
        <v>2271</v>
      </c>
      <c r="L207" s="5"/>
      <c r="M207" s="90" t="s">
        <v>2272</v>
      </c>
      <c r="N207" s="5"/>
      <c r="O207" s="5"/>
      <c r="P207" s="5"/>
      <c r="Q207" s="5"/>
      <c r="R207" s="5"/>
      <c r="S207" s="5"/>
      <c r="T207" s="5"/>
      <c r="U207" s="5"/>
      <c r="V207" s="5"/>
      <c r="W207" s="5"/>
      <c r="X207" s="5"/>
      <c r="Y207" s="5"/>
      <c r="Z207" s="5"/>
    </row>
    <row r="208" ht="15.75" hidden="1" customHeight="1">
      <c r="A208" s="75">
        <v>45796.0</v>
      </c>
      <c r="B208" s="76">
        <v>104.0</v>
      </c>
      <c r="C208" s="76">
        <v>41.63</v>
      </c>
      <c r="D208" s="5" t="s">
        <v>26</v>
      </c>
      <c r="E208" s="5" t="s">
        <v>25</v>
      </c>
      <c r="F208" s="5" t="s">
        <v>26</v>
      </c>
      <c r="G208" s="5" t="s">
        <v>26</v>
      </c>
      <c r="H208" s="5" t="s">
        <v>25</v>
      </c>
      <c r="I208" s="5"/>
      <c r="J208" s="5" t="s">
        <v>25</v>
      </c>
      <c r="K208" s="90" t="s">
        <v>2273</v>
      </c>
      <c r="L208" s="5"/>
      <c r="M208" s="90" t="s">
        <v>2274</v>
      </c>
      <c r="N208" s="5"/>
      <c r="O208" s="5"/>
      <c r="P208" s="5"/>
      <c r="Q208" s="5"/>
      <c r="R208" s="5"/>
      <c r="S208" s="5"/>
      <c r="T208" s="5"/>
      <c r="U208" s="5"/>
      <c r="V208" s="5"/>
      <c r="W208" s="5"/>
      <c r="X208" s="5"/>
      <c r="Y208" s="5"/>
      <c r="Z208" s="5"/>
    </row>
    <row r="209" ht="15.75" hidden="1" customHeight="1">
      <c r="A209" s="75">
        <v>45797.0</v>
      </c>
      <c r="B209" s="76">
        <v>112.0</v>
      </c>
      <c r="C209" s="76">
        <v>45.71</v>
      </c>
      <c r="D209" s="5" t="s">
        <v>26</v>
      </c>
      <c r="E209" s="5" t="s">
        <v>25</v>
      </c>
      <c r="F209" s="5" t="s">
        <v>26</v>
      </c>
      <c r="G209" s="5" t="s">
        <v>26</v>
      </c>
      <c r="H209" s="5" t="s">
        <v>155</v>
      </c>
      <c r="I209" s="5"/>
      <c r="J209" s="5" t="s">
        <v>25</v>
      </c>
      <c r="K209" s="90" t="s">
        <v>2273</v>
      </c>
      <c r="L209" s="5"/>
      <c r="M209" s="90" t="s">
        <v>2275</v>
      </c>
      <c r="N209" s="5"/>
      <c r="O209" s="5"/>
      <c r="P209" s="5"/>
      <c r="Q209" s="5"/>
      <c r="R209" s="5"/>
      <c r="S209" s="5"/>
      <c r="T209" s="5"/>
      <c r="U209" s="5"/>
      <c r="V209" s="5"/>
      <c r="W209" s="5"/>
      <c r="X209" s="5"/>
      <c r="Y209" s="5"/>
      <c r="Z209" s="5"/>
    </row>
    <row r="210" ht="15.75" hidden="1" customHeight="1">
      <c r="A210" s="75">
        <v>45798.0</v>
      </c>
      <c r="B210" s="76">
        <v>120.0</v>
      </c>
      <c r="C210" s="76">
        <v>49.45</v>
      </c>
      <c r="D210" s="5" t="s">
        <v>26</v>
      </c>
      <c r="E210" s="5" t="s">
        <v>25</v>
      </c>
      <c r="F210" s="5" t="s">
        <v>26</v>
      </c>
      <c r="G210" s="5" t="s">
        <v>26</v>
      </c>
      <c r="H210" s="5" t="s">
        <v>155</v>
      </c>
      <c r="I210" s="5"/>
      <c r="J210" s="5" t="s">
        <v>25</v>
      </c>
      <c r="K210" s="90" t="s">
        <v>2276</v>
      </c>
      <c r="L210" s="5"/>
      <c r="M210" s="90" t="s">
        <v>2277</v>
      </c>
      <c r="N210" s="5"/>
      <c r="O210" s="5"/>
      <c r="P210" s="5"/>
      <c r="Q210" s="5"/>
      <c r="R210" s="5"/>
      <c r="S210" s="5"/>
      <c r="T210" s="5"/>
      <c r="U210" s="5"/>
      <c r="V210" s="5"/>
      <c r="W210" s="5"/>
      <c r="X210" s="5"/>
      <c r="Y210" s="5"/>
      <c r="Z210" s="5"/>
    </row>
    <row r="211" ht="15.75" hidden="1" customHeight="1">
      <c r="A211" s="75">
        <v>45799.0</v>
      </c>
      <c r="B211" s="76">
        <v>120.0</v>
      </c>
      <c r="C211" s="76">
        <v>49.45</v>
      </c>
      <c r="D211" s="5" t="s">
        <v>25</v>
      </c>
      <c r="E211" s="5" t="s">
        <v>25</v>
      </c>
      <c r="F211" s="5" t="s">
        <v>26</v>
      </c>
      <c r="G211" s="5" t="s">
        <v>26</v>
      </c>
      <c r="H211" s="5" t="s">
        <v>25</v>
      </c>
      <c r="I211" s="5"/>
      <c r="J211" s="5" t="s">
        <v>25</v>
      </c>
      <c r="K211" s="90" t="s">
        <v>2278</v>
      </c>
      <c r="L211" s="5" t="s">
        <v>40</v>
      </c>
      <c r="M211" s="69" t="s">
        <v>834</v>
      </c>
      <c r="N211" s="5"/>
      <c r="O211" s="5"/>
      <c r="P211" s="5"/>
      <c r="Q211" s="5"/>
      <c r="R211" s="5"/>
      <c r="S211" s="5"/>
      <c r="T211" s="5"/>
      <c r="U211" s="5"/>
      <c r="V211" s="5"/>
      <c r="W211" s="5"/>
      <c r="X211" s="5"/>
      <c r="Y211" s="5"/>
      <c r="Z211" s="5"/>
    </row>
    <row r="212" ht="15.75" hidden="1" customHeight="1">
      <c r="A212" s="75">
        <v>45800.0</v>
      </c>
      <c r="B212" s="76">
        <v>128.0</v>
      </c>
      <c r="C212" s="76">
        <v>52.61</v>
      </c>
      <c r="D212" s="5" t="s">
        <v>25</v>
      </c>
      <c r="E212" s="5" t="s">
        <v>25</v>
      </c>
      <c r="F212" s="5" t="s">
        <v>26</v>
      </c>
      <c r="G212" s="5" t="s">
        <v>26</v>
      </c>
      <c r="H212" s="5" t="s">
        <v>155</v>
      </c>
      <c r="I212" s="5"/>
      <c r="J212" s="5" t="s">
        <v>25</v>
      </c>
      <c r="K212" s="90" t="s">
        <v>2279</v>
      </c>
      <c r="L212" s="5"/>
      <c r="M212" s="90" t="s">
        <v>2280</v>
      </c>
      <c r="N212" s="5"/>
      <c r="O212" s="5"/>
      <c r="P212" s="5"/>
      <c r="Q212" s="5"/>
      <c r="R212" s="5"/>
      <c r="S212" s="5"/>
      <c r="T212" s="5"/>
      <c r="U212" s="5"/>
      <c r="V212" s="5"/>
      <c r="W212" s="5"/>
      <c r="X212" s="5"/>
      <c r="Y212" s="5"/>
      <c r="Z212" s="5"/>
    </row>
    <row r="213" ht="15.75" hidden="1" customHeight="1">
      <c r="A213" s="75">
        <v>45803.0</v>
      </c>
      <c r="B213" s="76">
        <v>136.0</v>
      </c>
      <c r="C213" s="76">
        <v>53.61</v>
      </c>
      <c r="D213" s="5" t="s">
        <v>25</v>
      </c>
      <c r="E213" s="5" t="s">
        <v>25</v>
      </c>
      <c r="F213" s="5" t="s">
        <v>26</v>
      </c>
      <c r="G213" s="5" t="s">
        <v>26</v>
      </c>
      <c r="H213" s="5" t="s">
        <v>155</v>
      </c>
      <c r="I213" s="5"/>
      <c r="J213" s="5" t="s">
        <v>25</v>
      </c>
      <c r="K213" s="90" t="s">
        <v>2281</v>
      </c>
      <c r="L213" s="5"/>
      <c r="M213" s="90" t="s">
        <v>2282</v>
      </c>
      <c r="N213" s="5" t="s">
        <v>2283</v>
      </c>
      <c r="O213" s="5"/>
      <c r="P213" s="5"/>
      <c r="Q213" s="5"/>
      <c r="R213" s="5"/>
      <c r="S213" s="5"/>
      <c r="T213" s="5"/>
      <c r="U213" s="5"/>
      <c r="V213" s="5"/>
      <c r="W213" s="5"/>
      <c r="X213" s="5"/>
      <c r="Y213" s="5"/>
      <c r="Z213" s="5"/>
    </row>
    <row r="214" ht="15.75" hidden="1" customHeight="1">
      <c r="A214" s="75">
        <v>45804.0</v>
      </c>
      <c r="B214" s="76">
        <v>144.0</v>
      </c>
      <c r="C214" s="76">
        <v>54.61</v>
      </c>
      <c r="D214" s="5" t="s">
        <v>25</v>
      </c>
      <c r="E214" s="5" t="s">
        <v>25</v>
      </c>
      <c r="F214" s="5" t="s">
        <v>26</v>
      </c>
      <c r="G214" s="5" t="s">
        <v>26</v>
      </c>
      <c r="H214" s="5" t="s">
        <v>155</v>
      </c>
      <c r="I214" s="5"/>
      <c r="J214" s="5" t="s">
        <v>25</v>
      </c>
      <c r="K214" s="90" t="s">
        <v>2284</v>
      </c>
      <c r="L214" s="5"/>
      <c r="M214" s="90" t="s">
        <v>2285</v>
      </c>
      <c r="N214" s="5"/>
      <c r="O214" s="5"/>
      <c r="P214" s="5"/>
      <c r="Q214" s="5"/>
      <c r="R214" s="5"/>
      <c r="S214" s="5"/>
      <c r="T214" s="5"/>
      <c r="U214" s="5"/>
      <c r="V214" s="5"/>
      <c r="W214" s="5"/>
      <c r="X214" s="5"/>
      <c r="Y214" s="5"/>
      <c r="Z214" s="5"/>
    </row>
    <row r="215" ht="15.75" hidden="1" customHeight="1">
      <c r="A215" s="75">
        <v>45805.0</v>
      </c>
      <c r="B215" s="76">
        <v>152.0</v>
      </c>
      <c r="C215" s="76">
        <v>61.28</v>
      </c>
      <c r="D215" s="5"/>
      <c r="E215" s="5"/>
      <c r="F215" s="5" t="s">
        <v>26</v>
      </c>
      <c r="G215" s="5" t="s">
        <v>26</v>
      </c>
      <c r="H215" s="5"/>
      <c r="I215" s="5"/>
      <c r="J215" s="5" t="s">
        <v>25</v>
      </c>
      <c r="K215" s="90" t="s">
        <v>2286</v>
      </c>
      <c r="L215" s="5"/>
      <c r="M215" s="90" t="s">
        <v>2287</v>
      </c>
      <c r="N215" s="69" t="s">
        <v>2288</v>
      </c>
      <c r="O215" s="5"/>
      <c r="P215" s="5"/>
      <c r="Q215" s="5"/>
      <c r="R215" s="5"/>
      <c r="S215" s="5"/>
      <c r="T215" s="5"/>
      <c r="U215" s="5"/>
      <c r="V215" s="5"/>
      <c r="W215" s="5"/>
      <c r="X215" s="5"/>
      <c r="Y215" s="5"/>
      <c r="Z215" s="5"/>
    </row>
    <row r="216" ht="15.75" hidden="1" customHeight="1">
      <c r="A216" s="75">
        <v>45805.0</v>
      </c>
      <c r="B216" s="76">
        <v>160.0</v>
      </c>
      <c r="C216" s="76">
        <v>61.28</v>
      </c>
      <c r="D216" s="5"/>
      <c r="E216" s="5"/>
      <c r="F216" s="5" t="s">
        <v>26</v>
      </c>
      <c r="G216" s="5" t="s">
        <v>26</v>
      </c>
      <c r="H216" s="5"/>
      <c r="I216" s="5"/>
      <c r="J216" s="5" t="s">
        <v>25</v>
      </c>
      <c r="K216" s="90" t="s">
        <v>2289</v>
      </c>
      <c r="L216" s="5"/>
      <c r="M216" s="5"/>
      <c r="N216" s="5"/>
      <c r="O216" s="5"/>
      <c r="P216" s="5"/>
      <c r="Q216" s="5"/>
      <c r="R216" s="5"/>
      <c r="S216" s="5"/>
      <c r="T216" s="5"/>
      <c r="U216" s="5"/>
      <c r="V216" s="5"/>
      <c r="W216" s="5"/>
      <c r="X216" s="5"/>
      <c r="Y216" s="5"/>
      <c r="Z216" s="5"/>
    </row>
    <row r="217" ht="15.75" hidden="1" customHeight="1">
      <c r="A217" s="75">
        <v>45811.0</v>
      </c>
      <c r="B217" s="76">
        <v>16.0</v>
      </c>
      <c r="C217" s="76">
        <v>4.0</v>
      </c>
      <c r="D217" s="5"/>
      <c r="E217" s="5" t="s">
        <v>26</v>
      </c>
      <c r="F217" s="5" t="s">
        <v>26</v>
      </c>
      <c r="G217" s="5" t="s">
        <v>26</v>
      </c>
      <c r="H217" s="5" t="s">
        <v>25</v>
      </c>
      <c r="I217" s="5"/>
      <c r="J217" s="5" t="s">
        <v>25</v>
      </c>
      <c r="K217" s="90" t="s">
        <v>2290</v>
      </c>
      <c r="L217" s="5"/>
      <c r="M217" s="90" t="s">
        <v>2291</v>
      </c>
      <c r="N217" s="69" t="s">
        <v>2292</v>
      </c>
      <c r="O217" s="5"/>
      <c r="P217" s="5"/>
      <c r="Q217" s="5"/>
      <c r="R217" s="5"/>
      <c r="S217" s="5"/>
      <c r="T217" s="5"/>
      <c r="U217" s="5"/>
      <c r="V217" s="5"/>
      <c r="W217" s="5"/>
      <c r="X217" s="5"/>
      <c r="Y217" s="5"/>
      <c r="Z217" s="5"/>
    </row>
    <row r="218" ht="15.75" hidden="1" customHeight="1">
      <c r="A218" s="75">
        <v>45812.0</v>
      </c>
      <c r="B218" s="76">
        <v>24.0</v>
      </c>
      <c r="C218" s="76">
        <v>10.0</v>
      </c>
      <c r="D218" s="5"/>
      <c r="E218" s="5" t="s">
        <v>26</v>
      </c>
      <c r="F218" s="5" t="s">
        <v>26</v>
      </c>
      <c r="G218" s="5" t="s">
        <v>26</v>
      </c>
      <c r="H218" s="5" t="s">
        <v>25</v>
      </c>
      <c r="I218" s="5"/>
      <c r="J218" s="5" t="s">
        <v>25</v>
      </c>
      <c r="K218" s="90" t="s">
        <v>2293</v>
      </c>
      <c r="L218" s="5"/>
      <c r="M218" s="90" t="s">
        <v>2294</v>
      </c>
      <c r="N218" s="69" t="s">
        <v>2295</v>
      </c>
      <c r="O218" s="5"/>
      <c r="P218" s="5"/>
      <c r="Q218" s="5"/>
      <c r="R218" s="5"/>
      <c r="S218" s="5"/>
      <c r="T218" s="5"/>
      <c r="U218" s="5"/>
      <c r="V218" s="5"/>
      <c r="W218" s="5"/>
      <c r="X218" s="5"/>
      <c r="Y218" s="5"/>
      <c r="Z218" s="5"/>
    </row>
    <row r="219" ht="15.75" hidden="1" customHeight="1">
      <c r="A219" s="75">
        <v>45813.0</v>
      </c>
      <c r="B219" s="76">
        <v>32.0</v>
      </c>
      <c r="C219" s="76">
        <v>15.35</v>
      </c>
      <c r="D219" s="5"/>
      <c r="E219" s="5"/>
      <c r="F219" s="5" t="s">
        <v>26</v>
      </c>
      <c r="G219" s="5" t="s">
        <v>26</v>
      </c>
      <c r="H219" s="5" t="s">
        <v>155</v>
      </c>
      <c r="I219" s="5"/>
      <c r="J219" s="5" t="s">
        <v>25</v>
      </c>
      <c r="K219" s="90" t="s">
        <v>2296</v>
      </c>
      <c r="L219" s="5"/>
      <c r="M219" s="90" t="s">
        <v>2297</v>
      </c>
      <c r="N219" s="5"/>
      <c r="O219" s="5"/>
      <c r="P219" s="5"/>
      <c r="Q219" s="5"/>
      <c r="R219" s="5"/>
      <c r="S219" s="5"/>
      <c r="T219" s="5"/>
      <c r="U219" s="5"/>
      <c r="V219" s="5"/>
      <c r="W219" s="5"/>
      <c r="X219" s="5"/>
      <c r="Y219" s="5"/>
      <c r="Z219" s="5"/>
    </row>
    <row r="220" ht="15.75" hidden="1" customHeight="1">
      <c r="A220" s="75">
        <v>45814.0</v>
      </c>
      <c r="B220" s="76">
        <v>40.0</v>
      </c>
      <c r="C220" s="76">
        <v>20.55</v>
      </c>
      <c r="D220" s="5"/>
      <c r="E220" s="5" t="s">
        <v>26</v>
      </c>
      <c r="F220" s="5" t="s">
        <v>26</v>
      </c>
      <c r="G220" s="5" t="s">
        <v>26</v>
      </c>
      <c r="H220" s="5"/>
      <c r="I220" s="5"/>
      <c r="J220" s="5" t="s">
        <v>25</v>
      </c>
      <c r="K220" s="90" t="s">
        <v>2298</v>
      </c>
      <c r="L220" s="5"/>
      <c r="M220" s="90" t="s">
        <v>2299</v>
      </c>
      <c r="N220" s="5"/>
      <c r="O220" s="5"/>
      <c r="P220" s="5"/>
      <c r="Q220" s="5"/>
      <c r="R220" s="5"/>
      <c r="S220" s="5"/>
      <c r="T220" s="5"/>
      <c r="U220" s="5"/>
      <c r="V220" s="5"/>
      <c r="W220" s="5"/>
      <c r="X220" s="5"/>
      <c r="Y220" s="5"/>
      <c r="Z220" s="5"/>
    </row>
    <row r="221" ht="15.75" hidden="1" customHeight="1">
      <c r="A221" s="75">
        <v>45815.0</v>
      </c>
      <c r="B221" s="76">
        <v>48.0</v>
      </c>
      <c r="C221" s="76">
        <v>25.45</v>
      </c>
      <c r="D221" s="5"/>
      <c r="E221" s="5" t="s">
        <v>26</v>
      </c>
      <c r="F221" s="5" t="s">
        <v>26</v>
      </c>
      <c r="G221" s="5" t="s">
        <v>26</v>
      </c>
      <c r="H221" s="5" t="s">
        <v>155</v>
      </c>
      <c r="I221" s="5"/>
      <c r="J221" s="5" t="s">
        <v>25</v>
      </c>
      <c r="K221" s="90" t="s">
        <v>2298</v>
      </c>
      <c r="L221" s="5"/>
      <c r="M221" s="90" t="s">
        <v>2300</v>
      </c>
      <c r="N221" s="5"/>
      <c r="O221" s="5"/>
      <c r="P221" s="5"/>
      <c r="Q221" s="5"/>
      <c r="R221" s="5"/>
      <c r="S221" s="5"/>
      <c r="T221" s="5"/>
      <c r="U221" s="5"/>
      <c r="V221" s="5"/>
      <c r="W221" s="5"/>
      <c r="X221" s="5"/>
      <c r="Y221" s="5"/>
      <c r="Z221" s="5"/>
    </row>
    <row r="222" ht="15.75" hidden="1" customHeight="1">
      <c r="A222" s="75">
        <v>45817.0</v>
      </c>
      <c r="B222" s="76">
        <v>56.0</v>
      </c>
      <c r="C222" s="76">
        <v>31.0</v>
      </c>
      <c r="D222" s="5" t="s">
        <v>25</v>
      </c>
      <c r="E222" s="5" t="s">
        <v>26</v>
      </c>
      <c r="F222" s="5" t="s">
        <v>26</v>
      </c>
      <c r="G222" s="5" t="s">
        <v>26</v>
      </c>
      <c r="H222" s="5"/>
      <c r="I222" s="5"/>
      <c r="J222" s="5" t="s">
        <v>25</v>
      </c>
      <c r="K222" s="90" t="s">
        <v>2301</v>
      </c>
      <c r="L222" s="5"/>
      <c r="M222" s="90" t="s">
        <v>2302</v>
      </c>
      <c r="N222" s="5"/>
      <c r="O222" s="5"/>
      <c r="P222" s="5"/>
      <c r="Q222" s="5"/>
      <c r="R222" s="5"/>
      <c r="S222" s="5"/>
      <c r="T222" s="5"/>
      <c r="U222" s="5"/>
      <c r="V222" s="5"/>
      <c r="W222" s="5"/>
      <c r="X222" s="5"/>
      <c r="Y222" s="5"/>
      <c r="Z222" s="5"/>
    </row>
    <row r="223" ht="15.75" hidden="1" customHeight="1">
      <c r="A223" s="75">
        <v>45818.0</v>
      </c>
      <c r="B223" s="76">
        <v>64.0</v>
      </c>
      <c r="C223" s="76">
        <v>37.4</v>
      </c>
      <c r="D223" s="5"/>
      <c r="E223" s="5" t="s">
        <v>25</v>
      </c>
      <c r="F223" s="5" t="s">
        <v>26</v>
      </c>
      <c r="G223" s="5" t="s">
        <v>26</v>
      </c>
      <c r="H223" s="5"/>
      <c r="I223" s="5"/>
      <c r="J223" s="5" t="s">
        <v>25</v>
      </c>
      <c r="K223" s="90" t="s">
        <v>2303</v>
      </c>
      <c r="L223" s="5"/>
      <c r="M223" s="90" t="s">
        <v>2304</v>
      </c>
      <c r="N223" s="5"/>
      <c r="O223" s="5"/>
      <c r="P223" s="5"/>
      <c r="Q223" s="5"/>
      <c r="R223" s="5"/>
      <c r="S223" s="5"/>
      <c r="T223" s="5"/>
      <c r="U223" s="5"/>
      <c r="V223" s="5"/>
      <c r="W223" s="5"/>
      <c r="X223" s="5"/>
      <c r="Y223" s="5"/>
      <c r="Z223" s="5"/>
    </row>
    <row r="224" ht="15.75" hidden="1" customHeight="1">
      <c r="A224" s="75">
        <v>45819.0</v>
      </c>
      <c r="B224" s="76">
        <v>72.0</v>
      </c>
      <c r="C224" s="76">
        <v>43.85</v>
      </c>
      <c r="D224" s="5"/>
      <c r="E224" s="5" t="s">
        <v>26</v>
      </c>
      <c r="F224" s="5" t="s">
        <v>26</v>
      </c>
      <c r="G224" s="5" t="s">
        <v>26</v>
      </c>
      <c r="H224" s="5"/>
      <c r="I224" s="5"/>
      <c r="J224" s="5" t="s">
        <v>25</v>
      </c>
      <c r="K224" s="90" t="s">
        <v>2303</v>
      </c>
      <c r="L224" s="5"/>
      <c r="M224" s="90" t="s">
        <v>2305</v>
      </c>
      <c r="N224" s="5" t="s">
        <v>2306</v>
      </c>
      <c r="O224" s="5"/>
      <c r="P224" s="5"/>
      <c r="Q224" s="5"/>
      <c r="R224" s="5"/>
      <c r="S224" s="5"/>
      <c r="T224" s="5"/>
      <c r="U224" s="5"/>
      <c r="V224" s="5"/>
      <c r="W224" s="5"/>
      <c r="X224" s="5"/>
      <c r="Y224" s="5"/>
      <c r="Z224" s="5"/>
    </row>
    <row r="225" ht="15.75" hidden="1" customHeight="1">
      <c r="A225" s="75">
        <v>45820.0</v>
      </c>
      <c r="B225" s="76">
        <v>80.0</v>
      </c>
      <c r="C225" s="76">
        <v>48.35</v>
      </c>
      <c r="D225" s="5"/>
      <c r="E225" s="5" t="s">
        <v>26</v>
      </c>
      <c r="F225" s="5" t="s">
        <v>26</v>
      </c>
      <c r="G225" s="5" t="s">
        <v>26</v>
      </c>
      <c r="H225" s="5"/>
      <c r="I225" s="5"/>
      <c r="J225" s="5" t="s">
        <v>25</v>
      </c>
      <c r="K225" s="90" t="s">
        <v>2307</v>
      </c>
      <c r="L225" s="5"/>
      <c r="M225" s="90" t="s">
        <v>2308</v>
      </c>
      <c r="N225" s="5"/>
      <c r="O225" s="5"/>
      <c r="P225" s="5"/>
      <c r="Q225" s="5"/>
      <c r="R225" s="5"/>
      <c r="S225" s="5"/>
      <c r="T225" s="5"/>
      <c r="U225" s="5"/>
      <c r="V225" s="5"/>
      <c r="W225" s="5"/>
      <c r="X225" s="5"/>
      <c r="Y225" s="5"/>
      <c r="Z225" s="5"/>
    </row>
    <row r="226" ht="15.75" hidden="1" customHeight="1">
      <c r="A226" s="75">
        <v>45821.0</v>
      </c>
      <c r="B226" s="76">
        <v>88.0</v>
      </c>
      <c r="C226" s="76">
        <v>52.65</v>
      </c>
      <c r="D226" s="5"/>
      <c r="E226" s="5" t="s">
        <v>26</v>
      </c>
      <c r="F226" s="5" t="s">
        <v>26</v>
      </c>
      <c r="G226" s="5" t="s">
        <v>26</v>
      </c>
      <c r="H226" s="5"/>
      <c r="I226" s="5"/>
      <c r="J226" s="5" t="s">
        <v>25</v>
      </c>
      <c r="K226" s="90" t="s">
        <v>2309</v>
      </c>
      <c r="L226" s="5"/>
      <c r="M226" s="90" t="s">
        <v>2310</v>
      </c>
      <c r="N226" s="5"/>
      <c r="O226" s="5"/>
      <c r="P226" s="5"/>
      <c r="Q226" s="5"/>
      <c r="R226" s="5"/>
      <c r="S226" s="5"/>
      <c r="T226" s="5"/>
      <c r="U226" s="5"/>
      <c r="V226" s="5"/>
      <c r="W226" s="5"/>
      <c r="X226" s="5"/>
      <c r="Y226" s="5"/>
      <c r="Z226" s="5"/>
    </row>
    <row r="227" ht="15.75" hidden="1" customHeight="1">
      <c r="A227" s="75">
        <v>45824.0</v>
      </c>
      <c r="B227" s="76">
        <v>96.0</v>
      </c>
      <c r="C227" s="76">
        <v>58.7</v>
      </c>
      <c r="D227" s="5"/>
      <c r="E227" s="5" t="s">
        <v>26</v>
      </c>
      <c r="F227" s="5" t="s">
        <v>26</v>
      </c>
      <c r="G227" s="5" t="s">
        <v>26</v>
      </c>
      <c r="H227" s="5"/>
      <c r="I227" s="5"/>
      <c r="J227" s="5" t="s">
        <v>25</v>
      </c>
      <c r="K227" s="90" t="s">
        <v>2311</v>
      </c>
      <c r="L227" s="5"/>
      <c r="M227" s="90" t="s">
        <v>2312</v>
      </c>
      <c r="N227" s="5"/>
      <c r="O227" s="5"/>
      <c r="P227" s="5"/>
      <c r="Q227" s="5"/>
      <c r="R227" s="5"/>
      <c r="S227" s="5"/>
      <c r="T227" s="5"/>
      <c r="U227" s="5"/>
      <c r="V227" s="5"/>
      <c r="W227" s="5"/>
      <c r="X227" s="5"/>
      <c r="Y227" s="5"/>
      <c r="Z227" s="5"/>
    </row>
    <row r="228" ht="15.75" hidden="1" customHeight="1">
      <c r="A228" s="75">
        <v>45825.0</v>
      </c>
      <c r="B228" s="76">
        <v>104.0</v>
      </c>
      <c r="C228" s="76">
        <v>63.2</v>
      </c>
      <c r="D228" s="5"/>
      <c r="E228" s="5" t="s">
        <v>26</v>
      </c>
      <c r="F228" s="5" t="s">
        <v>26</v>
      </c>
      <c r="G228" s="5" t="s">
        <v>26</v>
      </c>
      <c r="H228" s="5"/>
      <c r="I228" s="5"/>
      <c r="J228" s="5" t="s">
        <v>25</v>
      </c>
      <c r="K228" s="90" t="s">
        <v>2313</v>
      </c>
      <c r="L228" s="5"/>
      <c r="M228" s="90" t="s">
        <v>2314</v>
      </c>
      <c r="N228" s="5"/>
      <c r="O228" s="5"/>
      <c r="P228" s="5"/>
      <c r="Q228" s="5"/>
      <c r="R228" s="5"/>
      <c r="S228" s="5"/>
      <c r="T228" s="5"/>
      <c r="U228" s="5"/>
      <c r="V228" s="5"/>
      <c r="W228" s="5"/>
      <c r="X228" s="5"/>
      <c r="Y228" s="5"/>
      <c r="Z228" s="5"/>
    </row>
    <row r="229" ht="15.75" hidden="1" customHeight="1">
      <c r="A229" s="75">
        <v>45826.0</v>
      </c>
      <c r="B229" s="76">
        <v>112.0</v>
      </c>
      <c r="C229" s="76">
        <v>69.43</v>
      </c>
      <c r="D229" s="5"/>
      <c r="E229" s="5" t="s">
        <v>26</v>
      </c>
      <c r="F229" s="5" t="s">
        <v>26</v>
      </c>
      <c r="G229" s="5" t="s">
        <v>26</v>
      </c>
      <c r="H229" s="5"/>
      <c r="I229" s="5"/>
      <c r="J229" s="5" t="s">
        <v>25</v>
      </c>
      <c r="K229" s="90" t="s">
        <v>2315</v>
      </c>
      <c r="L229" s="5"/>
      <c r="M229" s="90" t="s">
        <v>2316</v>
      </c>
      <c r="N229" s="5"/>
      <c r="O229" s="5"/>
      <c r="P229" s="5"/>
      <c r="Q229" s="5"/>
      <c r="R229" s="5"/>
      <c r="S229" s="5"/>
      <c r="T229" s="5"/>
      <c r="U229" s="5"/>
      <c r="V229" s="5"/>
      <c r="W229" s="5"/>
      <c r="X229" s="5"/>
      <c r="Y229" s="5"/>
      <c r="Z229" s="5"/>
    </row>
    <row r="230" ht="15.75" hidden="1" customHeight="1">
      <c r="A230" s="75">
        <v>45827.0</v>
      </c>
      <c r="B230" s="76">
        <f t="shared" ref="B230:B235" si="13">B229+8</f>
        <v>120</v>
      </c>
      <c r="C230" s="76">
        <v>74.85</v>
      </c>
      <c r="D230" s="5"/>
      <c r="E230" s="5" t="s">
        <v>26</v>
      </c>
      <c r="F230" s="5" t="s">
        <v>26</v>
      </c>
      <c r="G230" s="5" t="s">
        <v>26</v>
      </c>
      <c r="H230" s="5"/>
      <c r="I230" s="5"/>
      <c r="J230" s="5" t="s">
        <v>25</v>
      </c>
      <c r="K230" s="90" t="s">
        <v>2317</v>
      </c>
      <c r="L230" s="5"/>
      <c r="M230" s="90" t="s">
        <v>2318</v>
      </c>
      <c r="N230" s="5"/>
      <c r="O230" s="5"/>
      <c r="P230" s="5"/>
      <c r="Q230" s="5"/>
      <c r="R230" s="5"/>
      <c r="S230" s="5"/>
      <c r="T230" s="5"/>
      <c r="U230" s="5"/>
      <c r="V230" s="5"/>
      <c r="W230" s="5"/>
      <c r="X230" s="5"/>
      <c r="Y230" s="5"/>
      <c r="Z230" s="5"/>
    </row>
    <row r="231" ht="15.75" hidden="1" customHeight="1">
      <c r="A231" s="75">
        <v>45828.0</v>
      </c>
      <c r="B231" s="76">
        <f t="shared" si="13"/>
        <v>128</v>
      </c>
      <c r="C231" s="76">
        <v>83.02</v>
      </c>
      <c r="D231" s="5"/>
      <c r="E231" s="5" t="s">
        <v>26</v>
      </c>
      <c r="F231" s="5" t="s">
        <v>26</v>
      </c>
      <c r="G231" s="5" t="s">
        <v>26</v>
      </c>
      <c r="H231" s="5"/>
      <c r="I231" s="5"/>
      <c r="J231" s="5" t="s">
        <v>25</v>
      </c>
      <c r="K231" s="90" t="s">
        <v>2319</v>
      </c>
      <c r="L231" s="5"/>
      <c r="M231" s="90" t="s">
        <v>2320</v>
      </c>
      <c r="N231" s="5"/>
      <c r="O231" s="5"/>
      <c r="P231" s="5"/>
      <c r="Q231" s="5"/>
      <c r="R231" s="5"/>
      <c r="S231" s="5"/>
      <c r="T231" s="5"/>
      <c r="U231" s="5"/>
      <c r="V231" s="5"/>
      <c r="W231" s="5"/>
      <c r="X231" s="5"/>
      <c r="Y231" s="5"/>
      <c r="Z231" s="5"/>
    </row>
    <row r="232" ht="15.75" hidden="1" customHeight="1">
      <c r="A232" s="75">
        <v>45831.0</v>
      </c>
      <c r="B232" s="76">
        <f t="shared" si="13"/>
        <v>136</v>
      </c>
      <c r="C232" s="76">
        <v>89.02</v>
      </c>
      <c r="D232" s="5"/>
      <c r="E232" s="5" t="s">
        <v>26</v>
      </c>
      <c r="F232" s="5" t="s">
        <v>26</v>
      </c>
      <c r="G232" s="5" t="s">
        <v>26</v>
      </c>
      <c r="H232" s="5"/>
      <c r="I232" s="5"/>
      <c r="J232" s="5" t="s">
        <v>25</v>
      </c>
      <c r="K232" s="90" t="s">
        <v>2321</v>
      </c>
      <c r="L232" s="5"/>
      <c r="M232" s="90" t="s">
        <v>2322</v>
      </c>
      <c r="N232" s="5"/>
      <c r="O232" s="5"/>
      <c r="P232" s="5"/>
      <c r="Q232" s="5"/>
      <c r="R232" s="5"/>
      <c r="S232" s="5"/>
      <c r="T232" s="5"/>
      <c r="U232" s="5"/>
      <c r="V232" s="5"/>
      <c r="W232" s="5"/>
      <c r="X232" s="5"/>
      <c r="Y232" s="5"/>
      <c r="Z232" s="5"/>
    </row>
    <row r="233" ht="15.75" hidden="1" customHeight="1">
      <c r="A233" s="75">
        <v>45832.0</v>
      </c>
      <c r="B233" s="76">
        <f t="shared" si="13"/>
        <v>144</v>
      </c>
      <c r="C233" s="76">
        <v>95.0</v>
      </c>
      <c r="D233" s="5"/>
      <c r="E233" s="5" t="s">
        <v>26</v>
      </c>
      <c r="F233" s="5" t="s">
        <v>26</v>
      </c>
      <c r="G233" s="5" t="s">
        <v>26</v>
      </c>
      <c r="H233" s="5"/>
      <c r="I233" s="5"/>
      <c r="J233" s="5" t="s">
        <v>25</v>
      </c>
      <c r="K233" s="90" t="s">
        <v>2323</v>
      </c>
      <c r="L233" s="5"/>
      <c r="M233" s="90" t="s">
        <v>2324</v>
      </c>
      <c r="N233" s="5"/>
      <c r="O233" s="5"/>
      <c r="P233" s="5"/>
      <c r="Q233" s="5"/>
      <c r="R233" s="5"/>
      <c r="S233" s="5"/>
      <c r="T233" s="5"/>
      <c r="U233" s="5"/>
      <c r="V233" s="5"/>
      <c r="W233" s="5"/>
      <c r="X233" s="5"/>
      <c r="Y233" s="5"/>
      <c r="Z233" s="5"/>
    </row>
    <row r="234" ht="15.75" hidden="1" customHeight="1">
      <c r="A234" s="75">
        <v>45833.0</v>
      </c>
      <c r="B234" s="76">
        <f t="shared" si="13"/>
        <v>152</v>
      </c>
      <c r="C234" s="76">
        <v>100.3</v>
      </c>
      <c r="D234" s="5"/>
      <c r="E234" s="5" t="s">
        <v>26</v>
      </c>
      <c r="F234" s="5" t="s">
        <v>26</v>
      </c>
      <c r="G234" s="5" t="s">
        <v>26</v>
      </c>
      <c r="H234" s="5"/>
      <c r="I234" s="5"/>
      <c r="J234" s="5" t="s">
        <v>25</v>
      </c>
      <c r="K234" s="90" t="s">
        <v>2325</v>
      </c>
      <c r="L234" s="5"/>
      <c r="M234" s="90" t="s">
        <v>2326</v>
      </c>
      <c r="N234" s="5"/>
      <c r="O234" s="5"/>
      <c r="P234" s="5"/>
      <c r="Q234" s="5"/>
      <c r="R234" s="5"/>
      <c r="S234" s="5"/>
      <c r="T234" s="5"/>
      <c r="U234" s="5"/>
      <c r="V234" s="5"/>
      <c r="W234" s="5"/>
      <c r="X234" s="5"/>
      <c r="Y234" s="5"/>
      <c r="Z234" s="5"/>
    </row>
    <row r="235" ht="15.75" hidden="1" customHeight="1">
      <c r="A235" s="75">
        <v>45834.0</v>
      </c>
      <c r="B235" s="76">
        <f t="shared" si="13"/>
        <v>160</v>
      </c>
      <c r="C235" s="76">
        <v>101.3</v>
      </c>
      <c r="D235" s="5"/>
      <c r="E235" s="5" t="s">
        <v>26</v>
      </c>
      <c r="F235" s="5" t="s">
        <v>26</v>
      </c>
      <c r="G235" s="5" t="s">
        <v>26</v>
      </c>
      <c r="H235" s="5"/>
      <c r="I235" s="5"/>
      <c r="J235" s="5" t="s">
        <v>25</v>
      </c>
      <c r="K235" s="90" t="s">
        <v>2327</v>
      </c>
      <c r="L235" s="5"/>
      <c r="M235" s="90" t="s">
        <v>2328</v>
      </c>
      <c r="N235" s="5"/>
      <c r="O235" s="5"/>
      <c r="P235" s="5"/>
      <c r="Q235" s="5"/>
      <c r="R235" s="5"/>
      <c r="S235" s="5"/>
      <c r="T235" s="5"/>
      <c r="U235" s="5"/>
      <c r="V235" s="5"/>
      <c r="W235" s="5"/>
      <c r="X235" s="5"/>
      <c r="Y235" s="5"/>
      <c r="Z235" s="5"/>
    </row>
    <row r="236" ht="15.75" hidden="1" customHeight="1">
      <c r="A236" s="75">
        <v>45835.0</v>
      </c>
      <c r="B236" s="76">
        <v>160.0</v>
      </c>
      <c r="C236" s="76">
        <v>103.7</v>
      </c>
      <c r="D236" s="5"/>
      <c r="E236" s="5" t="s">
        <v>26</v>
      </c>
      <c r="F236" s="5" t="s">
        <v>26</v>
      </c>
      <c r="G236" s="5" t="s">
        <v>26</v>
      </c>
      <c r="H236" s="5" t="s">
        <v>155</v>
      </c>
      <c r="I236" s="5"/>
      <c r="J236" s="5" t="s">
        <v>25</v>
      </c>
      <c r="K236" s="90" t="s">
        <v>2329</v>
      </c>
      <c r="L236" s="5"/>
      <c r="M236" s="90" t="s">
        <v>2330</v>
      </c>
      <c r="N236" s="5"/>
      <c r="O236" s="5"/>
      <c r="P236" s="5"/>
      <c r="Q236" s="5"/>
      <c r="R236" s="5"/>
      <c r="S236" s="5"/>
      <c r="T236" s="5"/>
      <c r="U236" s="5"/>
      <c r="V236" s="5"/>
      <c r="W236" s="5"/>
      <c r="X236" s="5"/>
      <c r="Y236" s="5"/>
      <c r="Z236" s="5"/>
    </row>
    <row r="237" ht="15.75" hidden="1" customHeight="1">
      <c r="A237" s="75">
        <v>45838.0</v>
      </c>
      <c r="B237" s="76">
        <v>160.0</v>
      </c>
      <c r="C237" s="76">
        <v>108.7</v>
      </c>
      <c r="D237" s="5"/>
      <c r="E237" s="5" t="s">
        <v>26</v>
      </c>
      <c r="F237" s="5" t="s">
        <v>26</v>
      </c>
      <c r="G237" s="5" t="s">
        <v>26</v>
      </c>
      <c r="H237" s="5"/>
      <c r="I237" s="5"/>
      <c r="J237" s="5"/>
      <c r="K237" s="90" t="s">
        <v>2331</v>
      </c>
      <c r="L237" s="5"/>
      <c r="M237" s="90" t="s">
        <v>2332</v>
      </c>
      <c r="N237" s="5"/>
      <c r="O237" s="5"/>
      <c r="P237" s="5"/>
      <c r="Q237" s="5"/>
      <c r="R237" s="5"/>
      <c r="S237" s="5"/>
      <c r="T237" s="5"/>
      <c r="U237" s="5"/>
      <c r="V237" s="5"/>
      <c r="W237" s="5"/>
      <c r="X237" s="5"/>
      <c r="Y237" s="5"/>
      <c r="Z237" s="5"/>
    </row>
    <row r="238" ht="15.75" hidden="1" customHeight="1">
      <c r="A238" s="75">
        <v>45839.0</v>
      </c>
      <c r="B238" s="76">
        <v>8.0</v>
      </c>
      <c r="C238" s="76">
        <v>2.1</v>
      </c>
      <c r="D238" s="5"/>
      <c r="E238" s="5" t="s">
        <v>26</v>
      </c>
      <c r="F238" s="5" t="s">
        <v>26</v>
      </c>
      <c r="G238" s="5" t="s">
        <v>26</v>
      </c>
      <c r="H238" s="5" t="s">
        <v>155</v>
      </c>
      <c r="I238" s="5"/>
      <c r="J238" s="5"/>
      <c r="K238" s="90" t="s">
        <v>2333</v>
      </c>
      <c r="L238" s="5"/>
      <c r="M238" s="90" t="s">
        <v>2334</v>
      </c>
      <c r="N238" s="5"/>
      <c r="O238" s="5"/>
      <c r="P238" s="5"/>
      <c r="Q238" s="5"/>
      <c r="R238" s="5"/>
      <c r="S238" s="5"/>
      <c r="T238" s="5"/>
      <c r="U238" s="5"/>
      <c r="V238" s="5"/>
      <c r="W238" s="5"/>
      <c r="X238" s="5"/>
      <c r="Y238" s="5"/>
      <c r="Z238" s="5"/>
    </row>
    <row r="239" ht="15.75" hidden="1" customHeight="1">
      <c r="A239" s="75">
        <v>45840.0</v>
      </c>
      <c r="B239" s="76">
        <f t="shared" ref="B239:B247" si="14">B238+8</f>
        <v>16</v>
      </c>
      <c r="C239" s="76">
        <v>7.3</v>
      </c>
      <c r="D239" s="5"/>
      <c r="E239" s="5" t="s">
        <v>26</v>
      </c>
      <c r="F239" s="5" t="s">
        <v>26</v>
      </c>
      <c r="G239" s="5" t="s">
        <v>26</v>
      </c>
      <c r="H239" s="5"/>
      <c r="I239" s="5"/>
      <c r="J239" s="5"/>
      <c r="K239" s="90" t="s">
        <v>2335</v>
      </c>
      <c r="L239" s="5"/>
      <c r="M239" s="90" t="s">
        <v>2336</v>
      </c>
      <c r="N239" s="5"/>
      <c r="O239" s="5"/>
      <c r="P239" s="5"/>
      <c r="Q239" s="5"/>
      <c r="R239" s="5"/>
      <c r="S239" s="5"/>
      <c r="T239" s="5"/>
      <c r="U239" s="5"/>
      <c r="V239" s="5"/>
      <c r="W239" s="5"/>
      <c r="X239" s="5"/>
      <c r="Y239" s="5"/>
      <c r="Z239" s="5"/>
    </row>
    <row r="240" ht="15.75" hidden="1" customHeight="1">
      <c r="A240" s="75">
        <v>45841.0</v>
      </c>
      <c r="B240" s="76">
        <f t="shared" si="14"/>
        <v>24</v>
      </c>
      <c r="C240" s="76">
        <v>12.65</v>
      </c>
      <c r="D240" s="5"/>
      <c r="E240" s="5" t="s">
        <v>26</v>
      </c>
      <c r="F240" s="5" t="s">
        <v>26</v>
      </c>
      <c r="G240" s="5" t="s">
        <v>26</v>
      </c>
      <c r="H240" s="5" t="s">
        <v>155</v>
      </c>
      <c r="I240" s="5"/>
      <c r="J240" s="5"/>
      <c r="K240" s="90" t="s">
        <v>2337</v>
      </c>
      <c r="L240" s="5"/>
      <c r="M240" s="90" t="s">
        <v>2338</v>
      </c>
      <c r="N240" s="5"/>
      <c r="O240" s="5"/>
      <c r="P240" s="5"/>
      <c r="Q240" s="5"/>
      <c r="R240" s="5"/>
      <c r="S240" s="5"/>
      <c r="T240" s="5"/>
      <c r="U240" s="5"/>
      <c r="V240" s="5"/>
      <c r="W240" s="5"/>
      <c r="X240" s="5"/>
      <c r="Y240" s="5"/>
      <c r="Z240" s="5"/>
    </row>
    <row r="241" ht="15.75" hidden="1" customHeight="1">
      <c r="A241" s="75">
        <v>45842.0</v>
      </c>
      <c r="B241" s="76">
        <f t="shared" si="14"/>
        <v>32</v>
      </c>
      <c r="C241" s="76">
        <f>12.65+5.3</f>
        <v>17.95</v>
      </c>
      <c r="D241" s="5"/>
      <c r="E241" s="5" t="s">
        <v>26</v>
      </c>
      <c r="F241" s="5" t="s">
        <v>26</v>
      </c>
      <c r="G241" s="5" t="s">
        <v>26</v>
      </c>
      <c r="H241" s="5" t="s">
        <v>155</v>
      </c>
      <c r="I241" s="5"/>
      <c r="J241" s="5"/>
      <c r="K241" s="90" t="s">
        <v>2339</v>
      </c>
      <c r="L241" s="5"/>
      <c r="M241" s="90" t="s">
        <v>2340</v>
      </c>
      <c r="N241" s="5"/>
      <c r="O241" s="5"/>
      <c r="P241" s="5"/>
      <c r="Q241" s="5"/>
      <c r="R241" s="5"/>
      <c r="S241" s="5"/>
      <c r="T241" s="5"/>
      <c r="U241" s="5"/>
      <c r="V241" s="5"/>
      <c r="W241" s="5"/>
      <c r="X241" s="5"/>
      <c r="Y241" s="5"/>
      <c r="Z241" s="5"/>
    </row>
    <row r="242" ht="15.75" hidden="1" customHeight="1">
      <c r="A242" s="75">
        <v>45845.0</v>
      </c>
      <c r="B242" s="76">
        <f t="shared" si="14"/>
        <v>40</v>
      </c>
      <c r="C242" s="76">
        <f>17.95+6.5</f>
        <v>24.45</v>
      </c>
      <c r="D242" s="5"/>
      <c r="E242" s="5" t="s">
        <v>26</v>
      </c>
      <c r="F242" s="5" t="s">
        <v>26</v>
      </c>
      <c r="G242" s="5" t="s">
        <v>26</v>
      </c>
      <c r="H242" s="5" t="s">
        <v>155</v>
      </c>
      <c r="I242" s="5"/>
      <c r="J242" s="5"/>
      <c r="K242" s="90" t="s">
        <v>2341</v>
      </c>
      <c r="L242" s="5"/>
      <c r="M242" s="90" t="s">
        <v>2342</v>
      </c>
      <c r="N242" s="5"/>
      <c r="O242" s="5"/>
      <c r="P242" s="5"/>
      <c r="Q242" s="5"/>
      <c r="R242" s="5"/>
      <c r="S242" s="5"/>
      <c r="T242" s="5"/>
      <c r="U242" s="5"/>
      <c r="V242" s="5"/>
      <c r="W242" s="5"/>
      <c r="X242" s="5"/>
      <c r="Y242" s="5"/>
      <c r="Z242" s="5"/>
    </row>
    <row r="243" ht="15.75" hidden="1" customHeight="1">
      <c r="A243" s="75">
        <v>45846.0</v>
      </c>
      <c r="B243" s="76">
        <f t="shared" si="14"/>
        <v>48</v>
      </c>
      <c r="C243" s="76">
        <f>24.45+6.35</f>
        <v>30.8</v>
      </c>
      <c r="D243" s="5"/>
      <c r="E243" s="5" t="s">
        <v>26</v>
      </c>
      <c r="F243" s="5" t="s">
        <v>26</v>
      </c>
      <c r="G243" s="5" t="s">
        <v>26</v>
      </c>
      <c r="H243" s="5" t="s">
        <v>155</v>
      </c>
      <c r="I243" s="5"/>
      <c r="J243" s="5"/>
      <c r="K243" s="90" t="s">
        <v>2343</v>
      </c>
      <c r="L243" s="5"/>
      <c r="M243" s="90" t="s">
        <v>2344</v>
      </c>
      <c r="N243" s="5"/>
      <c r="O243" s="5"/>
      <c r="P243" s="5"/>
      <c r="Q243" s="5"/>
      <c r="R243" s="5"/>
      <c r="S243" s="5"/>
      <c r="T243" s="5"/>
      <c r="U243" s="5"/>
      <c r="V243" s="5"/>
      <c r="W243" s="5"/>
      <c r="X243" s="5"/>
      <c r="Y243" s="5"/>
      <c r="Z243" s="5"/>
    </row>
    <row r="244" ht="15.75" hidden="1" customHeight="1">
      <c r="A244" s="75">
        <v>45847.0</v>
      </c>
      <c r="B244" s="76">
        <f t="shared" si="14"/>
        <v>56</v>
      </c>
      <c r="C244" s="76">
        <f>30.8+4.25</f>
        <v>35.05</v>
      </c>
      <c r="D244" s="5"/>
      <c r="E244" s="5" t="s">
        <v>26</v>
      </c>
      <c r="F244" s="5" t="s">
        <v>26</v>
      </c>
      <c r="G244" s="5" t="s">
        <v>26</v>
      </c>
      <c r="H244" s="5" t="s">
        <v>155</v>
      </c>
      <c r="I244" s="5"/>
      <c r="J244" s="5"/>
      <c r="K244" s="90" t="s">
        <v>2345</v>
      </c>
      <c r="L244" s="5"/>
      <c r="M244" s="90" t="s">
        <v>2346</v>
      </c>
      <c r="N244" s="5"/>
      <c r="O244" s="5"/>
      <c r="P244" s="5"/>
      <c r="Q244" s="5"/>
      <c r="R244" s="5"/>
      <c r="S244" s="5"/>
      <c r="T244" s="5"/>
      <c r="U244" s="5"/>
      <c r="V244" s="5"/>
      <c r="W244" s="5"/>
      <c r="X244" s="5"/>
      <c r="Y244" s="5"/>
      <c r="Z244" s="5"/>
    </row>
    <row r="245" ht="15.75" hidden="1" customHeight="1">
      <c r="A245" s="75">
        <v>45848.0</v>
      </c>
      <c r="B245" s="76">
        <f t="shared" si="14"/>
        <v>64</v>
      </c>
      <c r="C245" s="76">
        <f>35.05+2.3</f>
        <v>37.35</v>
      </c>
      <c r="D245" s="5"/>
      <c r="E245" s="5" t="s">
        <v>26</v>
      </c>
      <c r="F245" s="5" t="s">
        <v>26</v>
      </c>
      <c r="G245" s="5" t="s">
        <v>26</v>
      </c>
      <c r="H245" s="5"/>
      <c r="I245" s="5"/>
      <c r="J245" s="5"/>
      <c r="K245" s="90" t="s">
        <v>2347</v>
      </c>
      <c r="L245" s="5"/>
      <c r="M245" s="90" t="s">
        <v>2348</v>
      </c>
      <c r="N245" s="5"/>
      <c r="O245" s="5"/>
      <c r="P245" s="5"/>
      <c r="Q245" s="5"/>
      <c r="R245" s="5"/>
      <c r="S245" s="5"/>
      <c r="T245" s="5"/>
      <c r="U245" s="5"/>
      <c r="V245" s="5"/>
      <c r="W245" s="5"/>
      <c r="X245" s="5"/>
      <c r="Y245" s="5"/>
      <c r="Z245" s="5"/>
    </row>
    <row r="246" ht="15.75" hidden="1" customHeight="1">
      <c r="A246" s="75">
        <v>45849.0</v>
      </c>
      <c r="B246" s="76">
        <f t="shared" si="14"/>
        <v>72</v>
      </c>
      <c r="C246" s="76">
        <f>37.35+3.45+2</f>
        <v>42.8</v>
      </c>
      <c r="D246" s="5"/>
      <c r="E246" s="5" t="s">
        <v>26</v>
      </c>
      <c r="F246" s="5" t="s">
        <v>26</v>
      </c>
      <c r="G246" s="5" t="s">
        <v>26</v>
      </c>
      <c r="H246" s="5" t="s">
        <v>155</v>
      </c>
      <c r="I246" s="5"/>
      <c r="J246" s="5"/>
      <c r="K246" s="90" t="s">
        <v>2347</v>
      </c>
      <c r="L246" s="5"/>
      <c r="M246" s="90" t="s">
        <v>2349</v>
      </c>
      <c r="N246" s="5"/>
      <c r="O246" s="5"/>
      <c r="P246" s="5"/>
      <c r="Q246" s="5"/>
      <c r="R246" s="5"/>
      <c r="S246" s="5"/>
      <c r="T246" s="5"/>
      <c r="U246" s="5"/>
      <c r="V246" s="5"/>
      <c r="W246" s="5"/>
      <c r="X246" s="5"/>
      <c r="Y246" s="5"/>
      <c r="Z246" s="5"/>
    </row>
    <row r="247" ht="15.75" hidden="1" customHeight="1">
      <c r="A247" s="75">
        <v>45852.0</v>
      </c>
      <c r="B247" s="76">
        <f t="shared" si="14"/>
        <v>80</v>
      </c>
      <c r="C247" s="76">
        <f>42.8+6.45</f>
        <v>49.25</v>
      </c>
      <c r="D247" s="5"/>
      <c r="E247" s="5" t="s">
        <v>26</v>
      </c>
      <c r="F247" s="5" t="s">
        <v>26</v>
      </c>
      <c r="G247" s="5" t="s">
        <v>26</v>
      </c>
      <c r="H247" s="5"/>
      <c r="I247" s="5"/>
      <c r="J247" s="5"/>
      <c r="K247" s="90" t="s">
        <v>2350</v>
      </c>
      <c r="L247" s="5"/>
      <c r="M247" s="90" t="s">
        <v>2351</v>
      </c>
      <c r="N247" s="5"/>
      <c r="O247" s="5"/>
      <c r="P247" s="5"/>
      <c r="Q247" s="5"/>
      <c r="R247" s="5"/>
      <c r="S247" s="5"/>
      <c r="T247" s="5"/>
      <c r="U247" s="5"/>
      <c r="V247" s="5"/>
      <c r="W247" s="5"/>
      <c r="X247" s="5"/>
      <c r="Y247" s="5"/>
      <c r="Z247" s="5"/>
    </row>
    <row r="248" ht="15.75" hidden="1" customHeight="1">
      <c r="A248" s="75">
        <v>45853.0</v>
      </c>
      <c r="B248" s="76">
        <v>88.0</v>
      </c>
      <c r="C248" s="76">
        <f>49.25+6.15</f>
        <v>55.4</v>
      </c>
      <c r="D248" s="5"/>
      <c r="E248" s="5" t="s">
        <v>26</v>
      </c>
      <c r="F248" s="5" t="s">
        <v>26</v>
      </c>
      <c r="G248" s="5" t="s">
        <v>26</v>
      </c>
      <c r="H248" s="5"/>
      <c r="I248" s="5"/>
      <c r="J248" s="5"/>
      <c r="K248" s="90" t="s">
        <v>2352</v>
      </c>
      <c r="L248" s="5"/>
      <c r="M248" s="90" t="s">
        <v>2353</v>
      </c>
      <c r="N248" s="5"/>
      <c r="O248" s="5"/>
      <c r="P248" s="5"/>
      <c r="Q248" s="5"/>
      <c r="R248" s="5"/>
      <c r="S248" s="5"/>
      <c r="T248" s="5"/>
      <c r="U248" s="5"/>
      <c r="V248" s="5"/>
      <c r="W248" s="5"/>
      <c r="X248" s="5"/>
      <c r="Y248" s="5"/>
      <c r="Z248" s="5"/>
    </row>
    <row r="249" ht="15.75" hidden="1" customHeight="1">
      <c r="A249" s="75">
        <v>45854.0</v>
      </c>
      <c r="B249" s="76">
        <f>88+8</f>
        <v>96</v>
      </c>
      <c r="C249" s="76">
        <f>55.4+6.3</f>
        <v>61.7</v>
      </c>
      <c r="D249" s="5"/>
      <c r="E249" s="5" t="s">
        <v>26</v>
      </c>
      <c r="F249" s="5" t="s">
        <v>26</v>
      </c>
      <c r="G249" s="5" t="s">
        <v>26</v>
      </c>
      <c r="H249" s="5"/>
      <c r="I249" s="5"/>
      <c r="J249" s="5"/>
      <c r="K249" s="90" t="s">
        <v>2354</v>
      </c>
      <c r="L249" s="5"/>
      <c r="M249" s="90" t="s">
        <v>2355</v>
      </c>
      <c r="N249" s="5"/>
      <c r="O249" s="5"/>
      <c r="P249" s="5"/>
      <c r="Q249" s="5"/>
      <c r="R249" s="5"/>
      <c r="S249" s="5"/>
      <c r="T249" s="5"/>
      <c r="U249" s="5"/>
      <c r="V249" s="5"/>
      <c r="W249" s="5"/>
      <c r="X249" s="5"/>
      <c r="Y249" s="5"/>
      <c r="Z249" s="5"/>
    </row>
    <row r="250" ht="15.75" hidden="1" customHeight="1">
      <c r="A250" s="75">
        <v>45855.0</v>
      </c>
      <c r="B250" s="76">
        <f>96+8</f>
        <v>104</v>
      </c>
      <c r="C250" s="76">
        <f>61.7+6.2</f>
        <v>67.9</v>
      </c>
      <c r="D250" s="5"/>
      <c r="E250" s="5" t="s">
        <v>26</v>
      </c>
      <c r="F250" s="5" t="s">
        <v>26</v>
      </c>
      <c r="G250" s="5" t="s">
        <v>26</v>
      </c>
      <c r="H250" s="5"/>
      <c r="I250" s="5"/>
      <c r="J250" s="5"/>
      <c r="K250" s="90" t="s">
        <v>2356</v>
      </c>
      <c r="L250" s="5"/>
      <c r="M250" s="90" t="s">
        <v>2357</v>
      </c>
      <c r="N250" s="5"/>
      <c r="O250" s="5"/>
      <c r="P250" s="5"/>
      <c r="Q250" s="5"/>
      <c r="R250" s="5"/>
      <c r="S250" s="5"/>
      <c r="T250" s="5"/>
      <c r="U250" s="5"/>
      <c r="V250" s="5"/>
      <c r="W250" s="5"/>
      <c r="X250" s="5"/>
      <c r="Y250" s="5"/>
      <c r="Z250" s="5"/>
    </row>
    <row r="251" ht="15.75" hidden="1" customHeight="1">
      <c r="A251" s="75">
        <v>45856.0</v>
      </c>
      <c r="B251" s="76">
        <f>104+8</f>
        <v>112</v>
      </c>
      <c r="C251" s="76">
        <f>67.9+6</f>
        <v>73.9</v>
      </c>
      <c r="D251" s="5"/>
      <c r="E251" s="5" t="s">
        <v>26</v>
      </c>
      <c r="F251" s="5" t="s">
        <v>26</v>
      </c>
      <c r="G251" s="5" t="s">
        <v>26</v>
      </c>
      <c r="H251" s="5" t="s">
        <v>155</v>
      </c>
      <c r="I251" s="5"/>
      <c r="J251" s="5"/>
      <c r="K251" s="90" t="s">
        <v>2358</v>
      </c>
      <c r="L251" s="5"/>
      <c r="M251" s="90" t="s">
        <v>2359</v>
      </c>
      <c r="N251" s="5"/>
      <c r="O251" s="5"/>
      <c r="P251" s="5"/>
      <c r="Q251" s="5"/>
      <c r="R251" s="5"/>
      <c r="S251" s="5"/>
      <c r="T251" s="5"/>
      <c r="U251" s="5"/>
      <c r="V251" s="5"/>
      <c r="W251" s="5"/>
      <c r="X251" s="5"/>
      <c r="Y251" s="5"/>
      <c r="Z251" s="5"/>
    </row>
    <row r="252" ht="15.75" hidden="1" customHeight="1">
      <c r="A252" s="75">
        <v>45859.0</v>
      </c>
      <c r="B252" s="76">
        <f>112+8</f>
        <v>120</v>
      </c>
      <c r="C252" s="76">
        <f>73.9+6.15</f>
        <v>80.05</v>
      </c>
      <c r="D252" s="5"/>
      <c r="E252" s="5" t="s">
        <v>26</v>
      </c>
      <c r="F252" s="5" t="s">
        <v>26</v>
      </c>
      <c r="G252" s="5" t="s">
        <v>26</v>
      </c>
      <c r="H252" s="5" t="s">
        <v>155</v>
      </c>
      <c r="I252" s="5"/>
      <c r="J252" s="5"/>
      <c r="K252" s="90" t="s">
        <v>2360</v>
      </c>
      <c r="L252" s="5"/>
      <c r="M252" s="90" t="s">
        <v>2361</v>
      </c>
      <c r="N252" s="5"/>
      <c r="O252" s="5"/>
      <c r="P252" s="5"/>
      <c r="Q252" s="5"/>
      <c r="R252" s="5"/>
      <c r="S252" s="5"/>
      <c r="T252" s="5"/>
      <c r="U252" s="5"/>
      <c r="V252" s="5"/>
      <c r="W252" s="5"/>
      <c r="X252" s="5"/>
      <c r="Y252" s="5"/>
      <c r="Z252" s="5"/>
    </row>
    <row r="253" ht="15.75" hidden="1" customHeight="1">
      <c r="A253" s="75">
        <v>45860.0</v>
      </c>
      <c r="B253" s="76">
        <f>120+8</f>
        <v>128</v>
      </c>
      <c r="C253" s="76">
        <f>80.05+6.25</f>
        <v>86.3</v>
      </c>
      <c r="D253" s="5"/>
      <c r="E253" s="5" t="s">
        <v>26</v>
      </c>
      <c r="F253" s="5" t="s">
        <v>26</v>
      </c>
      <c r="G253" s="5" t="s">
        <v>26</v>
      </c>
      <c r="H253" s="5" t="s">
        <v>155</v>
      </c>
      <c r="I253" s="5"/>
      <c r="J253" s="5"/>
      <c r="K253" s="90" t="s">
        <v>2362</v>
      </c>
      <c r="L253" s="5"/>
      <c r="M253" s="90" t="s">
        <v>2363</v>
      </c>
      <c r="N253" s="5"/>
      <c r="O253" s="5"/>
      <c r="P253" s="5"/>
      <c r="Q253" s="5"/>
      <c r="R253" s="5"/>
      <c r="S253" s="5"/>
      <c r="T253" s="5"/>
      <c r="U253" s="5"/>
      <c r="V253" s="5"/>
      <c r="W253" s="5"/>
      <c r="X253" s="5"/>
      <c r="Y253" s="5"/>
      <c r="Z253" s="5"/>
    </row>
    <row r="254" ht="15.75" hidden="1" customHeight="1">
      <c r="A254" s="75">
        <v>45861.0</v>
      </c>
      <c r="B254" s="76">
        <f>128+8</f>
        <v>136</v>
      </c>
      <c r="C254" s="76">
        <f>86.3+5.2</f>
        <v>91.5</v>
      </c>
      <c r="D254" s="5"/>
      <c r="E254" s="5" t="s">
        <v>26</v>
      </c>
      <c r="F254" s="5" t="s">
        <v>26</v>
      </c>
      <c r="G254" s="5" t="s">
        <v>26</v>
      </c>
      <c r="H254" s="5"/>
      <c r="I254" s="5"/>
      <c r="J254" s="5"/>
      <c r="K254" s="90" t="s">
        <v>2364</v>
      </c>
      <c r="L254" s="5"/>
      <c r="M254" s="90" t="s">
        <v>2365</v>
      </c>
      <c r="N254" s="5"/>
      <c r="O254" s="5"/>
      <c r="P254" s="5"/>
      <c r="Q254" s="5"/>
      <c r="R254" s="5"/>
      <c r="S254" s="5"/>
      <c r="T254" s="5"/>
      <c r="U254" s="5"/>
      <c r="V254" s="5"/>
      <c r="W254" s="5"/>
      <c r="X254" s="5"/>
      <c r="Y254" s="5"/>
      <c r="Z254" s="5"/>
    </row>
    <row r="255" ht="15.75" hidden="1" customHeight="1">
      <c r="A255" s="75">
        <v>45862.0</v>
      </c>
      <c r="B255" s="76">
        <f>136+8</f>
        <v>144</v>
      </c>
      <c r="C255" s="76">
        <f>91.5+5.15</f>
        <v>96.65</v>
      </c>
      <c r="D255" s="5"/>
      <c r="E255" s="5" t="s">
        <v>26</v>
      </c>
      <c r="F255" s="5" t="s">
        <v>26</v>
      </c>
      <c r="G255" s="5" t="s">
        <v>26</v>
      </c>
      <c r="H255" s="5" t="s">
        <v>155</v>
      </c>
      <c r="I255" s="5"/>
      <c r="J255" s="5"/>
      <c r="K255" s="90" t="s">
        <v>2364</v>
      </c>
      <c r="L255" s="5"/>
      <c r="M255" s="90" t="s">
        <v>2366</v>
      </c>
      <c r="N255" s="5"/>
      <c r="O255" s="5"/>
      <c r="P255" s="5"/>
      <c r="Q255" s="5"/>
      <c r="R255" s="5"/>
      <c r="S255" s="5"/>
      <c r="T255" s="5"/>
      <c r="U255" s="5"/>
      <c r="V255" s="5"/>
      <c r="W255" s="5"/>
      <c r="X255" s="5"/>
      <c r="Y255" s="5"/>
      <c r="Z255" s="5"/>
    </row>
    <row r="256" ht="15.75" hidden="1" customHeight="1">
      <c r="A256" s="75">
        <v>45863.0</v>
      </c>
      <c r="B256" s="76">
        <f>144+8</f>
        <v>152</v>
      </c>
      <c r="C256" s="76">
        <f>96.65</f>
        <v>96.65</v>
      </c>
      <c r="D256" s="5"/>
      <c r="E256" s="5"/>
      <c r="F256" s="5"/>
      <c r="G256" s="5"/>
      <c r="H256" s="5"/>
      <c r="I256" s="5"/>
      <c r="J256" s="5"/>
      <c r="K256" s="90" t="s">
        <v>2367</v>
      </c>
      <c r="L256" s="5"/>
      <c r="M256" s="5"/>
      <c r="N256" s="5" t="s">
        <v>834</v>
      </c>
      <c r="O256" s="5"/>
      <c r="P256" s="5"/>
      <c r="Q256" s="5"/>
      <c r="R256" s="5"/>
      <c r="S256" s="5"/>
      <c r="T256" s="5"/>
      <c r="U256" s="5"/>
      <c r="V256" s="5"/>
      <c r="W256" s="5"/>
      <c r="X256" s="5"/>
      <c r="Y256" s="5"/>
      <c r="Z256" s="5"/>
    </row>
    <row r="257" ht="15.75" hidden="1" customHeight="1">
      <c r="A257" s="75">
        <v>45866.0</v>
      </c>
      <c r="B257" s="76">
        <f>152+8</f>
        <v>160</v>
      </c>
      <c r="C257" s="76">
        <f>96.65+6.45</f>
        <v>103.1</v>
      </c>
      <c r="D257" s="5"/>
      <c r="E257" s="5" t="s">
        <v>26</v>
      </c>
      <c r="F257" s="5" t="s">
        <v>26</v>
      </c>
      <c r="G257" s="5" t="s">
        <v>26</v>
      </c>
      <c r="H257" s="5"/>
      <c r="I257" s="5"/>
      <c r="J257" s="5"/>
      <c r="K257" s="90" t="s">
        <v>2368</v>
      </c>
      <c r="L257" s="5"/>
      <c r="M257" s="90" t="s">
        <v>2369</v>
      </c>
      <c r="N257" s="5"/>
      <c r="O257" s="5"/>
      <c r="P257" s="5"/>
      <c r="Q257" s="5"/>
      <c r="R257" s="5"/>
      <c r="S257" s="5"/>
      <c r="T257" s="5"/>
      <c r="U257" s="5"/>
      <c r="V257" s="5"/>
      <c r="W257" s="5"/>
      <c r="X257" s="5"/>
      <c r="Y257" s="5"/>
      <c r="Z257" s="5"/>
    </row>
    <row r="258" ht="15.75" hidden="1" customHeight="1">
      <c r="A258" s="75">
        <v>45867.0</v>
      </c>
      <c r="B258" s="76">
        <v>160.0</v>
      </c>
      <c r="C258" s="76">
        <f>103.1+5.45</f>
        <v>108.55</v>
      </c>
      <c r="D258" s="5"/>
      <c r="E258" s="5" t="s">
        <v>26</v>
      </c>
      <c r="F258" s="5" t="s">
        <v>26</v>
      </c>
      <c r="G258" s="5" t="s">
        <v>26</v>
      </c>
      <c r="H258" s="5"/>
      <c r="I258" s="5"/>
      <c r="J258" s="5"/>
      <c r="K258" s="90" t="s">
        <v>2370</v>
      </c>
      <c r="L258" s="5"/>
      <c r="M258" s="90" t="s">
        <v>2371</v>
      </c>
      <c r="N258" s="5"/>
      <c r="O258" s="5"/>
      <c r="P258" s="5"/>
      <c r="Q258" s="5"/>
      <c r="R258" s="5"/>
      <c r="S258" s="5"/>
      <c r="T258" s="5"/>
      <c r="U258" s="5"/>
      <c r="V258" s="5"/>
      <c r="W258" s="5"/>
      <c r="X258" s="5"/>
      <c r="Y258" s="5"/>
      <c r="Z258" s="5"/>
    </row>
    <row r="259" ht="15.75" hidden="1" customHeight="1">
      <c r="A259" s="75">
        <v>45868.0</v>
      </c>
      <c r="B259" s="76">
        <v>160.0</v>
      </c>
      <c r="C259" s="76">
        <f>108.55+6.2</f>
        <v>114.75</v>
      </c>
      <c r="D259" s="5"/>
      <c r="E259" s="5" t="s">
        <v>26</v>
      </c>
      <c r="F259" s="5" t="s">
        <v>26</v>
      </c>
      <c r="G259" s="5" t="s">
        <v>26</v>
      </c>
      <c r="H259" s="5"/>
      <c r="I259" s="5"/>
      <c r="J259" s="5"/>
      <c r="K259" s="90" t="s">
        <v>2372</v>
      </c>
      <c r="L259" s="5"/>
      <c r="M259" s="90" t="s">
        <v>2373</v>
      </c>
      <c r="N259" s="5" t="s">
        <v>2374</v>
      </c>
      <c r="O259" s="5"/>
      <c r="P259" s="5"/>
      <c r="Q259" s="5"/>
      <c r="R259" s="5"/>
      <c r="S259" s="5"/>
      <c r="T259" s="5"/>
      <c r="U259" s="5"/>
      <c r="V259" s="5"/>
      <c r="W259" s="5"/>
      <c r="X259" s="5"/>
      <c r="Y259" s="5"/>
      <c r="Z259" s="5"/>
    </row>
    <row r="260" ht="15.75" hidden="1" customHeight="1">
      <c r="A260" s="75">
        <v>45869.0</v>
      </c>
      <c r="B260" s="76">
        <v>160.0</v>
      </c>
      <c r="C260" s="76">
        <v>120.28</v>
      </c>
      <c r="D260" s="5"/>
      <c r="E260" s="5" t="s">
        <v>26</v>
      </c>
      <c r="F260" s="5" t="s">
        <v>26</v>
      </c>
      <c r="G260" s="5" t="s">
        <v>26</v>
      </c>
      <c r="H260" s="5" t="s">
        <v>155</v>
      </c>
      <c r="I260" s="5"/>
      <c r="J260" s="5"/>
      <c r="K260" s="90" t="s">
        <v>2375</v>
      </c>
      <c r="L260" s="5"/>
      <c r="M260" s="90" t="s">
        <v>2376</v>
      </c>
      <c r="N260" s="5" t="s">
        <v>2377</v>
      </c>
      <c r="O260" s="5"/>
      <c r="P260" s="5"/>
      <c r="Q260" s="5"/>
      <c r="R260" s="5"/>
      <c r="S260" s="5"/>
      <c r="T260" s="5"/>
      <c r="U260" s="5"/>
      <c r="V260" s="5"/>
      <c r="W260" s="5"/>
      <c r="X260" s="5"/>
      <c r="Y260" s="5"/>
      <c r="Z260" s="5"/>
    </row>
    <row r="261" ht="15.75" hidden="1" customHeight="1">
      <c r="A261" s="75">
        <v>45870.0</v>
      </c>
      <c r="B261" s="76">
        <v>8.0</v>
      </c>
      <c r="C261" s="76">
        <v>6.0</v>
      </c>
      <c r="D261" s="5"/>
      <c r="E261" s="5" t="s">
        <v>26</v>
      </c>
      <c r="F261" s="5" t="s">
        <v>26</v>
      </c>
      <c r="G261" s="5" t="s">
        <v>26</v>
      </c>
      <c r="H261" s="5"/>
      <c r="I261" s="5"/>
      <c r="J261" s="5"/>
      <c r="K261" s="90" t="s">
        <v>2378</v>
      </c>
      <c r="L261" s="5"/>
      <c r="M261" s="90" t="s">
        <v>2379</v>
      </c>
      <c r="N261" s="5" t="s">
        <v>2380</v>
      </c>
      <c r="O261" s="5"/>
      <c r="P261" s="5"/>
      <c r="Q261" s="5"/>
      <c r="R261" s="5"/>
      <c r="S261" s="5"/>
      <c r="T261" s="5"/>
      <c r="U261" s="5"/>
      <c r="V261" s="5"/>
      <c r="W261" s="5"/>
      <c r="X261" s="5"/>
      <c r="Y261" s="5"/>
      <c r="Z261" s="5"/>
    </row>
    <row r="262" ht="15.75" hidden="1" customHeight="1">
      <c r="A262" s="75">
        <v>45873.0</v>
      </c>
      <c r="B262" s="76">
        <f>8+8</f>
        <v>16</v>
      </c>
      <c r="C262" s="76">
        <f>6+7.06</f>
        <v>13.06</v>
      </c>
      <c r="D262" s="5"/>
      <c r="E262" s="5" t="s">
        <v>26</v>
      </c>
      <c r="F262" s="5" t="s">
        <v>26</v>
      </c>
      <c r="G262" s="5" t="s">
        <v>26</v>
      </c>
      <c r="H262" s="5"/>
      <c r="I262" s="5"/>
      <c r="J262" s="5"/>
      <c r="K262" s="69" t="s">
        <v>2381</v>
      </c>
      <c r="L262" s="5"/>
      <c r="M262" s="69" t="s">
        <v>2382</v>
      </c>
      <c r="N262" s="5" t="s">
        <v>2374</v>
      </c>
      <c r="O262" s="5"/>
      <c r="P262" s="5"/>
      <c r="Q262" s="5"/>
      <c r="R262" s="5"/>
      <c r="S262" s="5"/>
      <c r="T262" s="5"/>
      <c r="U262" s="5"/>
      <c r="V262" s="5"/>
      <c r="W262" s="5"/>
      <c r="X262" s="5"/>
      <c r="Y262" s="5"/>
      <c r="Z262" s="5"/>
    </row>
    <row r="263" ht="15.75" hidden="1" customHeight="1">
      <c r="A263" s="75">
        <v>45874.0</v>
      </c>
      <c r="B263" s="76">
        <f>16+8</f>
        <v>24</v>
      </c>
      <c r="C263" s="76">
        <f>13.06+6.45</f>
        <v>19.51</v>
      </c>
      <c r="D263" s="5"/>
      <c r="E263" s="5" t="s">
        <v>26</v>
      </c>
      <c r="F263" s="5" t="s">
        <v>26</v>
      </c>
      <c r="G263" s="5" t="s">
        <v>26</v>
      </c>
      <c r="H263" s="5"/>
      <c r="I263" s="5"/>
      <c r="J263" s="5"/>
      <c r="K263" s="69" t="s">
        <v>2383</v>
      </c>
      <c r="L263" s="5"/>
      <c r="M263" s="69" t="s">
        <v>2384</v>
      </c>
      <c r="N263" s="5"/>
      <c r="O263" s="5"/>
      <c r="P263" s="5"/>
      <c r="Q263" s="5"/>
      <c r="R263" s="5"/>
      <c r="S263" s="5"/>
      <c r="T263" s="5"/>
      <c r="U263" s="5"/>
      <c r="V263" s="5"/>
      <c r="W263" s="5"/>
      <c r="X263" s="5"/>
      <c r="Y263" s="5"/>
      <c r="Z263" s="5"/>
    </row>
    <row r="264" ht="15.75" hidden="1" customHeight="1">
      <c r="A264" s="75">
        <v>45875.0</v>
      </c>
      <c r="B264" s="76">
        <f>24+8</f>
        <v>32</v>
      </c>
      <c r="C264" s="76">
        <f>19.51+6.05</f>
        <v>25.56</v>
      </c>
      <c r="D264" s="5"/>
      <c r="E264" s="5" t="s">
        <v>26</v>
      </c>
      <c r="F264" s="5" t="s">
        <v>26</v>
      </c>
      <c r="G264" s="5" t="s">
        <v>26</v>
      </c>
      <c r="H264" s="5"/>
      <c r="I264" s="5"/>
      <c r="J264" s="5"/>
      <c r="K264" s="69" t="s">
        <v>2385</v>
      </c>
      <c r="L264" s="5"/>
      <c r="M264" s="69" t="s">
        <v>2386</v>
      </c>
      <c r="N264" s="5"/>
      <c r="O264" s="5"/>
      <c r="P264" s="5"/>
      <c r="Q264" s="5"/>
      <c r="R264" s="5"/>
      <c r="S264" s="5"/>
      <c r="T264" s="5"/>
      <c r="U264" s="5"/>
      <c r="V264" s="5"/>
      <c r="W264" s="5"/>
      <c r="X264" s="5"/>
      <c r="Y264" s="5"/>
      <c r="Z264" s="5"/>
    </row>
    <row r="265" ht="15.75" hidden="1" customHeight="1">
      <c r="A265" s="75">
        <v>45876.0</v>
      </c>
      <c r="B265" s="76">
        <f>32+8</f>
        <v>40</v>
      </c>
      <c r="C265" s="76">
        <f>25.56+7.23</f>
        <v>32.79</v>
      </c>
      <c r="D265" s="5"/>
      <c r="E265" s="5" t="s">
        <v>26</v>
      </c>
      <c r="F265" s="5" t="s">
        <v>26</v>
      </c>
      <c r="G265" s="5" t="s">
        <v>26</v>
      </c>
      <c r="H265" s="5"/>
      <c r="I265" s="5"/>
      <c r="J265" s="5"/>
      <c r="K265" s="69" t="s">
        <v>2387</v>
      </c>
      <c r="L265" s="5"/>
      <c r="M265" s="69" t="s">
        <v>2388</v>
      </c>
      <c r="N265" s="5"/>
      <c r="O265" s="5"/>
      <c r="P265" s="5"/>
      <c r="Q265" s="5"/>
      <c r="R265" s="5"/>
      <c r="S265" s="5"/>
      <c r="T265" s="5"/>
      <c r="U265" s="5"/>
      <c r="V265" s="5"/>
      <c r="W265" s="5"/>
      <c r="X265" s="5"/>
      <c r="Y265" s="5"/>
      <c r="Z265" s="5"/>
    </row>
    <row r="266" ht="15.75" hidden="1" customHeight="1">
      <c r="A266" s="75">
        <v>45877.0</v>
      </c>
      <c r="B266" s="76">
        <f>40+8</f>
        <v>48</v>
      </c>
      <c r="C266" s="76">
        <f>32.79+7.15</f>
        <v>39.94</v>
      </c>
      <c r="D266" s="5"/>
      <c r="E266" s="5" t="s">
        <v>26</v>
      </c>
      <c r="F266" s="5" t="s">
        <v>26</v>
      </c>
      <c r="G266" s="5" t="s">
        <v>26</v>
      </c>
      <c r="H266" s="5"/>
      <c r="I266" s="5"/>
      <c r="J266" s="5"/>
      <c r="K266" s="69" t="s">
        <v>2389</v>
      </c>
      <c r="L266" s="5"/>
      <c r="M266" s="69" t="s">
        <v>2390</v>
      </c>
      <c r="N266" s="5"/>
      <c r="O266" s="5"/>
      <c r="P266" s="5"/>
      <c r="Q266" s="5"/>
      <c r="R266" s="5"/>
      <c r="S266" s="5"/>
      <c r="T266" s="5"/>
      <c r="U266" s="5"/>
      <c r="V266" s="5"/>
      <c r="W266" s="5"/>
      <c r="X266" s="5"/>
      <c r="Y266" s="5"/>
      <c r="Z266" s="5"/>
    </row>
    <row r="267" ht="15.75" hidden="1" customHeight="1">
      <c r="A267" s="75">
        <v>45880.0</v>
      </c>
      <c r="B267" s="76">
        <f>48+8</f>
        <v>56</v>
      </c>
      <c r="C267" s="76">
        <f>39.94+7.15</f>
        <v>47.09</v>
      </c>
      <c r="D267" s="5"/>
      <c r="E267" s="5" t="s">
        <v>26</v>
      </c>
      <c r="F267" s="5" t="s">
        <v>26</v>
      </c>
      <c r="G267" s="5" t="s">
        <v>26</v>
      </c>
      <c r="H267" s="5"/>
      <c r="I267" s="5"/>
      <c r="J267" s="5"/>
      <c r="K267" s="69" t="s">
        <v>2389</v>
      </c>
      <c r="L267" s="5"/>
      <c r="M267" s="69" t="s">
        <v>2390</v>
      </c>
      <c r="N267" s="5" t="s">
        <v>2374</v>
      </c>
      <c r="O267" s="5"/>
      <c r="P267" s="5"/>
      <c r="Q267" s="5"/>
      <c r="R267" s="5"/>
      <c r="S267" s="5"/>
      <c r="T267" s="5"/>
      <c r="U267" s="5"/>
      <c r="V267" s="5"/>
      <c r="W267" s="5"/>
      <c r="X267" s="5"/>
      <c r="Y267" s="5"/>
      <c r="Z267" s="5"/>
    </row>
    <row r="268" ht="15.75" hidden="1" customHeight="1">
      <c r="A268" s="75">
        <v>45881.0</v>
      </c>
      <c r="B268" s="76">
        <f>56+8</f>
        <v>64</v>
      </c>
      <c r="C268" s="76">
        <f>47.09+7.2</f>
        <v>54.29</v>
      </c>
      <c r="D268" s="5"/>
      <c r="E268" s="5" t="s">
        <v>26</v>
      </c>
      <c r="F268" s="5" t="s">
        <v>26</v>
      </c>
      <c r="G268" s="5" t="s">
        <v>26</v>
      </c>
      <c r="H268" s="5"/>
      <c r="I268" s="5"/>
      <c r="J268" s="5"/>
      <c r="K268" s="69" t="s">
        <v>2389</v>
      </c>
      <c r="L268" s="5"/>
      <c r="M268" s="69" t="s">
        <v>2391</v>
      </c>
      <c r="N268" s="5"/>
      <c r="O268" s="5"/>
      <c r="P268" s="5"/>
      <c r="Q268" s="5"/>
      <c r="R268" s="5"/>
      <c r="S268" s="5"/>
      <c r="T268" s="5"/>
      <c r="U268" s="5"/>
      <c r="V268" s="5"/>
      <c r="W268" s="5"/>
      <c r="X268" s="5"/>
      <c r="Y268" s="5"/>
      <c r="Z268" s="5"/>
    </row>
    <row r="269" ht="15.75" hidden="1" customHeight="1">
      <c r="A269" s="75">
        <v>45882.0</v>
      </c>
      <c r="B269" s="76">
        <f>64+8</f>
        <v>72</v>
      </c>
      <c r="C269" s="76">
        <f>54.29+6.35</f>
        <v>60.64</v>
      </c>
      <c r="D269" s="5"/>
      <c r="E269" s="5" t="s">
        <v>26</v>
      </c>
      <c r="F269" s="5" t="s">
        <v>26</v>
      </c>
      <c r="G269" s="5" t="s">
        <v>26</v>
      </c>
      <c r="H269" s="5"/>
      <c r="I269" s="5"/>
      <c r="J269" s="5"/>
      <c r="K269" s="69" t="s">
        <v>2392</v>
      </c>
      <c r="L269" s="5"/>
      <c r="M269" s="69" t="s">
        <v>2393</v>
      </c>
      <c r="N269" s="69" t="s">
        <v>2394</v>
      </c>
      <c r="O269" s="5"/>
      <c r="P269" s="5"/>
      <c r="Q269" s="5"/>
      <c r="R269" s="5"/>
      <c r="S269" s="5"/>
      <c r="T269" s="5"/>
      <c r="U269" s="5"/>
      <c r="V269" s="5"/>
      <c r="W269" s="5"/>
      <c r="X269" s="5"/>
      <c r="Y269" s="5"/>
      <c r="Z269" s="5"/>
    </row>
    <row r="270" ht="15.75" hidden="1" customHeight="1">
      <c r="A270" s="75">
        <v>45883.0</v>
      </c>
      <c r="B270" s="76">
        <f>72+8</f>
        <v>80</v>
      </c>
      <c r="C270" s="76">
        <f>60.64+3.55</f>
        <v>64.19</v>
      </c>
      <c r="D270" s="5"/>
      <c r="E270" s="5" t="s">
        <v>26</v>
      </c>
      <c r="F270" s="5" t="s">
        <v>26</v>
      </c>
      <c r="G270" s="5" t="s">
        <v>26</v>
      </c>
      <c r="H270" s="5"/>
      <c r="I270" s="5"/>
      <c r="J270" s="5"/>
      <c r="K270" s="69" t="s">
        <v>2395</v>
      </c>
      <c r="L270" s="5"/>
      <c r="M270" s="69" t="s">
        <v>2396</v>
      </c>
      <c r="N270" s="5"/>
      <c r="O270" s="5"/>
      <c r="P270" s="5"/>
      <c r="Q270" s="5"/>
      <c r="R270" s="5"/>
      <c r="S270" s="5"/>
      <c r="T270" s="5"/>
      <c r="U270" s="5"/>
      <c r="V270" s="5"/>
      <c r="W270" s="5"/>
      <c r="X270" s="5"/>
      <c r="Y270" s="5"/>
      <c r="Z270" s="5"/>
    </row>
    <row r="271" ht="15.75" hidden="1" customHeight="1">
      <c r="A271" s="75">
        <v>45887.0</v>
      </c>
      <c r="B271" s="76">
        <f>80+8</f>
        <v>88</v>
      </c>
      <c r="C271" s="76">
        <f>64.19+6.2</f>
        <v>70.39</v>
      </c>
      <c r="D271" s="5"/>
      <c r="E271" s="5" t="s">
        <v>26</v>
      </c>
      <c r="F271" s="5" t="s">
        <v>26</v>
      </c>
      <c r="G271" s="5" t="s">
        <v>26</v>
      </c>
      <c r="H271" s="5"/>
      <c r="I271" s="5"/>
      <c r="J271" s="5"/>
      <c r="K271" s="69" t="s">
        <v>2397</v>
      </c>
      <c r="L271" s="5"/>
      <c r="M271" s="69" t="s">
        <v>2398</v>
      </c>
      <c r="N271" s="5"/>
      <c r="O271" s="5"/>
      <c r="P271" s="5"/>
      <c r="Q271" s="5"/>
      <c r="R271" s="5"/>
      <c r="S271" s="5"/>
      <c r="T271" s="5"/>
      <c r="U271" s="5"/>
      <c r="V271" s="5"/>
      <c r="W271" s="5"/>
      <c r="X271" s="5"/>
      <c r="Y271" s="5"/>
      <c r="Z271" s="5"/>
    </row>
    <row r="272" ht="15.75" hidden="1" customHeight="1">
      <c r="A272" s="75">
        <v>45888.0</v>
      </c>
      <c r="B272" s="76">
        <f>88+8</f>
        <v>96</v>
      </c>
      <c r="C272" s="76">
        <f>70.39+6.2</f>
        <v>76.59</v>
      </c>
      <c r="D272" s="5"/>
      <c r="E272" s="5" t="s">
        <v>26</v>
      </c>
      <c r="F272" s="5" t="s">
        <v>26</v>
      </c>
      <c r="G272" s="5" t="s">
        <v>26</v>
      </c>
      <c r="H272" s="5"/>
      <c r="I272" s="5"/>
      <c r="J272" s="5"/>
      <c r="K272" s="69" t="s">
        <v>2399</v>
      </c>
      <c r="L272" s="5"/>
      <c r="M272" s="69" t="s">
        <v>2400</v>
      </c>
      <c r="N272" s="5"/>
      <c r="O272" s="5"/>
      <c r="P272" s="5"/>
      <c r="Q272" s="5"/>
      <c r="R272" s="5"/>
      <c r="S272" s="5"/>
      <c r="T272" s="5"/>
      <c r="U272" s="5"/>
      <c r="V272" s="5"/>
      <c r="W272" s="5"/>
      <c r="X272" s="5"/>
      <c r="Y272" s="5"/>
      <c r="Z272" s="5"/>
    </row>
    <row r="273" ht="15.75" hidden="1" customHeight="1">
      <c r="A273" s="75">
        <v>45889.0</v>
      </c>
      <c r="B273" s="76">
        <f>96+8</f>
        <v>104</v>
      </c>
      <c r="C273" s="76">
        <v>84.18</v>
      </c>
      <c r="D273" s="5"/>
      <c r="E273" s="5" t="s">
        <v>26</v>
      </c>
      <c r="F273" s="5" t="s">
        <v>26</v>
      </c>
      <c r="G273" s="5" t="s">
        <v>26</v>
      </c>
      <c r="H273" s="5"/>
      <c r="I273" s="5"/>
      <c r="J273" s="5"/>
      <c r="K273" s="69" t="s">
        <v>2401</v>
      </c>
      <c r="L273" s="5" t="s">
        <v>40</v>
      </c>
      <c r="M273" s="69" t="s">
        <v>2402</v>
      </c>
      <c r="N273" s="5"/>
      <c r="O273" s="5"/>
      <c r="P273" s="5"/>
      <c r="Q273" s="5"/>
      <c r="R273" s="5"/>
      <c r="S273" s="5"/>
      <c r="T273" s="5"/>
      <c r="U273" s="5"/>
      <c r="V273" s="5"/>
      <c r="W273" s="5"/>
      <c r="X273" s="5"/>
      <c r="Y273" s="5"/>
      <c r="Z273" s="5"/>
    </row>
    <row r="274" ht="15.75" hidden="1" customHeight="1">
      <c r="A274" s="75">
        <v>45890.0</v>
      </c>
      <c r="B274" s="76">
        <f>96+8+8</f>
        <v>112</v>
      </c>
      <c r="C274" s="76">
        <v>84.18</v>
      </c>
      <c r="D274" s="5" t="s">
        <v>25</v>
      </c>
      <c r="E274" s="5" t="s">
        <v>25</v>
      </c>
      <c r="F274" s="5" t="s">
        <v>26</v>
      </c>
      <c r="G274" s="5" t="s">
        <v>26</v>
      </c>
      <c r="H274" s="5"/>
      <c r="I274" s="5"/>
      <c r="J274" s="5"/>
      <c r="K274" s="69" t="s">
        <v>2403</v>
      </c>
      <c r="L274" s="5"/>
      <c r="M274" s="69" t="s">
        <v>834</v>
      </c>
      <c r="N274" s="5"/>
      <c r="O274" s="5"/>
      <c r="P274" s="5"/>
      <c r="Q274" s="5"/>
      <c r="R274" s="5"/>
      <c r="S274" s="5"/>
      <c r="T274" s="5"/>
      <c r="U274" s="5"/>
      <c r="V274" s="5"/>
      <c r="W274" s="5"/>
      <c r="X274" s="5"/>
      <c r="Y274" s="5"/>
      <c r="Z274" s="5"/>
    </row>
    <row r="275" ht="15.75" hidden="1" customHeight="1">
      <c r="A275" s="75">
        <v>45891.0</v>
      </c>
      <c r="B275" s="76">
        <f>112+8</f>
        <v>120</v>
      </c>
      <c r="C275" s="76">
        <f>84.18+6.45</f>
        <v>90.63</v>
      </c>
      <c r="D275" s="5"/>
      <c r="E275" s="5" t="s">
        <v>26</v>
      </c>
      <c r="F275" s="5" t="s">
        <v>26</v>
      </c>
      <c r="G275" s="5" t="s">
        <v>26</v>
      </c>
      <c r="H275" s="5"/>
      <c r="I275" s="5"/>
      <c r="J275" s="5"/>
      <c r="K275" s="69" t="s">
        <v>2404</v>
      </c>
      <c r="L275" s="5"/>
      <c r="M275" s="69" t="s">
        <v>2405</v>
      </c>
      <c r="N275" s="5"/>
      <c r="O275" s="5"/>
      <c r="P275" s="5"/>
      <c r="Q275" s="5"/>
      <c r="R275" s="5"/>
      <c r="S275" s="5"/>
      <c r="T275" s="5"/>
      <c r="U275" s="5"/>
      <c r="V275" s="5"/>
      <c r="W275" s="5"/>
      <c r="X275" s="5"/>
      <c r="Y275" s="5"/>
      <c r="Z275" s="5"/>
    </row>
    <row r="276" ht="15.75" hidden="1" customHeight="1">
      <c r="A276" s="75">
        <v>45894.0</v>
      </c>
      <c r="B276" s="76">
        <f>120+8</f>
        <v>128</v>
      </c>
      <c r="C276" s="76">
        <f>90.63+6.4</f>
        <v>97.03</v>
      </c>
      <c r="D276" s="5"/>
      <c r="E276" s="5" t="s">
        <v>26</v>
      </c>
      <c r="F276" s="5" t="s">
        <v>26</v>
      </c>
      <c r="G276" s="5" t="s">
        <v>26</v>
      </c>
      <c r="H276" s="5"/>
      <c r="I276" s="5"/>
      <c r="J276" s="5"/>
      <c r="K276" s="69" t="s">
        <v>2406</v>
      </c>
      <c r="L276" s="5"/>
      <c r="M276" s="69" t="s">
        <v>2407</v>
      </c>
      <c r="N276" s="5"/>
      <c r="O276" s="5"/>
      <c r="P276" s="5"/>
      <c r="Q276" s="5"/>
      <c r="R276" s="5"/>
      <c r="S276" s="5"/>
      <c r="T276" s="5"/>
      <c r="U276" s="5"/>
      <c r="V276" s="5"/>
      <c r="W276" s="5"/>
      <c r="X276" s="5"/>
      <c r="Y276" s="5"/>
      <c r="Z276" s="5"/>
    </row>
    <row r="277" ht="15.75" hidden="1" customHeight="1">
      <c r="A277" s="75">
        <v>45895.0</v>
      </c>
      <c r="B277" s="76">
        <f>B276+8</f>
        <v>136</v>
      </c>
      <c r="C277" s="76">
        <f>97.03+5</f>
        <v>102.03</v>
      </c>
      <c r="D277" s="5"/>
      <c r="E277" s="5" t="s">
        <v>26</v>
      </c>
      <c r="F277" s="5" t="s">
        <v>26</v>
      </c>
      <c r="G277" s="5" t="s">
        <v>26</v>
      </c>
      <c r="H277" s="5"/>
      <c r="I277" s="5" t="s">
        <v>27</v>
      </c>
      <c r="J277" s="5" t="s">
        <v>26</v>
      </c>
      <c r="K277" s="69" t="s">
        <v>2408</v>
      </c>
      <c r="L277" s="5"/>
      <c r="M277" s="69" t="s">
        <v>2409</v>
      </c>
      <c r="N277" s="5"/>
      <c r="O277" s="5"/>
      <c r="P277" s="5"/>
      <c r="Q277" s="5"/>
      <c r="R277" s="5"/>
      <c r="S277" s="5"/>
      <c r="T277" s="5"/>
      <c r="U277" s="5"/>
      <c r="V277" s="5"/>
      <c r="W277" s="5"/>
      <c r="X277" s="5"/>
      <c r="Y277" s="5"/>
      <c r="Z277" s="5"/>
    </row>
    <row r="278" ht="15.75" hidden="1" customHeight="1">
      <c r="A278" s="75">
        <v>45897.0</v>
      </c>
      <c r="B278" s="76">
        <f>136+8</f>
        <v>144</v>
      </c>
      <c r="C278" s="76">
        <f>102.03+6</f>
        <v>108.03</v>
      </c>
      <c r="D278" s="5"/>
      <c r="E278" s="5" t="s">
        <v>26</v>
      </c>
      <c r="F278" s="5" t="s">
        <v>26</v>
      </c>
      <c r="G278" s="5" t="s">
        <v>26</v>
      </c>
      <c r="H278" s="5"/>
      <c r="I278" s="5"/>
      <c r="J278" s="5"/>
      <c r="K278" s="69" t="s">
        <v>2410</v>
      </c>
      <c r="L278" s="5"/>
      <c r="M278" s="69" t="s">
        <v>2411</v>
      </c>
      <c r="N278" s="5"/>
      <c r="O278" s="5"/>
      <c r="P278" s="5"/>
      <c r="Q278" s="5"/>
      <c r="R278" s="5"/>
      <c r="S278" s="5"/>
      <c r="T278" s="5"/>
      <c r="U278" s="5"/>
      <c r="V278" s="5"/>
      <c r="W278" s="5"/>
      <c r="X278" s="5"/>
      <c r="Y278" s="5"/>
      <c r="Z278" s="5"/>
    </row>
    <row r="279" ht="15.75" hidden="1" customHeight="1">
      <c r="A279" s="75">
        <v>45898.0</v>
      </c>
      <c r="B279" s="76">
        <f>144+8</f>
        <v>152</v>
      </c>
      <c r="C279" s="76">
        <f>108.03+5.35</f>
        <v>113.38</v>
      </c>
      <c r="D279" s="5"/>
      <c r="E279" s="5" t="s">
        <v>26</v>
      </c>
      <c r="F279" s="5" t="s">
        <v>26</v>
      </c>
      <c r="G279" s="5" t="s">
        <v>26</v>
      </c>
      <c r="H279" s="5"/>
      <c r="I279" s="5"/>
      <c r="J279" s="5"/>
      <c r="K279" s="69" t="s">
        <v>2412</v>
      </c>
      <c r="L279" s="5"/>
      <c r="M279" s="69" t="s">
        <v>2413</v>
      </c>
      <c r="N279" s="5"/>
      <c r="O279" s="5"/>
      <c r="P279" s="5"/>
      <c r="Q279" s="5"/>
      <c r="R279" s="5"/>
      <c r="S279" s="5"/>
      <c r="T279" s="5"/>
      <c r="U279" s="5"/>
      <c r="V279" s="5"/>
      <c r="W279" s="5"/>
      <c r="X279" s="5"/>
      <c r="Y279" s="5"/>
      <c r="Z279" s="5"/>
    </row>
    <row r="280" ht="15.75" hidden="1" customHeight="1">
      <c r="A280" s="75">
        <v>45901.0</v>
      </c>
      <c r="B280" s="76">
        <v>8.0</v>
      </c>
      <c r="C280" s="76">
        <v>6.52</v>
      </c>
      <c r="D280" s="5"/>
      <c r="E280" s="5" t="s">
        <v>26</v>
      </c>
      <c r="F280" s="5" t="s">
        <v>26</v>
      </c>
      <c r="G280" s="5" t="s">
        <v>26</v>
      </c>
      <c r="H280" s="5"/>
      <c r="I280" s="5"/>
      <c r="J280" s="5"/>
      <c r="K280" s="69" t="s">
        <v>2414</v>
      </c>
      <c r="L280" s="5"/>
      <c r="M280" s="69" t="s">
        <v>2415</v>
      </c>
      <c r="N280" s="5"/>
      <c r="O280" s="5"/>
      <c r="P280" s="5"/>
      <c r="Q280" s="5"/>
      <c r="R280" s="5"/>
      <c r="S280" s="5"/>
      <c r="T280" s="5"/>
      <c r="U280" s="5"/>
      <c r="V280" s="5"/>
      <c r="W280" s="5"/>
      <c r="X280" s="5"/>
      <c r="Y280" s="5"/>
      <c r="Z280" s="5"/>
    </row>
    <row r="281" ht="15.75" hidden="1" customHeight="1">
      <c r="A281" s="75">
        <v>45902.0</v>
      </c>
      <c r="B281" s="76">
        <f>8+8</f>
        <v>16</v>
      </c>
      <c r="C281" s="76">
        <f>6.52+5.25</f>
        <v>11.77</v>
      </c>
      <c r="D281" s="5"/>
      <c r="E281" s="5" t="s">
        <v>26</v>
      </c>
      <c r="F281" s="5" t="s">
        <v>26</v>
      </c>
      <c r="G281" s="5" t="s">
        <v>26</v>
      </c>
      <c r="H281" s="5"/>
      <c r="I281" s="5"/>
      <c r="J281" s="5"/>
      <c r="K281" s="69" t="s">
        <v>2416</v>
      </c>
      <c r="L281" s="5"/>
      <c r="M281" s="69" t="s">
        <v>2417</v>
      </c>
      <c r="N281" s="5"/>
      <c r="O281" s="5"/>
      <c r="P281" s="5"/>
      <c r="Q281" s="5"/>
      <c r="R281" s="5"/>
      <c r="S281" s="5"/>
      <c r="T281" s="5"/>
      <c r="U281" s="5"/>
      <c r="V281" s="5"/>
      <c r="W281" s="5"/>
      <c r="X281" s="5"/>
      <c r="Y281" s="5"/>
      <c r="Z281" s="5"/>
    </row>
    <row r="282" ht="15.75" hidden="1" customHeight="1">
      <c r="A282" s="75">
        <v>45903.0</v>
      </c>
      <c r="B282" s="76">
        <f>16+8</f>
        <v>24</v>
      </c>
      <c r="C282" s="76">
        <f>11.77+7</f>
        <v>18.77</v>
      </c>
      <c r="D282" s="5"/>
      <c r="E282" s="5" t="s">
        <v>26</v>
      </c>
      <c r="F282" s="5" t="s">
        <v>26</v>
      </c>
      <c r="G282" s="5" t="s">
        <v>26</v>
      </c>
      <c r="H282" s="5"/>
      <c r="I282" s="5"/>
      <c r="J282" s="5"/>
      <c r="K282" s="69" t="s">
        <v>2418</v>
      </c>
      <c r="L282" s="5"/>
      <c r="M282" s="69" t="s">
        <v>2419</v>
      </c>
      <c r="N282" s="5"/>
      <c r="O282" s="5"/>
      <c r="P282" s="5"/>
      <c r="Q282" s="5"/>
      <c r="R282" s="5"/>
      <c r="S282" s="5"/>
      <c r="T282" s="5"/>
      <c r="U282" s="5"/>
      <c r="V282" s="5"/>
      <c r="W282" s="5"/>
      <c r="X282" s="5"/>
      <c r="Y282" s="5"/>
      <c r="Z282" s="5"/>
    </row>
    <row r="283" ht="15.75" hidden="1" customHeight="1">
      <c r="A283" s="75">
        <v>45904.0</v>
      </c>
      <c r="B283" s="76">
        <f>24+8</f>
        <v>32</v>
      </c>
      <c r="C283" s="76">
        <f>18.77+6.2</f>
        <v>24.97</v>
      </c>
      <c r="D283" s="5"/>
      <c r="E283" s="5" t="s">
        <v>26</v>
      </c>
      <c r="F283" s="5" t="s">
        <v>26</v>
      </c>
      <c r="G283" s="5" t="s">
        <v>26</v>
      </c>
      <c r="H283" s="5"/>
      <c r="I283" s="5"/>
      <c r="J283" s="5"/>
      <c r="K283" s="69" t="s">
        <v>2420</v>
      </c>
      <c r="L283" s="5"/>
      <c r="M283" s="69" t="s">
        <v>2421</v>
      </c>
      <c r="N283" s="5" t="s">
        <v>2422</v>
      </c>
      <c r="O283" s="5"/>
      <c r="P283" s="5"/>
      <c r="Q283" s="5"/>
      <c r="R283" s="5"/>
      <c r="S283" s="5"/>
      <c r="T283" s="5"/>
      <c r="U283" s="5"/>
      <c r="V283" s="5"/>
      <c r="W283" s="5"/>
      <c r="X283" s="5"/>
      <c r="Y283" s="5"/>
      <c r="Z283" s="5"/>
    </row>
    <row r="284" ht="15.75" hidden="1" customHeight="1">
      <c r="A284" s="75">
        <v>45905.0</v>
      </c>
      <c r="B284" s="76">
        <f>32+8</f>
        <v>40</v>
      </c>
      <c r="C284" s="76">
        <f>24.97+7</f>
        <v>31.97</v>
      </c>
      <c r="D284" s="5"/>
      <c r="E284" s="5" t="s">
        <v>26</v>
      </c>
      <c r="F284" s="5" t="s">
        <v>26</v>
      </c>
      <c r="G284" s="5" t="s">
        <v>26</v>
      </c>
      <c r="H284" s="5"/>
      <c r="I284" s="5"/>
      <c r="J284" s="5"/>
      <c r="K284" s="69" t="s">
        <v>2423</v>
      </c>
      <c r="L284" s="5"/>
      <c r="M284" s="69" t="s">
        <v>2424</v>
      </c>
      <c r="N284" s="5" t="s">
        <v>2425</v>
      </c>
      <c r="O284" s="5"/>
      <c r="P284" s="5"/>
      <c r="Q284" s="5"/>
      <c r="R284" s="5"/>
      <c r="S284" s="5"/>
      <c r="T284" s="5"/>
      <c r="U284" s="5"/>
      <c r="V284" s="5"/>
      <c r="W284" s="5"/>
      <c r="X284" s="5"/>
      <c r="Y284" s="5"/>
      <c r="Z284" s="5"/>
    </row>
    <row r="285" ht="15.75" hidden="1" customHeight="1">
      <c r="A285" s="75">
        <v>45908.0</v>
      </c>
      <c r="B285" s="76">
        <f t="shared" ref="B285:B287" si="15">40+8</f>
        <v>48</v>
      </c>
      <c r="C285" s="76">
        <f>31.97+6</f>
        <v>37.97</v>
      </c>
      <c r="D285" s="5"/>
      <c r="E285" s="5" t="s">
        <v>26</v>
      </c>
      <c r="F285" s="5" t="s">
        <v>26</v>
      </c>
      <c r="G285" s="5" t="s">
        <v>26</v>
      </c>
      <c r="H285" s="5"/>
      <c r="I285" s="5"/>
      <c r="J285" s="5"/>
      <c r="K285" s="69" t="s">
        <v>2426</v>
      </c>
      <c r="L285" s="5"/>
      <c r="M285" s="69" t="s">
        <v>2427</v>
      </c>
      <c r="N285" s="5" t="s">
        <v>2425</v>
      </c>
      <c r="O285" s="5"/>
      <c r="P285" s="5"/>
      <c r="Q285" s="5"/>
      <c r="R285" s="5"/>
      <c r="S285" s="5"/>
      <c r="T285" s="5"/>
      <c r="U285" s="5"/>
      <c r="V285" s="5"/>
      <c r="W285" s="5"/>
      <c r="X285" s="5"/>
      <c r="Y285" s="5"/>
      <c r="Z285" s="5"/>
    </row>
    <row r="286" ht="15.75" hidden="1" customHeight="1">
      <c r="A286" s="75">
        <v>45909.0</v>
      </c>
      <c r="B286" s="76">
        <f t="shared" si="15"/>
        <v>48</v>
      </c>
      <c r="C286" s="76">
        <f t="shared" ref="C286:C287" si="16">37.97+2.45</f>
        <v>40.42</v>
      </c>
      <c r="D286" s="5"/>
      <c r="E286" s="5" t="s">
        <v>26</v>
      </c>
      <c r="F286" s="5" t="s">
        <v>26</v>
      </c>
      <c r="G286" s="5" t="s">
        <v>26</v>
      </c>
      <c r="H286" s="5"/>
      <c r="I286" s="5"/>
      <c r="J286" s="5"/>
      <c r="K286" s="69" t="s">
        <v>2428</v>
      </c>
      <c r="L286" s="5"/>
      <c r="M286" s="69" t="s">
        <v>2429</v>
      </c>
      <c r="N286" s="5"/>
      <c r="O286" s="5"/>
      <c r="P286" s="5"/>
      <c r="Q286" s="5"/>
      <c r="R286" s="5"/>
      <c r="S286" s="5"/>
      <c r="T286" s="5"/>
      <c r="U286" s="5"/>
      <c r="V286" s="5"/>
      <c r="W286" s="5"/>
      <c r="X286" s="5"/>
      <c r="Y286" s="5"/>
      <c r="Z286" s="5"/>
    </row>
    <row r="287" ht="15.75" hidden="1" customHeight="1">
      <c r="A287" s="75">
        <v>45910.0</v>
      </c>
      <c r="B287" s="76">
        <f t="shared" si="15"/>
        <v>48</v>
      </c>
      <c r="C287" s="76">
        <f t="shared" si="16"/>
        <v>40.42</v>
      </c>
      <c r="D287" s="5"/>
      <c r="E287" s="5" t="s">
        <v>26</v>
      </c>
      <c r="F287" s="5" t="s">
        <v>26</v>
      </c>
      <c r="G287" s="5" t="s">
        <v>26</v>
      </c>
      <c r="H287" s="5"/>
      <c r="I287" s="5"/>
      <c r="J287" s="5"/>
      <c r="K287" s="69" t="s">
        <v>2430</v>
      </c>
      <c r="L287" s="5"/>
      <c r="M287" s="69" t="s">
        <v>834</v>
      </c>
      <c r="N287" s="5"/>
      <c r="O287" s="5"/>
      <c r="P287" s="5"/>
      <c r="Q287" s="5"/>
      <c r="R287" s="5"/>
      <c r="S287" s="5"/>
      <c r="T287" s="5"/>
      <c r="U287" s="5"/>
      <c r="V287" s="5"/>
      <c r="W287" s="5"/>
      <c r="X287" s="5"/>
      <c r="Y287" s="5"/>
      <c r="Z287" s="5"/>
    </row>
    <row r="288" ht="15.75" hidden="1" customHeight="1">
      <c r="A288" s="75">
        <v>45911.0</v>
      </c>
      <c r="B288" s="76">
        <f>48+8</f>
        <v>56</v>
      </c>
      <c r="C288" s="76">
        <f>40.42+6.55</f>
        <v>46.97</v>
      </c>
      <c r="D288" s="5"/>
      <c r="E288" s="5" t="s">
        <v>26</v>
      </c>
      <c r="F288" s="5" t="s">
        <v>26</v>
      </c>
      <c r="G288" s="5" t="s">
        <v>26</v>
      </c>
      <c r="H288" s="5"/>
      <c r="I288" s="5"/>
      <c r="J288" s="5"/>
      <c r="K288" s="69" t="s">
        <v>2431</v>
      </c>
      <c r="L288" s="5"/>
      <c r="M288" s="69" t="s">
        <v>2432</v>
      </c>
      <c r="N288" s="5"/>
      <c r="O288" s="5"/>
      <c r="P288" s="5"/>
      <c r="Q288" s="5"/>
      <c r="R288" s="5"/>
      <c r="S288" s="5"/>
      <c r="T288" s="5"/>
      <c r="U288" s="5"/>
      <c r="V288" s="5"/>
      <c r="W288" s="5"/>
      <c r="X288" s="5"/>
      <c r="Y288" s="5"/>
      <c r="Z288" s="5"/>
    </row>
    <row r="289" ht="15.75" hidden="1" customHeight="1">
      <c r="A289" s="75">
        <v>45912.0</v>
      </c>
      <c r="B289" s="76">
        <f>56+8</f>
        <v>64</v>
      </c>
      <c r="C289" s="76">
        <f>46.97+7.2</f>
        <v>54.17</v>
      </c>
      <c r="D289" s="5"/>
      <c r="E289" s="5" t="s">
        <v>26</v>
      </c>
      <c r="F289" s="5" t="s">
        <v>26</v>
      </c>
      <c r="G289" s="5" t="s">
        <v>26</v>
      </c>
      <c r="H289" s="5"/>
      <c r="I289" s="5"/>
      <c r="J289" s="5"/>
      <c r="K289" s="69" t="s">
        <v>2433</v>
      </c>
      <c r="L289" s="5"/>
      <c r="M289" s="69" t="s">
        <v>2434</v>
      </c>
      <c r="N289" s="5"/>
      <c r="O289" s="5"/>
      <c r="P289" s="5"/>
      <c r="Q289" s="5"/>
      <c r="R289" s="5"/>
      <c r="S289" s="5"/>
      <c r="T289" s="5"/>
      <c r="U289" s="5"/>
      <c r="V289" s="5"/>
      <c r="W289" s="5"/>
      <c r="X289" s="5"/>
      <c r="Y289" s="5"/>
      <c r="Z289" s="5"/>
    </row>
    <row r="290" ht="15.75" hidden="1" customHeight="1">
      <c r="A290" s="75">
        <v>45915.0</v>
      </c>
      <c r="B290" s="76">
        <f>64+8</f>
        <v>72</v>
      </c>
      <c r="C290" s="76">
        <f>54.17+7.5</f>
        <v>61.67</v>
      </c>
      <c r="D290" s="5"/>
      <c r="E290" s="5" t="s">
        <v>26</v>
      </c>
      <c r="F290" s="5" t="s">
        <v>26</v>
      </c>
      <c r="G290" s="5" t="s">
        <v>26</v>
      </c>
      <c r="H290" s="5"/>
      <c r="I290" s="5"/>
      <c r="J290" s="5"/>
      <c r="K290" s="69" t="s">
        <v>2435</v>
      </c>
      <c r="L290" s="5"/>
      <c r="M290" s="69" t="s">
        <v>2436</v>
      </c>
      <c r="N290" s="5"/>
      <c r="O290" s="5"/>
      <c r="P290" s="5"/>
      <c r="Q290" s="5"/>
      <c r="R290" s="5"/>
      <c r="S290" s="5"/>
      <c r="T290" s="5"/>
      <c r="U290" s="5"/>
      <c r="V290" s="5"/>
      <c r="W290" s="5"/>
      <c r="X290" s="5"/>
      <c r="Y290" s="5"/>
      <c r="Z290" s="5"/>
    </row>
    <row r="291" ht="15.75" hidden="1" customHeight="1">
      <c r="A291" s="75">
        <v>45916.0</v>
      </c>
      <c r="B291" s="76">
        <f>72+8</f>
        <v>80</v>
      </c>
      <c r="C291" s="76">
        <f>61.67+6.1</f>
        <v>67.77</v>
      </c>
      <c r="D291" s="5"/>
      <c r="E291" s="5" t="s">
        <v>26</v>
      </c>
      <c r="F291" s="5" t="s">
        <v>26</v>
      </c>
      <c r="G291" s="5" t="s">
        <v>26</v>
      </c>
      <c r="H291" s="5"/>
      <c r="I291" s="5"/>
      <c r="J291" s="5"/>
      <c r="K291" s="69" t="s">
        <v>2437</v>
      </c>
      <c r="L291" s="5"/>
      <c r="M291" s="69" t="s">
        <v>2438</v>
      </c>
      <c r="N291" s="5"/>
      <c r="O291" s="5"/>
      <c r="P291" s="5"/>
      <c r="Q291" s="5"/>
      <c r="R291" s="5"/>
      <c r="S291" s="5"/>
      <c r="T291" s="5"/>
      <c r="U291" s="5"/>
      <c r="V291" s="5"/>
      <c r="W291" s="5"/>
      <c r="X291" s="5"/>
      <c r="Y291" s="5"/>
      <c r="Z291" s="5"/>
    </row>
    <row r="292" ht="15.75" hidden="1" customHeight="1">
      <c r="A292" s="75">
        <v>45917.0</v>
      </c>
      <c r="B292" s="76">
        <f>80+8</f>
        <v>88</v>
      </c>
      <c r="C292" s="76">
        <f>67.77+6.48</f>
        <v>74.25</v>
      </c>
      <c r="D292" s="5"/>
      <c r="E292" s="5" t="s">
        <v>26</v>
      </c>
      <c r="F292" s="5" t="s">
        <v>26</v>
      </c>
      <c r="G292" s="5" t="s">
        <v>26</v>
      </c>
      <c r="H292" s="5"/>
      <c r="I292" s="5"/>
      <c r="J292" s="5"/>
      <c r="K292" s="69" t="s">
        <v>2439</v>
      </c>
      <c r="L292" s="5"/>
      <c r="M292" s="69" t="s">
        <v>2440</v>
      </c>
      <c r="N292" s="5"/>
      <c r="O292" s="5"/>
      <c r="P292" s="5"/>
      <c r="Q292" s="5"/>
      <c r="R292" s="5"/>
      <c r="S292" s="5"/>
      <c r="T292" s="5"/>
      <c r="U292" s="5"/>
      <c r="V292" s="5"/>
      <c r="W292" s="5"/>
      <c r="X292" s="5"/>
      <c r="Y292" s="5"/>
      <c r="Z292" s="5"/>
    </row>
    <row r="293" ht="15.75" hidden="1" customHeight="1">
      <c r="A293" s="75">
        <v>45919.0</v>
      </c>
      <c r="B293" s="76">
        <f>88+8</f>
        <v>96</v>
      </c>
      <c r="C293" s="76">
        <f>74.25+4.38</f>
        <v>78.63</v>
      </c>
      <c r="D293" s="5"/>
      <c r="E293" s="5" t="s">
        <v>26</v>
      </c>
      <c r="F293" s="5" t="s">
        <v>26</v>
      </c>
      <c r="G293" s="5" t="s">
        <v>26</v>
      </c>
      <c r="H293" s="5"/>
      <c r="I293" s="5"/>
      <c r="J293" s="5"/>
      <c r="K293" s="69" t="s">
        <v>2441</v>
      </c>
      <c r="L293" s="5"/>
      <c r="M293" s="69" t="s">
        <v>2442</v>
      </c>
      <c r="N293" s="5"/>
      <c r="O293" s="5"/>
      <c r="P293" s="5"/>
      <c r="Q293" s="5"/>
      <c r="R293" s="5"/>
      <c r="S293" s="5"/>
      <c r="T293" s="5"/>
      <c r="U293" s="5"/>
      <c r="V293" s="5"/>
      <c r="W293" s="5"/>
      <c r="X293" s="5"/>
      <c r="Y293" s="5"/>
      <c r="Z293" s="5"/>
    </row>
    <row r="294" ht="15.75" hidden="1" customHeight="1">
      <c r="A294" s="75">
        <v>45922.0</v>
      </c>
      <c r="B294" s="76">
        <f>96+8</f>
        <v>104</v>
      </c>
      <c r="C294" s="76">
        <f t="shared" ref="C294:C295" si="17">78.63+4.23</f>
        <v>82.86</v>
      </c>
      <c r="D294" s="5"/>
      <c r="E294" s="5" t="s">
        <v>26</v>
      </c>
      <c r="F294" s="5" t="s">
        <v>26</v>
      </c>
      <c r="G294" s="5" t="s">
        <v>26</v>
      </c>
      <c r="H294" s="5"/>
      <c r="I294" s="5"/>
      <c r="J294" s="5"/>
      <c r="K294" s="69" t="s">
        <v>2443</v>
      </c>
      <c r="L294" s="5"/>
      <c r="M294" s="69" t="s">
        <v>2444</v>
      </c>
      <c r="N294" s="5"/>
      <c r="O294" s="5"/>
      <c r="P294" s="5"/>
      <c r="Q294" s="5"/>
      <c r="R294" s="5"/>
      <c r="S294" s="5"/>
      <c r="T294" s="5"/>
      <c r="U294" s="5"/>
      <c r="V294" s="5"/>
      <c r="W294" s="5"/>
      <c r="X294" s="5"/>
      <c r="Y294" s="5"/>
      <c r="Z294" s="5"/>
    </row>
    <row r="295" ht="15.75" hidden="1" customHeight="1">
      <c r="A295" s="75">
        <v>45923.0</v>
      </c>
      <c r="B295" s="76">
        <f>104+8</f>
        <v>112</v>
      </c>
      <c r="C295" s="76">
        <f t="shared" si="17"/>
        <v>82.86</v>
      </c>
      <c r="D295" s="5"/>
      <c r="E295" s="5"/>
      <c r="F295" s="5"/>
      <c r="G295" s="5"/>
      <c r="H295" s="5"/>
      <c r="I295" s="5"/>
      <c r="J295" s="5"/>
      <c r="K295" s="69" t="s">
        <v>2445</v>
      </c>
      <c r="L295" s="5"/>
      <c r="M295" s="5"/>
      <c r="N295" s="5" t="s">
        <v>834</v>
      </c>
      <c r="O295" s="5"/>
      <c r="P295" s="5"/>
      <c r="Q295" s="5"/>
      <c r="R295" s="5"/>
      <c r="S295" s="5"/>
      <c r="T295" s="5"/>
      <c r="U295" s="5"/>
      <c r="V295" s="5"/>
      <c r="W295" s="5"/>
      <c r="X295" s="5"/>
      <c r="Y295" s="5"/>
      <c r="Z295" s="5"/>
    </row>
    <row r="296" ht="15.75" hidden="1" customHeight="1">
      <c r="A296" s="75">
        <v>45924.0</v>
      </c>
      <c r="B296" s="76">
        <f>112+8</f>
        <v>120</v>
      </c>
      <c r="C296" s="76">
        <f>82.86+3.05</f>
        <v>85.91</v>
      </c>
      <c r="D296" s="5"/>
      <c r="E296" s="5" t="s">
        <v>26</v>
      </c>
      <c r="F296" s="5" t="s">
        <v>26</v>
      </c>
      <c r="G296" s="5" t="s">
        <v>26</v>
      </c>
      <c r="H296" s="5"/>
      <c r="I296" s="5"/>
      <c r="J296" s="5"/>
      <c r="K296" s="69" t="s">
        <v>2446</v>
      </c>
      <c r="L296" s="5"/>
      <c r="M296" s="69" t="s">
        <v>2447</v>
      </c>
      <c r="N296" s="5"/>
      <c r="O296" s="5"/>
      <c r="P296" s="5"/>
      <c r="Q296" s="5"/>
      <c r="R296" s="5"/>
      <c r="S296" s="5"/>
      <c r="T296" s="5"/>
      <c r="U296" s="5"/>
      <c r="V296" s="5"/>
      <c r="W296" s="5"/>
      <c r="X296" s="5"/>
      <c r="Y296" s="5"/>
      <c r="Z296" s="5"/>
    </row>
    <row r="297" ht="15.75" hidden="1" customHeight="1">
      <c r="A297" s="75">
        <v>45925.0</v>
      </c>
      <c r="B297" s="76">
        <f>120+8</f>
        <v>128</v>
      </c>
      <c r="C297" s="76">
        <v>88.85</v>
      </c>
      <c r="D297" s="5"/>
      <c r="E297" s="5" t="s">
        <v>26</v>
      </c>
      <c r="F297" s="5" t="s">
        <v>26</v>
      </c>
      <c r="G297" s="5" t="s">
        <v>26</v>
      </c>
      <c r="H297" s="5"/>
      <c r="I297" s="5"/>
      <c r="J297" s="5"/>
      <c r="K297" s="69" t="s">
        <v>2448</v>
      </c>
      <c r="L297" s="5"/>
      <c r="M297" s="69" t="s">
        <v>2449</v>
      </c>
      <c r="N297" s="5" t="s">
        <v>2450</v>
      </c>
      <c r="O297" s="5"/>
      <c r="P297" s="5"/>
      <c r="Q297" s="5"/>
      <c r="R297" s="5"/>
      <c r="S297" s="5"/>
      <c r="T297" s="5"/>
      <c r="U297" s="5"/>
      <c r="V297" s="5"/>
      <c r="W297" s="5"/>
      <c r="X297" s="5"/>
      <c r="Y297" s="5"/>
      <c r="Z297" s="5"/>
    </row>
    <row r="298" ht="15.75" hidden="1" customHeight="1">
      <c r="A298" s="75">
        <v>45926.0</v>
      </c>
      <c r="B298" s="76">
        <f>128+8</f>
        <v>136</v>
      </c>
      <c r="C298" s="76">
        <f>88.86+1.15</f>
        <v>90.01</v>
      </c>
      <c r="D298" s="5"/>
      <c r="E298" s="5" t="s">
        <v>26</v>
      </c>
      <c r="F298" s="5" t="s">
        <v>26</v>
      </c>
      <c r="G298" s="5" t="s">
        <v>26</v>
      </c>
      <c r="H298" s="5"/>
      <c r="I298" s="5"/>
      <c r="J298" s="5"/>
      <c r="K298" s="69" t="s">
        <v>2451</v>
      </c>
      <c r="L298" s="5"/>
      <c r="M298" s="69" t="s">
        <v>2452</v>
      </c>
      <c r="N298" s="5"/>
      <c r="O298" s="5"/>
      <c r="P298" s="5"/>
      <c r="Q298" s="5"/>
      <c r="R298" s="5"/>
      <c r="S298" s="5"/>
      <c r="T298" s="5"/>
      <c r="U298" s="5"/>
      <c r="V298" s="5"/>
      <c r="W298" s="5"/>
      <c r="X298" s="5"/>
      <c r="Y298" s="5"/>
      <c r="Z298" s="5"/>
    </row>
    <row r="299" ht="15.75" hidden="1" customHeight="1">
      <c r="A299" s="75">
        <v>45929.0</v>
      </c>
      <c r="B299" s="76">
        <f>136+8</f>
        <v>144</v>
      </c>
      <c r="C299" s="76">
        <v>90.41</v>
      </c>
      <c r="D299" s="5"/>
      <c r="E299" s="5" t="s">
        <v>26</v>
      </c>
      <c r="F299" s="5" t="s">
        <v>26</v>
      </c>
      <c r="G299" s="5" t="s">
        <v>26</v>
      </c>
      <c r="H299" s="5"/>
      <c r="I299" s="5"/>
      <c r="J299" s="5"/>
      <c r="K299" s="69" t="s">
        <v>2448</v>
      </c>
      <c r="L299" s="5"/>
      <c r="M299" s="69" t="s">
        <v>2453</v>
      </c>
      <c r="N299" s="5"/>
      <c r="O299" s="5"/>
      <c r="P299" s="5"/>
      <c r="Q299" s="5"/>
      <c r="R299" s="5"/>
      <c r="S299" s="5"/>
      <c r="T299" s="5"/>
      <c r="U299" s="5"/>
      <c r="V299" s="5"/>
      <c r="W299" s="5"/>
      <c r="X299" s="5"/>
      <c r="Y299" s="5"/>
      <c r="Z299" s="5"/>
    </row>
    <row r="300" ht="15.75" hidden="1" customHeight="1">
      <c r="A300" s="75">
        <v>45930.0</v>
      </c>
      <c r="B300" s="76">
        <f>144+8</f>
        <v>152</v>
      </c>
      <c r="C300" s="76">
        <f>90.41+0.1</f>
        <v>90.51</v>
      </c>
      <c r="D300" s="5"/>
      <c r="E300" s="5" t="s">
        <v>26</v>
      </c>
      <c r="F300" s="5" t="s">
        <v>26</v>
      </c>
      <c r="G300" s="5" t="s">
        <v>26</v>
      </c>
      <c r="H300" s="5"/>
      <c r="I300" s="5"/>
      <c r="J300" s="5"/>
      <c r="K300" s="69" t="s">
        <v>2448</v>
      </c>
      <c r="L300" s="5"/>
      <c r="M300" s="69" t="s">
        <v>2453</v>
      </c>
      <c r="N300" s="5"/>
      <c r="O300" s="5"/>
      <c r="P300" s="5"/>
      <c r="Q300" s="5"/>
      <c r="R300" s="5"/>
      <c r="S300" s="5"/>
      <c r="T300" s="5"/>
      <c r="U300" s="5"/>
      <c r="V300" s="5"/>
      <c r="W300" s="5"/>
      <c r="X300" s="5"/>
      <c r="Y300" s="5"/>
      <c r="Z300" s="5"/>
    </row>
    <row r="301" ht="15.75" hidden="1" customHeight="1">
      <c r="A301" s="75">
        <v>45933.0</v>
      </c>
      <c r="B301" s="76">
        <v>4.0</v>
      </c>
      <c r="C301" s="76">
        <v>7.2</v>
      </c>
      <c r="D301" s="5"/>
      <c r="E301" s="5" t="s">
        <v>26</v>
      </c>
      <c r="F301" s="5" t="s">
        <v>26</v>
      </c>
      <c r="G301" s="5" t="s">
        <v>26</v>
      </c>
      <c r="H301" s="5"/>
      <c r="I301" s="5"/>
      <c r="J301" s="5"/>
      <c r="K301" s="69" t="s">
        <v>2454</v>
      </c>
      <c r="L301" s="5"/>
      <c r="M301" s="69" t="s">
        <v>2455</v>
      </c>
      <c r="N301" s="5"/>
      <c r="O301" s="5"/>
      <c r="P301" s="5"/>
      <c r="Q301" s="5"/>
      <c r="R301" s="5"/>
      <c r="S301" s="5"/>
      <c r="T301" s="5"/>
      <c r="U301" s="5"/>
      <c r="V301" s="5"/>
      <c r="W301" s="5"/>
      <c r="X301" s="5"/>
      <c r="Y301" s="5"/>
      <c r="Z301" s="5"/>
    </row>
    <row r="302" ht="15.75" hidden="1" customHeight="1">
      <c r="A302" s="75">
        <v>45936.0</v>
      </c>
      <c r="B302" s="76">
        <f>4+4</f>
        <v>8</v>
      </c>
      <c r="C302" s="76">
        <f>7.2+4</f>
        <v>11.2</v>
      </c>
      <c r="D302" s="5"/>
      <c r="E302" s="5" t="s">
        <v>26</v>
      </c>
      <c r="F302" s="5" t="s">
        <v>26</v>
      </c>
      <c r="G302" s="5" t="s">
        <v>26</v>
      </c>
      <c r="H302" s="5"/>
      <c r="I302" s="5"/>
      <c r="J302" s="5"/>
      <c r="K302" s="69" t="s">
        <v>2456</v>
      </c>
      <c r="L302" s="5"/>
      <c r="M302" s="69" t="s">
        <v>2457</v>
      </c>
      <c r="N302" s="5"/>
      <c r="O302" s="5"/>
      <c r="P302" s="5"/>
      <c r="Q302" s="5"/>
      <c r="R302" s="5"/>
      <c r="S302" s="5"/>
      <c r="T302" s="5"/>
      <c r="U302" s="5"/>
      <c r="V302" s="5"/>
      <c r="W302" s="5"/>
      <c r="X302" s="5"/>
      <c r="Y302" s="5"/>
      <c r="Z302" s="5"/>
    </row>
    <row r="303" ht="15.75" hidden="1" customHeight="1">
      <c r="A303" s="75">
        <v>45937.0</v>
      </c>
      <c r="B303" s="76">
        <f>8+4</f>
        <v>12</v>
      </c>
      <c r="C303" s="5">
        <f>11.2+5.35</f>
        <v>16.55</v>
      </c>
      <c r="D303" s="5"/>
      <c r="E303" s="5" t="s">
        <v>26</v>
      </c>
      <c r="F303" s="5" t="s">
        <v>26</v>
      </c>
      <c r="G303" s="5" t="s">
        <v>26</v>
      </c>
      <c r="H303" s="5"/>
      <c r="I303" s="5"/>
      <c r="J303" s="5"/>
      <c r="K303" s="69" t="s">
        <v>2458</v>
      </c>
      <c r="L303" s="5"/>
      <c r="M303" s="69" t="s">
        <v>2459</v>
      </c>
      <c r="N303" s="5"/>
      <c r="O303" s="5"/>
      <c r="P303" s="5"/>
      <c r="Q303" s="5"/>
      <c r="R303" s="5"/>
      <c r="S303" s="5"/>
      <c r="T303" s="5"/>
      <c r="U303" s="5"/>
      <c r="V303" s="5"/>
      <c r="W303" s="5"/>
      <c r="X303" s="5"/>
      <c r="Y303" s="5"/>
      <c r="Z303" s="5"/>
    </row>
    <row r="304" ht="15.75" hidden="1" customHeight="1">
      <c r="A304" s="75">
        <v>45938.0</v>
      </c>
      <c r="B304" s="76">
        <f>12+4</f>
        <v>16</v>
      </c>
      <c r="C304" s="5">
        <f t="shared" ref="C304:C305" si="18">16.55+3.4</f>
        <v>19.95</v>
      </c>
      <c r="D304" s="5"/>
      <c r="E304" s="5" t="s">
        <v>26</v>
      </c>
      <c r="F304" s="5" t="s">
        <v>26</v>
      </c>
      <c r="G304" s="5" t="s">
        <v>26</v>
      </c>
      <c r="H304" s="5"/>
      <c r="I304" s="5"/>
      <c r="J304" s="5"/>
      <c r="K304" s="69" t="s">
        <v>2460</v>
      </c>
      <c r="L304" s="5"/>
      <c r="M304" s="69" t="s">
        <v>2461</v>
      </c>
      <c r="N304" s="5"/>
      <c r="O304" s="5"/>
      <c r="P304" s="5"/>
      <c r="Q304" s="5"/>
      <c r="R304" s="5"/>
      <c r="S304" s="5"/>
      <c r="T304" s="5"/>
      <c r="U304" s="5"/>
      <c r="V304" s="5"/>
      <c r="W304" s="5"/>
      <c r="X304" s="5"/>
      <c r="Y304" s="5"/>
      <c r="Z304" s="5"/>
    </row>
    <row r="305" ht="15.75" hidden="1" customHeight="1">
      <c r="A305" s="75">
        <v>45939.0</v>
      </c>
      <c r="B305" s="76">
        <f>16+4</f>
        <v>20</v>
      </c>
      <c r="C305" s="5">
        <f t="shared" si="18"/>
        <v>19.95</v>
      </c>
      <c r="D305" s="5"/>
      <c r="E305" s="5"/>
      <c r="F305" s="5"/>
      <c r="G305" s="5"/>
      <c r="H305" s="5"/>
      <c r="I305" s="5"/>
      <c r="J305" s="5"/>
      <c r="K305" s="69">
        <v>0.0</v>
      </c>
      <c r="L305" s="5"/>
      <c r="M305" s="69" t="s">
        <v>2462</v>
      </c>
      <c r="N305" s="5"/>
      <c r="O305" s="5"/>
      <c r="P305" s="5"/>
      <c r="Q305" s="5"/>
      <c r="R305" s="5"/>
      <c r="S305" s="5"/>
      <c r="T305" s="5"/>
      <c r="U305" s="5"/>
      <c r="V305" s="5"/>
      <c r="W305" s="5"/>
      <c r="X305" s="5"/>
      <c r="Y305" s="5"/>
      <c r="Z305" s="5"/>
    </row>
    <row r="306" ht="15.75" hidden="1" customHeight="1">
      <c r="A306" s="75">
        <v>45940.0</v>
      </c>
      <c r="B306" s="76">
        <f>16+4+4</f>
        <v>24</v>
      </c>
      <c r="C306" s="5">
        <f>19.95+3.25</f>
        <v>23.2</v>
      </c>
      <c r="D306" s="5"/>
      <c r="E306" s="5" t="s">
        <v>26</v>
      </c>
      <c r="F306" s="5" t="s">
        <v>26</v>
      </c>
      <c r="G306" s="5" t="s">
        <v>26</v>
      </c>
      <c r="H306" s="5"/>
      <c r="I306" s="5"/>
      <c r="J306" s="5"/>
      <c r="K306" s="69" t="s">
        <v>2463</v>
      </c>
      <c r="L306" s="5"/>
      <c r="M306" s="69" t="s">
        <v>2464</v>
      </c>
      <c r="N306" s="5"/>
      <c r="O306" s="5"/>
      <c r="P306" s="5"/>
      <c r="Q306" s="5"/>
      <c r="R306" s="5"/>
      <c r="S306" s="5"/>
      <c r="T306" s="5"/>
      <c r="U306" s="5"/>
      <c r="V306" s="5"/>
      <c r="W306" s="5"/>
      <c r="X306" s="5"/>
      <c r="Y306" s="5"/>
      <c r="Z306" s="5"/>
    </row>
    <row r="307" ht="15.75" hidden="1" customHeight="1">
      <c r="A307" s="75">
        <v>45943.0</v>
      </c>
      <c r="B307" s="76">
        <f>24+4</f>
        <v>28</v>
      </c>
      <c r="C307" s="5">
        <f>23.2+3.1</f>
        <v>26.3</v>
      </c>
      <c r="D307" s="5"/>
      <c r="E307" s="5" t="s">
        <v>26</v>
      </c>
      <c r="F307" s="5" t="s">
        <v>26</v>
      </c>
      <c r="G307" s="5" t="s">
        <v>26</v>
      </c>
      <c r="H307" s="5"/>
      <c r="I307" s="5"/>
      <c r="J307" s="5"/>
      <c r="K307" s="69" t="s">
        <v>2463</v>
      </c>
      <c r="L307" s="5"/>
      <c r="M307" s="69" t="s">
        <v>2465</v>
      </c>
      <c r="N307" s="5"/>
      <c r="O307" s="5"/>
      <c r="P307" s="5"/>
      <c r="Q307" s="5"/>
      <c r="R307" s="5"/>
      <c r="S307" s="5"/>
      <c r="T307" s="5"/>
      <c r="U307" s="5"/>
      <c r="V307" s="5"/>
      <c r="W307" s="5"/>
      <c r="X307" s="5"/>
      <c r="Y307" s="5"/>
      <c r="Z307" s="5"/>
    </row>
    <row r="308" ht="15.75" hidden="1" customHeight="1">
      <c r="A308" s="75">
        <v>45944.0</v>
      </c>
      <c r="B308" s="76">
        <f>28+4</f>
        <v>32</v>
      </c>
      <c r="C308" s="5">
        <f>26.3+3.15</f>
        <v>29.45</v>
      </c>
      <c r="D308" s="5"/>
      <c r="E308" s="5" t="s">
        <v>26</v>
      </c>
      <c r="F308" s="5" t="s">
        <v>26</v>
      </c>
      <c r="G308" s="5" t="s">
        <v>26</v>
      </c>
      <c r="H308" s="5"/>
      <c r="I308" s="5"/>
      <c r="J308" s="5"/>
      <c r="K308" s="69" t="s">
        <v>2466</v>
      </c>
      <c r="L308" s="5"/>
      <c r="M308" s="69" t="s">
        <v>2467</v>
      </c>
      <c r="N308" s="5"/>
      <c r="O308" s="5"/>
      <c r="P308" s="5"/>
      <c r="Q308" s="5"/>
      <c r="R308" s="5"/>
      <c r="S308" s="5"/>
      <c r="T308" s="5"/>
      <c r="U308" s="5"/>
      <c r="V308" s="5"/>
      <c r="W308" s="5"/>
      <c r="X308" s="5"/>
      <c r="Y308" s="5"/>
      <c r="Z308" s="5"/>
    </row>
    <row r="309" ht="15.75" hidden="1" customHeight="1">
      <c r="A309" s="75">
        <v>45945.0</v>
      </c>
      <c r="B309" s="76">
        <f>32+4</f>
        <v>36</v>
      </c>
      <c r="C309" s="5">
        <f>29.45+1.45</f>
        <v>30.9</v>
      </c>
      <c r="D309" s="5"/>
      <c r="E309" s="5" t="s">
        <v>26</v>
      </c>
      <c r="F309" s="5" t="s">
        <v>26</v>
      </c>
      <c r="G309" s="5" t="s">
        <v>26</v>
      </c>
      <c r="H309" s="5"/>
      <c r="I309" s="5"/>
      <c r="J309" s="5"/>
      <c r="K309" s="69" t="s">
        <v>2468</v>
      </c>
      <c r="L309" s="5"/>
      <c r="M309" s="69" t="s">
        <v>2469</v>
      </c>
      <c r="N309" s="5"/>
      <c r="O309" s="5"/>
      <c r="P309" s="5"/>
      <c r="Q309" s="5"/>
      <c r="R309" s="5"/>
      <c r="S309" s="5"/>
      <c r="T309" s="5"/>
      <c r="U309" s="5"/>
      <c r="V309" s="5"/>
      <c r="W309" s="5"/>
      <c r="X309" s="5"/>
      <c r="Y309" s="5"/>
      <c r="Z309" s="5"/>
    </row>
    <row r="310" ht="15.75" hidden="1" customHeight="1">
      <c r="A310" s="75">
        <v>45946.0</v>
      </c>
      <c r="B310" s="76">
        <f>36+4</f>
        <v>40</v>
      </c>
      <c r="C310" s="5">
        <f>30.9+2.05</f>
        <v>32.95</v>
      </c>
      <c r="D310" s="5"/>
      <c r="E310" s="5" t="s">
        <v>26</v>
      </c>
      <c r="F310" s="5" t="s">
        <v>26</v>
      </c>
      <c r="G310" s="5" t="s">
        <v>26</v>
      </c>
      <c r="H310" s="5"/>
      <c r="I310" s="5"/>
      <c r="J310" s="5"/>
      <c r="K310" s="69" t="s">
        <v>2470</v>
      </c>
      <c r="L310" s="5"/>
      <c r="M310" s="69" t="s">
        <v>2471</v>
      </c>
      <c r="N310" s="5"/>
      <c r="O310" s="5"/>
      <c r="P310" s="5"/>
      <c r="Q310" s="5"/>
      <c r="R310" s="5"/>
      <c r="S310" s="5"/>
      <c r="T310" s="5"/>
      <c r="U310" s="5"/>
      <c r="V310" s="5"/>
      <c r="W310" s="5"/>
      <c r="X310" s="5"/>
      <c r="Y310" s="5"/>
      <c r="Z310" s="5"/>
    </row>
    <row r="311" ht="15.75" hidden="1" customHeight="1">
      <c r="A311" s="75">
        <v>45947.0</v>
      </c>
      <c r="B311" s="76">
        <f>40+4</f>
        <v>44</v>
      </c>
      <c r="C311" s="5">
        <f>32.95+2.05</f>
        <v>35</v>
      </c>
      <c r="D311" s="5"/>
      <c r="E311" s="5" t="s">
        <v>26</v>
      </c>
      <c r="F311" s="5" t="s">
        <v>26</v>
      </c>
      <c r="G311" s="5" t="s">
        <v>26</v>
      </c>
      <c r="H311" s="5"/>
      <c r="I311" s="5"/>
      <c r="J311" s="5"/>
      <c r="K311" s="69" t="s">
        <v>2472</v>
      </c>
      <c r="L311" s="5"/>
      <c r="M311" s="69" t="s">
        <v>2473</v>
      </c>
      <c r="N311" s="5"/>
      <c r="O311" s="5"/>
      <c r="P311" s="5"/>
      <c r="Q311" s="5"/>
      <c r="R311" s="5"/>
      <c r="S311" s="5"/>
      <c r="T311" s="5"/>
      <c r="U311" s="5"/>
      <c r="V311" s="5"/>
      <c r="W311" s="5"/>
      <c r="X311" s="5"/>
      <c r="Y311" s="5"/>
      <c r="Z311" s="5"/>
    </row>
    <row r="312" ht="15.75" hidden="1" customHeight="1">
      <c r="A312" s="75">
        <v>45951.0</v>
      </c>
      <c r="B312" s="76">
        <f>44+4</f>
        <v>48</v>
      </c>
      <c r="C312" s="5">
        <f>35+2.3</f>
        <v>37.3</v>
      </c>
      <c r="D312" s="5"/>
      <c r="E312" s="5" t="s">
        <v>26</v>
      </c>
      <c r="F312" s="5" t="s">
        <v>26</v>
      </c>
      <c r="G312" s="5" t="s">
        <v>26</v>
      </c>
      <c r="H312" s="5"/>
      <c r="I312" s="5"/>
      <c r="J312" s="5"/>
      <c r="K312" s="69" t="s">
        <v>2474</v>
      </c>
      <c r="L312" s="5"/>
      <c r="M312" s="69" t="s">
        <v>2475</v>
      </c>
      <c r="N312" s="5"/>
      <c r="O312" s="5"/>
      <c r="P312" s="5"/>
      <c r="Q312" s="5"/>
      <c r="R312" s="5"/>
      <c r="S312" s="5"/>
      <c r="T312" s="5"/>
      <c r="U312" s="5"/>
      <c r="V312" s="5"/>
      <c r="W312" s="5"/>
      <c r="X312" s="5"/>
      <c r="Y312" s="5"/>
      <c r="Z312" s="5"/>
    </row>
    <row r="313" ht="15.75" hidden="1" customHeight="1">
      <c r="A313" s="75">
        <v>45952.0</v>
      </c>
      <c r="B313" s="76">
        <f>48+4</f>
        <v>52</v>
      </c>
      <c r="C313" s="5">
        <f>37.3+1.51</f>
        <v>38.81</v>
      </c>
      <c r="D313" s="5"/>
      <c r="E313" s="5" t="s">
        <v>26</v>
      </c>
      <c r="F313" s="5" t="s">
        <v>26</v>
      </c>
      <c r="G313" s="5" t="s">
        <v>26</v>
      </c>
      <c r="H313" s="5"/>
      <c r="I313" s="5"/>
      <c r="J313" s="5"/>
      <c r="K313" s="69" t="s">
        <v>2474</v>
      </c>
      <c r="L313" s="5"/>
      <c r="M313" s="69" t="s">
        <v>2476</v>
      </c>
      <c r="N313" s="5"/>
      <c r="O313" s="5"/>
      <c r="P313" s="5"/>
      <c r="Q313" s="5"/>
      <c r="R313" s="5"/>
      <c r="S313" s="5"/>
      <c r="T313" s="5"/>
      <c r="U313" s="5"/>
      <c r="V313" s="5"/>
      <c r="W313" s="5"/>
      <c r="X313" s="5"/>
      <c r="Y313" s="5"/>
      <c r="Z313" s="5"/>
    </row>
    <row r="314" ht="15.75" hidden="1" customHeight="1">
      <c r="A314" s="75">
        <v>45953.0</v>
      </c>
      <c r="B314" s="76">
        <f>52+4</f>
        <v>56</v>
      </c>
      <c r="C314" s="5">
        <f>41.13</f>
        <v>41.13</v>
      </c>
      <c r="D314" s="5"/>
      <c r="E314" s="5" t="s">
        <v>26</v>
      </c>
      <c r="F314" s="5" t="s">
        <v>26</v>
      </c>
      <c r="G314" s="5" t="s">
        <v>26</v>
      </c>
      <c r="H314" s="5"/>
      <c r="I314" s="5"/>
      <c r="J314" s="5"/>
      <c r="K314" s="69" t="s">
        <v>2477</v>
      </c>
      <c r="L314" s="5"/>
      <c r="M314" s="69" t="s">
        <v>2478</v>
      </c>
      <c r="N314" s="5"/>
      <c r="O314" s="5"/>
      <c r="P314" s="5"/>
      <c r="Q314" s="5"/>
      <c r="R314" s="5"/>
      <c r="S314" s="5"/>
      <c r="T314" s="5"/>
      <c r="U314" s="5"/>
      <c r="V314" s="5"/>
      <c r="W314" s="5"/>
      <c r="X314" s="5"/>
      <c r="Y314" s="5"/>
      <c r="Z314" s="5"/>
    </row>
    <row r="315" ht="15.75" hidden="1" customHeight="1">
      <c r="A315" s="75">
        <v>45954.0</v>
      </c>
      <c r="B315" s="76">
        <f>56+4</f>
        <v>60</v>
      </c>
      <c r="C315" s="5">
        <v>41.13</v>
      </c>
      <c r="D315" s="5"/>
      <c r="E315" s="5"/>
      <c r="F315" s="5"/>
      <c r="G315" s="5"/>
      <c r="H315" s="5"/>
      <c r="I315" s="5"/>
      <c r="J315" s="5"/>
      <c r="K315" s="69" t="s">
        <v>834</v>
      </c>
      <c r="L315" s="5"/>
      <c r="M315" s="69"/>
      <c r="N315" s="5"/>
      <c r="O315" s="5"/>
      <c r="P315" s="5"/>
      <c r="Q315" s="5"/>
      <c r="R315" s="5"/>
      <c r="S315" s="5"/>
      <c r="T315" s="5"/>
      <c r="U315" s="5"/>
      <c r="V315" s="5"/>
      <c r="W315" s="5"/>
      <c r="X315" s="5"/>
      <c r="Y315" s="5"/>
      <c r="Z315" s="5"/>
    </row>
    <row r="316" ht="15.75" hidden="1" customHeight="1">
      <c r="A316" s="75">
        <v>45957.0</v>
      </c>
      <c r="B316" s="76">
        <f>60+4</f>
        <v>64</v>
      </c>
      <c r="C316" s="5">
        <f>41.13</f>
        <v>41.13</v>
      </c>
      <c r="D316" s="5"/>
      <c r="E316" s="5"/>
      <c r="F316" s="5"/>
      <c r="G316" s="5"/>
      <c r="H316" s="5"/>
      <c r="I316" s="5"/>
      <c r="J316" s="5"/>
      <c r="K316" s="69" t="s">
        <v>834</v>
      </c>
      <c r="L316" s="5"/>
      <c r="M316" s="69"/>
      <c r="N316" s="5"/>
      <c r="O316" s="5"/>
      <c r="P316" s="5"/>
      <c r="Q316" s="5"/>
      <c r="R316" s="5"/>
      <c r="S316" s="5"/>
      <c r="T316" s="5"/>
      <c r="U316" s="5"/>
      <c r="V316" s="5"/>
      <c r="W316" s="5"/>
      <c r="X316" s="5"/>
      <c r="Y316" s="5"/>
      <c r="Z316" s="5"/>
    </row>
    <row r="317" ht="15.75" hidden="1" customHeight="1">
      <c r="A317" s="75">
        <v>45958.0</v>
      </c>
      <c r="B317" s="76">
        <f>64+4</f>
        <v>68</v>
      </c>
      <c r="C317" s="5">
        <f>41.13+4.05</f>
        <v>45.18</v>
      </c>
      <c r="D317" s="5"/>
      <c r="E317" s="5" t="s">
        <v>26</v>
      </c>
      <c r="F317" s="5" t="s">
        <v>26</v>
      </c>
      <c r="G317" s="5" t="s">
        <v>26</v>
      </c>
      <c r="H317" s="5"/>
      <c r="I317" s="5"/>
      <c r="J317" s="5"/>
      <c r="K317" s="69" t="s">
        <v>2479</v>
      </c>
      <c r="L317" s="5"/>
      <c r="M317" s="69" t="s">
        <v>2480</v>
      </c>
      <c r="N317" s="5"/>
      <c r="O317" s="5"/>
      <c r="P317" s="5"/>
      <c r="Q317" s="5"/>
      <c r="R317" s="5"/>
      <c r="S317" s="5"/>
      <c r="T317" s="5"/>
      <c r="U317" s="5"/>
      <c r="V317" s="5"/>
      <c r="W317" s="5"/>
      <c r="X317" s="5"/>
      <c r="Y317" s="5"/>
      <c r="Z317" s="5"/>
    </row>
    <row r="318" ht="15.75" hidden="1" customHeight="1">
      <c r="A318" s="75">
        <v>45959.0</v>
      </c>
      <c r="B318" s="76">
        <f>68+4</f>
        <v>72</v>
      </c>
      <c r="C318" s="5">
        <f t="shared" ref="C318:C319" si="19">45.18+2.5</f>
        <v>47.68</v>
      </c>
      <c r="D318" s="5"/>
      <c r="E318" s="5" t="s">
        <v>26</v>
      </c>
      <c r="F318" s="5" t="s">
        <v>26</v>
      </c>
      <c r="G318" s="5" t="s">
        <v>26</v>
      </c>
      <c r="H318" s="5"/>
      <c r="I318" s="5"/>
      <c r="J318" s="5"/>
      <c r="K318" s="69" t="s">
        <v>2481</v>
      </c>
      <c r="L318" s="5"/>
      <c r="M318" s="69" t="s">
        <v>2482</v>
      </c>
      <c r="N318" s="5"/>
      <c r="O318" s="5"/>
      <c r="P318" s="5"/>
      <c r="Q318" s="5"/>
      <c r="R318" s="5"/>
      <c r="S318" s="5"/>
      <c r="T318" s="5"/>
      <c r="U318" s="5"/>
      <c r="V318" s="5"/>
      <c r="W318" s="5"/>
      <c r="X318" s="5"/>
      <c r="Y318" s="5"/>
      <c r="Z318" s="5"/>
    </row>
    <row r="319" ht="15.75" hidden="1" customHeight="1">
      <c r="A319" s="75">
        <v>45960.0</v>
      </c>
      <c r="B319" s="76">
        <f>72+4</f>
        <v>76</v>
      </c>
      <c r="C319" s="5">
        <f t="shared" si="19"/>
        <v>47.68</v>
      </c>
      <c r="D319" s="5"/>
      <c r="E319" s="5"/>
      <c r="F319" s="5"/>
      <c r="G319" s="5"/>
      <c r="H319" s="5"/>
      <c r="I319" s="5"/>
      <c r="J319" s="5"/>
      <c r="K319" s="69"/>
      <c r="L319" s="5"/>
      <c r="M319" s="69" t="s">
        <v>834</v>
      </c>
      <c r="N319" s="5"/>
      <c r="O319" s="5"/>
      <c r="P319" s="5"/>
      <c r="Q319" s="5"/>
      <c r="R319" s="5"/>
      <c r="S319" s="5"/>
      <c r="T319" s="5"/>
      <c r="U319" s="5"/>
      <c r="V319" s="5"/>
      <c r="W319" s="5"/>
      <c r="X319" s="5"/>
      <c r="Y319" s="5"/>
      <c r="Z319" s="5"/>
    </row>
    <row r="320" ht="15.75" customHeight="1">
      <c r="A320" s="75">
        <v>45961.0</v>
      </c>
      <c r="B320" s="76">
        <f>76+4</f>
        <v>80</v>
      </c>
      <c r="C320" s="5">
        <v>49.9</v>
      </c>
      <c r="D320" s="5"/>
      <c r="E320" s="5" t="s">
        <v>26</v>
      </c>
      <c r="F320" s="5" t="s">
        <v>26</v>
      </c>
      <c r="G320" s="5" t="s">
        <v>26</v>
      </c>
      <c r="H320" s="5"/>
      <c r="I320" s="5"/>
      <c r="J320" s="5"/>
      <c r="K320" s="69" t="s">
        <v>2483</v>
      </c>
      <c r="L320" s="5"/>
      <c r="M320" s="69" t="s">
        <v>2484</v>
      </c>
      <c r="N320" s="5"/>
      <c r="O320" s="5"/>
      <c r="P320" s="5"/>
      <c r="Q320" s="5"/>
      <c r="R320" s="5"/>
      <c r="S320" s="5"/>
      <c r="T320" s="5"/>
      <c r="U320" s="5"/>
      <c r="V320" s="5"/>
      <c r="W320" s="5"/>
      <c r="X320" s="5"/>
      <c r="Y320" s="5"/>
      <c r="Z320" s="5"/>
    </row>
    <row r="321" ht="15.75" hidden="1" customHeight="1">
      <c r="A321" s="75">
        <v>45964.0</v>
      </c>
      <c r="B321" s="76">
        <v>4.0</v>
      </c>
      <c r="C321" s="5">
        <f>2.45</f>
        <v>2.45</v>
      </c>
      <c r="D321" s="5"/>
      <c r="E321" s="5" t="s">
        <v>26</v>
      </c>
      <c r="F321" s="5" t="s">
        <v>26</v>
      </c>
      <c r="G321" s="5" t="s">
        <v>26</v>
      </c>
      <c r="H321" s="5"/>
      <c r="I321" s="5"/>
      <c r="J321" s="5"/>
      <c r="K321" s="69" t="s">
        <v>2485</v>
      </c>
      <c r="L321" s="5"/>
      <c r="M321" s="69" t="s">
        <v>2486</v>
      </c>
      <c r="N321" s="5"/>
      <c r="O321" s="5"/>
      <c r="P321" s="5"/>
      <c r="Q321" s="5"/>
      <c r="R321" s="5"/>
      <c r="S321" s="5"/>
      <c r="T321" s="5"/>
      <c r="U321" s="5"/>
      <c r="V321" s="5"/>
      <c r="W321" s="5"/>
      <c r="X321" s="5"/>
      <c r="Y321" s="5"/>
      <c r="Z321" s="5"/>
    </row>
    <row r="322" ht="15.75" hidden="1" customHeight="1">
      <c r="A322" s="75">
        <v>45965.0</v>
      </c>
      <c r="B322" s="76">
        <f>4+4</f>
        <v>8</v>
      </c>
      <c r="C322" s="5">
        <f>2.45+6.45</f>
        <v>8.9</v>
      </c>
      <c r="D322" s="5"/>
      <c r="E322" s="5" t="s">
        <v>26</v>
      </c>
      <c r="F322" s="5" t="s">
        <v>26</v>
      </c>
      <c r="G322" s="5" t="s">
        <v>26</v>
      </c>
      <c r="H322" s="5"/>
      <c r="I322" s="5"/>
      <c r="J322" s="5"/>
      <c r="K322" s="69" t="s">
        <v>2487</v>
      </c>
      <c r="L322" s="5"/>
      <c r="M322" s="69" t="s">
        <v>2488</v>
      </c>
      <c r="N322" s="5"/>
      <c r="O322" s="5"/>
      <c r="P322" s="5"/>
      <c r="Q322" s="5"/>
      <c r="R322" s="5"/>
      <c r="S322" s="5"/>
      <c r="T322" s="5"/>
      <c r="U322" s="5"/>
      <c r="V322" s="5"/>
      <c r="W322" s="5"/>
      <c r="X322" s="5"/>
      <c r="Y322" s="5"/>
      <c r="Z322" s="5"/>
    </row>
    <row r="323" ht="15.75" hidden="1" customHeight="1">
      <c r="A323" s="75">
        <v>45966.0</v>
      </c>
      <c r="B323" s="76">
        <f>8+4</f>
        <v>12</v>
      </c>
      <c r="C323" s="5">
        <f>8.9+3.15</f>
        <v>12.05</v>
      </c>
      <c r="D323" s="5"/>
      <c r="E323" s="5" t="s">
        <v>26</v>
      </c>
      <c r="F323" s="5" t="s">
        <v>26</v>
      </c>
      <c r="G323" s="5" t="s">
        <v>26</v>
      </c>
      <c r="H323" s="5"/>
      <c r="I323" s="5"/>
      <c r="J323" s="5"/>
      <c r="K323" s="69" t="s">
        <v>2489</v>
      </c>
      <c r="L323" s="5"/>
      <c r="M323" s="69" t="s">
        <v>2490</v>
      </c>
      <c r="N323" s="5"/>
      <c r="O323" s="5" t="s">
        <v>2491</v>
      </c>
      <c r="P323" s="5"/>
      <c r="Q323" s="5"/>
      <c r="R323" s="5"/>
      <c r="S323" s="5"/>
      <c r="T323" s="5"/>
      <c r="U323" s="5"/>
      <c r="V323" s="5"/>
      <c r="W323" s="5"/>
      <c r="X323" s="5"/>
      <c r="Y323" s="5"/>
      <c r="Z323" s="5"/>
    </row>
    <row r="324" ht="15.75" hidden="1" customHeight="1">
      <c r="A324" s="75">
        <v>45967.0</v>
      </c>
      <c r="B324" s="76">
        <f>12+4</f>
        <v>16</v>
      </c>
      <c r="C324" s="5">
        <f>12.05+0.1</f>
        <v>12.15</v>
      </c>
      <c r="D324" s="5"/>
      <c r="E324" s="5" t="s">
        <v>26</v>
      </c>
      <c r="F324" s="5" t="s">
        <v>26</v>
      </c>
      <c r="G324" s="5" t="s">
        <v>26</v>
      </c>
      <c r="H324" s="5"/>
      <c r="I324" s="5"/>
      <c r="J324" s="5"/>
      <c r="K324" s="69" t="s">
        <v>2492</v>
      </c>
      <c r="L324" s="5" t="s">
        <v>126</v>
      </c>
      <c r="M324" s="69" t="s">
        <v>2493</v>
      </c>
      <c r="N324" s="5"/>
      <c r="O324" s="5"/>
      <c r="P324" s="5"/>
      <c r="Q324" s="5"/>
      <c r="R324" s="5"/>
      <c r="S324" s="5"/>
      <c r="T324" s="5"/>
      <c r="U324" s="5"/>
      <c r="V324" s="5"/>
      <c r="W324" s="5"/>
      <c r="X324" s="5"/>
      <c r="Y324" s="5"/>
      <c r="Z324" s="5"/>
    </row>
    <row r="325" ht="15.75" hidden="1" customHeight="1">
      <c r="A325" s="75">
        <v>45968.0</v>
      </c>
      <c r="B325" s="76">
        <f>16+4</f>
        <v>20</v>
      </c>
      <c r="C325" s="5">
        <f>12.15+3.15</f>
        <v>15.3</v>
      </c>
      <c r="D325" s="5"/>
      <c r="E325" s="5" t="s">
        <v>26</v>
      </c>
      <c r="F325" s="5" t="s">
        <v>26</v>
      </c>
      <c r="G325" s="5" t="s">
        <v>26</v>
      </c>
      <c r="H325" s="5"/>
      <c r="I325" s="5"/>
      <c r="J325" s="5"/>
      <c r="K325" s="69" t="s">
        <v>2494</v>
      </c>
      <c r="L325" s="5"/>
      <c r="M325" s="69" t="s">
        <v>2495</v>
      </c>
      <c r="N325" s="5"/>
      <c r="O325" s="5"/>
      <c r="P325" s="5"/>
      <c r="Q325" s="5"/>
      <c r="R325" s="5"/>
      <c r="S325" s="5"/>
      <c r="T325" s="5"/>
      <c r="U325" s="5"/>
      <c r="V325" s="5"/>
      <c r="W325" s="5"/>
      <c r="X325" s="5"/>
      <c r="Y325" s="5"/>
      <c r="Z325" s="5"/>
    </row>
    <row r="326" ht="15.75" hidden="1" customHeight="1">
      <c r="A326" s="75">
        <v>45971.0</v>
      </c>
      <c r="B326" s="76">
        <f>20+4</f>
        <v>24</v>
      </c>
      <c r="C326" s="5">
        <f>15.3+0.4</f>
        <v>15.7</v>
      </c>
      <c r="D326" s="5"/>
      <c r="E326" s="5" t="s">
        <v>26</v>
      </c>
      <c r="F326" s="5" t="s">
        <v>26</v>
      </c>
      <c r="G326" s="5" t="s">
        <v>26</v>
      </c>
      <c r="H326" s="5"/>
      <c r="I326" s="5"/>
      <c r="J326" s="5"/>
      <c r="K326" s="69" t="s">
        <v>2496</v>
      </c>
      <c r="L326" s="5"/>
      <c r="M326" s="69" t="s">
        <v>2497</v>
      </c>
      <c r="N326" s="5"/>
      <c r="O326" s="5"/>
      <c r="P326" s="5"/>
      <c r="Q326" s="5"/>
      <c r="R326" s="5"/>
      <c r="S326" s="5"/>
      <c r="T326" s="5"/>
      <c r="U326" s="5"/>
      <c r="V326" s="5"/>
      <c r="W326" s="5"/>
      <c r="X326" s="5"/>
      <c r="Y326" s="5"/>
      <c r="Z326" s="5"/>
    </row>
    <row r="327" ht="15.75" hidden="1" customHeight="1">
      <c r="A327" s="75">
        <v>45972.0</v>
      </c>
      <c r="B327" s="76">
        <f>24+4</f>
        <v>28</v>
      </c>
      <c r="C327" s="5">
        <f>15.7+1.2</f>
        <v>16.9</v>
      </c>
      <c r="D327" s="5"/>
      <c r="E327" s="5" t="s">
        <v>26</v>
      </c>
      <c r="F327" s="5" t="s">
        <v>26</v>
      </c>
      <c r="G327" s="5" t="s">
        <v>26</v>
      </c>
      <c r="H327" s="5"/>
      <c r="I327" s="5"/>
      <c r="J327" s="5"/>
      <c r="K327" s="69" t="s">
        <v>2498</v>
      </c>
      <c r="L327" s="5"/>
      <c r="M327" s="69" t="s">
        <v>2499</v>
      </c>
      <c r="N327" s="5"/>
      <c r="O327" s="5"/>
      <c r="P327" s="5"/>
      <c r="Q327" s="5"/>
      <c r="R327" s="5"/>
      <c r="S327" s="5"/>
      <c r="T327" s="5"/>
      <c r="U327" s="5"/>
      <c r="V327" s="5"/>
      <c r="W327" s="5"/>
      <c r="X327" s="5"/>
      <c r="Y327" s="5"/>
      <c r="Z327" s="5"/>
    </row>
    <row r="328" ht="15.75" hidden="1" customHeight="1">
      <c r="A328" s="75">
        <v>45973.0</v>
      </c>
      <c r="B328" s="76">
        <f>28+4</f>
        <v>32</v>
      </c>
      <c r="C328" s="5">
        <f>16.9+2.05</f>
        <v>18.95</v>
      </c>
      <c r="D328" s="5"/>
      <c r="E328" s="5" t="s">
        <v>26</v>
      </c>
      <c r="F328" s="5" t="s">
        <v>26</v>
      </c>
      <c r="G328" s="5" t="s">
        <v>26</v>
      </c>
      <c r="H328" s="5"/>
      <c r="I328" s="5"/>
      <c r="J328" s="5"/>
      <c r="K328" s="69" t="s">
        <v>2500</v>
      </c>
      <c r="L328" s="5"/>
      <c r="M328" s="69" t="s">
        <v>2501</v>
      </c>
      <c r="N328" s="5"/>
      <c r="O328" s="5"/>
      <c r="P328" s="5"/>
      <c r="Q328" s="5"/>
      <c r="R328" s="5"/>
      <c r="S328" s="5"/>
      <c r="T328" s="5"/>
      <c r="U328" s="5"/>
      <c r="V328" s="5"/>
      <c r="W328" s="5"/>
      <c r="X328" s="5"/>
      <c r="Y328" s="5"/>
      <c r="Z328" s="5"/>
    </row>
    <row r="329" ht="15.75" hidden="1" customHeight="1">
      <c r="A329" s="75">
        <v>45974.0</v>
      </c>
      <c r="B329" s="76">
        <f>32+4</f>
        <v>36</v>
      </c>
      <c r="C329" s="5">
        <f>18.95+0.35</f>
        <v>19.3</v>
      </c>
      <c r="D329" s="5"/>
      <c r="E329" s="5" t="s">
        <v>26</v>
      </c>
      <c r="F329" s="5" t="s">
        <v>26</v>
      </c>
      <c r="G329" s="5" t="s">
        <v>26</v>
      </c>
      <c r="H329" s="5"/>
      <c r="I329" s="5"/>
      <c r="J329" s="5"/>
      <c r="K329" s="69" t="s">
        <v>2500</v>
      </c>
      <c r="L329" s="5"/>
      <c r="M329" s="69" t="s">
        <v>2502</v>
      </c>
      <c r="N329" s="5"/>
      <c r="O329" s="5"/>
      <c r="P329" s="5"/>
      <c r="Q329" s="5"/>
      <c r="R329" s="5"/>
      <c r="S329" s="5"/>
      <c r="T329" s="5"/>
      <c r="U329" s="5"/>
      <c r="V329" s="5"/>
      <c r="W329" s="5"/>
      <c r="X329" s="5"/>
      <c r="Y329" s="5"/>
      <c r="Z329" s="5"/>
    </row>
    <row r="330" ht="15.75" hidden="1" customHeight="1">
      <c r="A330" s="75">
        <v>45975.0</v>
      </c>
      <c r="B330" s="76">
        <f>36+4</f>
        <v>40</v>
      </c>
      <c r="C330" s="5">
        <f>22.13</f>
        <v>22.13</v>
      </c>
      <c r="D330" s="5"/>
      <c r="E330" s="5" t="s">
        <v>26</v>
      </c>
      <c r="F330" s="5" t="s">
        <v>26</v>
      </c>
      <c r="G330" s="5" t="s">
        <v>26</v>
      </c>
      <c r="H330" s="5"/>
      <c r="I330" s="5"/>
      <c r="J330" s="5"/>
      <c r="K330" s="69" t="s">
        <v>2503</v>
      </c>
      <c r="L330" s="5"/>
      <c r="M330" s="69" t="s">
        <v>2504</v>
      </c>
      <c r="N330" s="5"/>
      <c r="O330" s="5"/>
      <c r="P330" s="5"/>
      <c r="Q330" s="5"/>
      <c r="R330" s="5"/>
      <c r="S330" s="5"/>
      <c r="T330" s="5"/>
      <c r="U330" s="5"/>
      <c r="V330" s="5"/>
      <c r="W330" s="5"/>
      <c r="X330" s="5"/>
      <c r="Y330" s="5"/>
      <c r="Z330" s="5"/>
    </row>
    <row r="331" ht="15.75" hidden="1" customHeight="1">
      <c r="A331" s="75">
        <v>45978.0</v>
      </c>
      <c r="B331" s="76">
        <f>40+4</f>
        <v>44</v>
      </c>
      <c r="C331" s="5">
        <f>22.13+1.1</f>
        <v>23.23</v>
      </c>
      <c r="D331" s="5"/>
      <c r="E331" s="5" t="s">
        <v>26</v>
      </c>
      <c r="F331" s="5" t="s">
        <v>26</v>
      </c>
      <c r="G331" s="5" t="s">
        <v>26</v>
      </c>
      <c r="H331" s="5"/>
      <c r="I331" s="5"/>
      <c r="J331" s="5"/>
      <c r="K331" s="69" t="s">
        <v>2505</v>
      </c>
      <c r="L331" s="5"/>
      <c r="M331" s="69" t="s">
        <v>2506</v>
      </c>
      <c r="N331" s="5"/>
      <c r="O331" s="5"/>
      <c r="P331" s="5"/>
      <c r="Q331" s="5"/>
      <c r="R331" s="5"/>
      <c r="S331" s="5"/>
      <c r="T331" s="5"/>
      <c r="U331" s="5"/>
      <c r="V331" s="5"/>
      <c r="W331" s="5"/>
      <c r="X331" s="5"/>
      <c r="Y331" s="5"/>
      <c r="Z331" s="5"/>
    </row>
    <row r="332" ht="15.75" hidden="1" customHeight="1">
      <c r="A332" s="75">
        <v>45979.0</v>
      </c>
      <c r="B332" s="76">
        <f>44+4</f>
        <v>48</v>
      </c>
      <c r="C332" s="5">
        <f>23.23+0.1</f>
        <v>23.33</v>
      </c>
      <c r="D332" s="5"/>
      <c r="E332" s="5" t="s">
        <v>26</v>
      </c>
      <c r="F332" s="5" t="s">
        <v>26</v>
      </c>
      <c r="G332" s="5" t="s">
        <v>26</v>
      </c>
      <c r="H332" s="5"/>
      <c r="I332" s="5"/>
      <c r="J332" s="5"/>
      <c r="K332" s="69" t="s">
        <v>2507</v>
      </c>
      <c r="L332" s="5"/>
      <c r="M332" s="69" t="s">
        <v>2508</v>
      </c>
      <c r="N332" s="5"/>
      <c r="O332" s="5"/>
      <c r="P332" s="5"/>
      <c r="Q332" s="5"/>
      <c r="R332" s="5"/>
      <c r="S332" s="5"/>
      <c r="T332" s="5"/>
      <c r="U332" s="5"/>
      <c r="V332" s="5"/>
      <c r="W332" s="5"/>
      <c r="X332" s="5"/>
      <c r="Y332" s="5"/>
      <c r="Z332" s="5"/>
    </row>
    <row r="333" ht="15.75" hidden="1" customHeight="1">
      <c r="A333" s="75">
        <v>45980.0</v>
      </c>
      <c r="B333" s="76">
        <f>48+4</f>
        <v>52</v>
      </c>
      <c r="C333" s="5">
        <v>26.93</v>
      </c>
      <c r="D333" s="5"/>
      <c r="E333" s="5" t="s">
        <v>26</v>
      </c>
      <c r="F333" s="5" t="s">
        <v>26</v>
      </c>
      <c r="G333" s="5" t="s">
        <v>26</v>
      </c>
      <c r="H333" s="5"/>
      <c r="I333" s="5"/>
      <c r="J333" s="5"/>
      <c r="K333" s="69" t="s">
        <v>2507</v>
      </c>
      <c r="L333" s="5"/>
      <c r="M333" s="69" t="s">
        <v>2509</v>
      </c>
      <c r="N333" s="5"/>
      <c r="O333" s="5"/>
      <c r="P333" s="5"/>
      <c r="Q333" s="5"/>
      <c r="R333" s="5"/>
      <c r="S333" s="5"/>
      <c r="T333" s="5"/>
      <c r="U333" s="5"/>
      <c r="V333" s="5"/>
      <c r="W333" s="5"/>
      <c r="X333" s="5"/>
      <c r="Y333" s="5"/>
      <c r="Z333" s="5"/>
    </row>
    <row r="334" ht="15.75" hidden="1" customHeight="1">
      <c r="A334" s="75">
        <v>45981.0</v>
      </c>
      <c r="B334" s="76">
        <f>52+4</f>
        <v>56</v>
      </c>
      <c r="C334" s="5">
        <f>26.93+3</f>
        <v>29.93</v>
      </c>
      <c r="D334" s="5"/>
      <c r="E334" s="5" t="s">
        <v>26</v>
      </c>
      <c r="F334" s="5" t="s">
        <v>26</v>
      </c>
      <c r="G334" s="5" t="s">
        <v>26</v>
      </c>
      <c r="H334" s="5"/>
      <c r="I334" s="5"/>
      <c r="J334" s="5"/>
      <c r="K334" s="69" t="s">
        <v>2510</v>
      </c>
      <c r="L334" s="5"/>
      <c r="M334" s="69" t="s">
        <v>2511</v>
      </c>
      <c r="N334" s="5"/>
      <c r="O334" s="5"/>
      <c r="P334" s="5"/>
      <c r="Q334" s="5"/>
      <c r="R334" s="5"/>
      <c r="S334" s="5"/>
      <c r="T334" s="5"/>
      <c r="U334" s="5"/>
      <c r="V334" s="5"/>
      <c r="W334" s="5"/>
      <c r="X334" s="5"/>
      <c r="Y334" s="5"/>
      <c r="Z334" s="5"/>
    </row>
    <row r="335" ht="15.75" hidden="1" customHeight="1">
      <c r="A335" s="75">
        <v>45982.0</v>
      </c>
      <c r="B335" s="76">
        <f>56+4</f>
        <v>60</v>
      </c>
      <c r="C335" s="5">
        <f>29.93+6.1</f>
        <v>36.03</v>
      </c>
      <c r="D335" s="5"/>
      <c r="E335" s="5" t="s">
        <v>26</v>
      </c>
      <c r="F335" s="5" t="s">
        <v>26</v>
      </c>
      <c r="G335" s="5" t="s">
        <v>26</v>
      </c>
      <c r="H335" s="5"/>
      <c r="I335" s="5"/>
      <c r="J335" s="5"/>
      <c r="K335" s="69" t="s">
        <v>2512</v>
      </c>
      <c r="L335" s="5"/>
      <c r="M335" s="69" t="s">
        <v>2513</v>
      </c>
      <c r="N335" s="5"/>
      <c r="O335" s="5"/>
      <c r="P335" s="5"/>
      <c r="Q335" s="5"/>
      <c r="R335" s="5"/>
      <c r="S335" s="5"/>
      <c r="T335" s="5"/>
      <c r="U335" s="5"/>
      <c r="V335" s="5"/>
      <c r="W335" s="5"/>
      <c r="X335" s="5"/>
      <c r="Y335" s="5"/>
      <c r="Z335" s="5"/>
    </row>
    <row r="336" ht="15.75" hidden="1" customHeight="1">
      <c r="A336" s="75">
        <v>45985.0</v>
      </c>
      <c r="B336" s="76">
        <f>60+4</f>
        <v>64</v>
      </c>
      <c r="C336" s="5">
        <f>36.03+3.15</f>
        <v>39.18</v>
      </c>
      <c r="D336" s="5"/>
      <c r="E336" s="5" t="s">
        <v>26</v>
      </c>
      <c r="F336" s="5" t="s">
        <v>26</v>
      </c>
      <c r="G336" s="5" t="s">
        <v>26</v>
      </c>
      <c r="H336" s="5"/>
      <c r="I336" s="5"/>
      <c r="J336" s="5"/>
      <c r="K336" s="69" t="s">
        <v>2514</v>
      </c>
      <c r="L336" s="5"/>
      <c r="M336" s="69" t="s">
        <v>2515</v>
      </c>
      <c r="N336" s="5"/>
      <c r="O336" s="5"/>
      <c r="P336" s="5"/>
      <c r="Q336" s="5"/>
      <c r="R336" s="5"/>
      <c r="S336" s="5"/>
      <c r="T336" s="5"/>
      <c r="U336" s="5"/>
      <c r="V336" s="5"/>
      <c r="W336" s="5"/>
      <c r="X336" s="5"/>
      <c r="Y336" s="5"/>
      <c r="Z336" s="5"/>
    </row>
    <row r="337" ht="15.75" hidden="1" customHeight="1">
      <c r="A337" s="75">
        <v>45986.0</v>
      </c>
      <c r="B337" s="76">
        <f>64+4</f>
        <v>68</v>
      </c>
      <c r="C337" s="5">
        <v>42.19</v>
      </c>
      <c r="D337" s="5"/>
      <c r="E337" s="5" t="s">
        <v>26</v>
      </c>
      <c r="F337" s="5" t="s">
        <v>26</v>
      </c>
      <c r="G337" s="5" t="s">
        <v>26</v>
      </c>
      <c r="H337" s="5"/>
      <c r="I337" s="5"/>
      <c r="J337" s="5"/>
      <c r="K337" s="69" t="s">
        <v>2516</v>
      </c>
      <c r="L337" s="5"/>
      <c r="M337" s="69" t="s">
        <v>2517</v>
      </c>
      <c r="N337" s="5"/>
      <c r="O337" s="5"/>
      <c r="P337" s="5"/>
      <c r="Q337" s="5"/>
      <c r="R337" s="5"/>
      <c r="S337" s="5"/>
      <c r="T337" s="5"/>
      <c r="U337" s="5"/>
      <c r="V337" s="5"/>
      <c r="W337" s="5"/>
      <c r="X337" s="5"/>
      <c r="Y337" s="5"/>
      <c r="Z337" s="5"/>
    </row>
    <row r="338" ht="15.75" hidden="1" customHeight="1">
      <c r="A338" s="75">
        <v>45987.0</v>
      </c>
      <c r="B338" s="76">
        <f>68+4</f>
        <v>72</v>
      </c>
      <c r="C338" s="5">
        <f>42.19+0.2</f>
        <v>42.39</v>
      </c>
      <c r="D338" s="5"/>
      <c r="E338" s="5" t="s">
        <v>26</v>
      </c>
      <c r="F338" s="5" t="s">
        <v>26</v>
      </c>
      <c r="G338" s="5" t="s">
        <v>26</v>
      </c>
      <c r="H338" s="5"/>
      <c r="I338" s="5"/>
      <c r="J338" s="5"/>
      <c r="K338" s="69" t="s">
        <v>2518</v>
      </c>
      <c r="L338" s="5"/>
      <c r="M338" s="69" t="s">
        <v>2519</v>
      </c>
      <c r="N338" s="5"/>
      <c r="O338" s="5"/>
      <c r="P338" s="5"/>
      <c r="Q338" s="5"/>
      <c r="R338" s="5"/>
      <c r="S338" s="5"/>
      <c r="T338" s="5"/>
      <c r="U338" s="5"/>
      <c r="V338" s="5"/>
      <c r="W338" s="5"/>
      <c r="X338" s="5"/>
      <c r="Y338" s="5"/>
      <c r="Z338" s="5"/>
    </row>
    <row r="339" ht="15.75" hidden="1" customHeight="1">
      <c r="A339" s="75">
        <v>45988.0</v>
      </c>
      <c r="B339" s="76">
        <f>72+4</f>
        <v>76</v>
      </c>
      <c r="C339" s="5">
        <f>42.39+0.5</f>
        <v>42.89</v>
      </c>
      <c r="D339" s="5"/>
      <c r="E339" s="5" t="s">
        <v>26</v>
      </c>
      <c r="F339" s="5" t="s">
        <v>26</v>
      </c>
      <c r="G339" s="5" t="s">
        <v>26</v>
      </c>
      <c r="H339" s="5"/>
      <c r="I339" s="5"/>
      <c r="J339" s="5"/>
      <c r="K339" s="69" t="s">
        <v>2518</v>
      </c>
      <c r="L339" s="5"/>
      <c r="M339" s="69" t="s">
        <v>2520</v>
      </c>
      <c r="N339" s="5"/>
      <c r="O339" s="5"/>
      <c r="P339" s="5"/>
      <c r="Q339" s="5"/>
      <c r="R339" s="5"/>
      <c r="S339" s="5"/>
      <c r="T339" s="5"/>
      <c r="U339" s="5"/>
      <c r="V339" s="5"/>
      <c r="W339" s="5"/>
      <c r="X339" s="5"/>
      <c r="Y339" s="5"/>
      <c r="Z339" s="5"/>
    </row>
    <row r="340" ht="15.75" customHeight="1">
      <c r="A340" s="75">
        <v>45989.0</v>
      </c>
      <c r="B340" s="76">
        <f>76+4</f>
        <v>80</v>
      </c>
      <c r="C340" s="5">
        <f>45.74</f>
        <v>45.74</v>
      </c>
      <c r="D340" s="5"/>
      <c r="E340" s="5" t="s">
        <v>26</v>
      </c>
      <c r="F340" s="5" t="s">
        <v>26</v>
      </c>
      <c r="G340" s="5" t="s">
        <v>26</v>
      </c>
      <c r="H340" s="5"/>
      <c r="I340" s="5"/>
      <c r="J340" s="5"/>
      <c r="K340" s="69" t="s">
        <v>2518</v>
      </c>
      <c r="L340" s="5"/>
      <c r="M340" s="69" t="s">
        <v>2521</v>
      </c>
      <c r="N340" s="5"/>
      <c r="O340" s="5"/>
      <c r="P340" s="5"/>
      <c r="Q340" s="5"/>
      <c r="R340" s="5"/>
      <c r="S340" s="5"/>
      <c r="T340" s="5"/>
      <c r="U340" s="5"/>
      <c r="V340" s="5"/>
      <c r="W340" s="5"/>
      <c r="X340" s="5"/>
      <c r="Y340" s="5"/>
      <c r="Z340" s="5"/>
    </row>
    <row r="341" ht="15.75" hidden="1" customHeight="1">
      <c r="A341" s="75">
        <v>45992.0</v>
      </c>
      <c r="B341" s="76">
        <f>4</f>
        <v>4</v>
      </c>
      <c r="C341" s="5">
        <f>0</f>
        <v>0</v>
      </c>
      <c r="D341" s="5"/>
      <c r="E341" s="5"/>
      <c r="F341" s="5" t="s">
        <v>26</v>
      </c>
      <c r="G341" s="5" t="s">
        <v>26</v>
      </c>
      <c r="H341" s="5"/>
      <c r="I341" s="5"/>
      <c r="J341" s="5"/>
      <c r="K341" s="69" t="s">
        <v>2522</v>
      </c>
      <c r="L341" s="5"/>
      <c r="M341" s="69" t="s">
        <v>2523</v>
      </c>
      <c r="N341" s="5"/>
      <c r="P341" s="5"/>
      <c r="Q341" s="5"/>
      <c r="R341" s="5"/>
      <c r="S341" s="5"/>
      <c r="T341" s="5"/>
      <c r="U341" s="5"/>
      <c r="V341" s="5"/>
      <c r="W341" s="5"/>
      <c r="X341" s="5"/>
      <c r="Y341" s="5"/>
      <c r="Z341" s="5"/>
    </row>
    <row r="342" ht="15.75" hidden="1" customHeight="1">
      <c r="A342" s="75">
        <v>45993.0</v>
      </c>
      <c r="B342" s="76">
        <f>4+4</f>
        <v>8</v>
      </c>
      <c r="C342" s="5">
        <f>3.45</f>
        <v>3.45</v>
      </c>
      <c r="D342" s="5"/>
      <c r="E342" s="5" t="s">
        <v>26</v>
      </c>
      <c r="F342" s="5" t="s">
        <v>26</v>
      </c>
      <c r="G342" s="5" t="s">
        <v>26</v>
      </c>
      <c r="H342" s="5"/>
      <c r="I342" s="5"/>
      <c r="J342" s="5"/>
      <c r="K342" s="69" t="s">
        <v>2522</v>
      </c>
      <c r="L342" s="5"/>
      <c r="M342" s="69" t="s">
        <v>2524</v>
      </c>
      <c r="N342" s="5"/>
      <c r="O342" s="5" t="s">
        <v>2525</v>
      </c>
      <c r="P342" s="5"/>
      <c r="Q342" s="5"/>
      <c r="R342" s="5"/>
      <c r="S342" s="5"/>
      <c r="T342" s="5"/>
      <c r="U342" s="5"/>
      <c r="V342" s="5"/>
      <c r="W342" s="5"/>
      <c r="X342" s="5"/>
      <c r="Y342" s="5"/>
      <c r="Z342" s="5"/>
    </row>
    <row r="343" ht="15.75" hidden="1" customHeight="1">
      <c r="A343" s="75">
        <v>45994.0</v>
      </c>
      <c r="B343" s="76">
        <f>8+4</f>
        <v>12</v>
      </c>
      <c r="C343" s="5">
        <f>3.45+3.55</f>
        <v>7</v>
      </c>
      <c r="D343" s="5"/>
      <c r="E343" s="5" t="s">
        <v>26</v>
      </c>
      <c r="F343" s="5" t="s">
        <v>26</v>
      </c>
      <c r="G343" s="5" t="s">
        <v>26</v>
      </c>
      <c r="H343" s="5"/>
      <c r="I343" s="5"/>
      <c r="J343" s="5"/>
      <c r="K343" s="69" t="s">
        <v>2526</v>
      </c>
      <c r="L343" s="5"/>
      <c r="M343" s="69" t="s">
        <v>2527</v>
      </c>
      <c r="N343" s="5"/>
      <c r="O343" s="5"/>
      <c r="P343" s="5"/>
      <c r="Q343" s="5"/>
      <c r="R343" s="5"/>
      <c r="S343" s="5"/>
      <c r="T343" s="5"/>
      <c r="U343" s="5"/>
      <c r="V343" s="5"/>
      <c r="W343" s="5"/>
      <c r="X343" s="5"/>
      <c r="Y343" s="5"/>
      <c r="Z343" s="5"/>
    </row>
    <row r="344" ht="15.75" hidden="1" customHeight="1">
      <c r="A344" s="75">
        <v>45995.0</v>
      </c>
      <c r="B344" s="76">
        <f>12+4</f>
        <v>16</v>
      </c>
      <c r="C344" s="5">
        <f>7+3.1</f>
        <v>10.1</v>
      </c>
      <c r="D344" s="5"/>
      <c r="E344" s="5" t="s">
        <v>26</v>
      </c>
      <c r="F344" s="5" t="s">
        <v>26</v>
      </c>
      <c r="G344" s="5" t="s">
        <v>26</v>
      </c>
      <c r="H344" s="5"/>
      <c r="I344" s="5"/>
      <c r="J344" s="5"/>
      <c r="K344" s="69" t="s">
        <v>2526</v>
      </c>
      <c r="L344" s="5"/>
      <c r="M344" s="69" t="s">
        <v>2528</v>
      </c>
      <c r="N344" s="5"/>
      <c r="O344" s="5"/>
      <c r="P344" s="5"/>
      <c r="Q344" s="5"/>
      <c r="R344" s="5"/>
      <c r="S344" s="5"/>
      <c r="T344" s="5"/>
      <c r="U344" s="5"/>
      <c r="V344" s="5"/>
      <c r="W344" s="5"/>
      <c r="X344" s="5"/>
      <c r="Y344" s="5"/>
      <c r="Z344" s="5"/>
    </row>
    <row r="345" ht="15.75" hidden="1" customHeight="1">
      <c r="A345" s="75">
        <v>45996.0</v>
      </c>
      <c r="B345" s="76">
        <f>16+4</f>
        <v>20</v>
      </c>
      <c r="C345" s="5">
        <f>10.1+1.48</f>
        <v>11.58</v>
      </c>
      <c r="D345" s="5"/>
      <c r="E345" s="5" t="s">
        <v>26</v>
      </c>
      <c r="F345" s="5" t="s">
        <v>26</v>
      </c>
      <c r="G345" s="5" t="s">
        <v>26</v>
      </c>
      <c r="H345" s="5"/>
      <c r="I345" s="5"/>
      <c r="J345" s="5"/>
      <c r="K345" s="69" t="s">
        <v>2529</v>
      </c>
      <c r="L345" s="5"/>
      <c r="M345" s="69" t="s">
        <v>2530</v>
      </c>
      <c r="N345" s="5"/>
      <c r="O345" s="5"/>
      <c r="P345" s="5"/>
      <c r="Q345" s="5"/>
      <c r="R345" s="5"/>
      <c r="S345" s="5"/>
      <c r="T345" s="5"/>
      <c r="U345" s="5"/>
      <c r="V345" s="5"/>
      <c r="W345" s="5"/>
      <c r="X345" s="5"/>
      <c r="Y345" s="5"/>
      <c r="Z345" s="5"/>
    </row>
    <row r="346" ht="15.75" hidden="1" customHeight="1">
      <c r="A346" s="75">
        <v>45997.0</v>
      </c>
      <c r="B346" s="76">
        <f>20</f>
        <v>20</v>
      </c>
      <c r="C346" s="5">
        <f>11.58+1.45</f>
        <v>13.03</v>
      </c>
      <c r="D346" s="5"/>
      <c r="E346" s="5" t="s">
        <v>26</v>
      </c>
      <c r="F346" s="5" t="s">
        <v>26</v>
      </c>
      <c r="G346" s="5" t="s">
        <v>26</v>
      </c>
      <c r="H346" s="5"/>
      <c r="I346" s="5"/>
      <c r="J346" s="5"/>
      <c r="K346" s="69" t="s">
        <v>2529</v>
      </c>
      <c r="L346" s="5"/>
      <c r="M346" s="69" t="s">
        <v>2531</v>
      </c>
      <c r="N346" s="5"/>
      <c r="O346" s="5"/>
      <c r="P346" s="5"/>
      <c r="Q346" s="5"/>
      <c r="R346" s="5"/>
      <c r="S346" s="5"/>
      <c r="T346" s="5"/>
      <c r="U346" s="5"/>
      <c r="V346" s="5"/>
      <c r="W346" s="5"/>
      <c r="X346" s="5"/>
      <c r="Y346" s="5"/>
      <c r="Z346" s="5"/>
    </row>
    <row r="347" ht="15.75" hidden="1" customHeight="1">
      <c r="A347" s="75">
        <v>45999.0</v>
      </c>
      <c r="B347" s="76">
        <f>24</f>
        <v>24</v>
      </c>
      <c r="C347" s="5">
        <f>13.03+0.2</f>
        <v>13.23</v>
      </c>
      <c r="D347" s="5"/>
      <c r="E347" s="5" t="s">
        <v>26</v>
      </c>
      <c r="F347" s="5" t="s">
        <v>26</v>
      </c>
      <c r="G347" s="5" t="s">
        <v>26</v>
      </c>
      <c r="H347" s="5"/>
      <c r="I347" s="5"/>
      <c r="J347" s="5"/>
      <c r="K347" s="69" t="s">
        <v>2532</v>
      </c>
      <c r="L347" s="5"/>
      <c r="M347" s="69" t="s">
        <v>2533</v>
      </c>
      <c r="N347" s="5"/>
      <c r="O347" s="5"/>
      <c r="P347" s="5"/>
      <c r="Q347" s="5"/>
      <c r="R347" s="5"/>
      <c r="S347" s="5"/>
      <c r="T347" s="5"/>
      <c r="U347" s="5"/>
      <c r="V347" s="5"/>
      <c r="W347" s="5"/>
      <c r="X347" s="5"/>
      <c r="Y347" s="5"/>
      <c r="Z347" s="5"/>
    </row>
    <row r="348" ht="15.75" hidden="1" customHeight="1">
      <c r="A348" s="75">
        <v>46000.0</v>
      </c>
      <c r="B348" s="76">
        <f>24+4</f>
        <v>28</v>
      </c>
      <c r="C348" s="5">
        <f>13.23+0.55</f>
        <v>13.78</v>
      </c>
      <c r="D348" s="5"/>
      <c r="E348" s="5" t="s">
        <v>26</v>
      </c>
      <c r="F348" s="5" t="s">
        <v>26</v>
      </c>
      <c r="G348" s="5" t="s">
        <v>26</v>
      </c>
      <c r="H348" s="5"/>
      <c r="I348" s="5"/>
      <c r="J348" s="5"/>
      <c r="K348" s="69" t="s">
        <v>2534</v>
      </c>
      <c r="L348" s="5"/>
      <c r="M348" s="69" t="s">
        <v>2535</v>
      </c>
      <c r="N348" s="5"/>
      <c r="O348" s="5"/>
      <c r="P348" s="5"/>
      <c r="Q348" s="5"/>
      <c r="R348" s="5"/>
      <c r="S348" s="5"/>
      <c r="T348" s="5"/>
      <c r="U348" s="5"/>
      <c r="V348" s="5"/>
      <c r="W348" s="5"/>
      <c r="X348" s="5"/>
      <c r="Y348" s="5"/>
      <c r="Z348" s="5"/>
    </row>
    <row r="349" ht="15.75" hidden="1" customHeight="1">
      <c r="A349" s="75">
        <v>46001.0</v>
      </c>
      <c r="B349" s="76">
        <f>28+4</f>
        <v>32</v>
      </c>
      <c r="C349" s="5">
        <f>13.78+1.3</f>
        <v>15.08</v>
      </c>
      <c r="D349" s="5"/>
      <c r="E349" s="5" t="s">
        <v>26</v>
      </c>
      <c r="F349" s="5" t="s">
        <v>26</v>
      </c>
      <c r="G349" s="5" t="s">
        <v>26</v>
      </c>
      <c r="H349" s="5"/>
      <c r="I349" s="5"/>
      <c r="J349" s="5"/>
      <c r="K349" s="69" t="s">
        <v>2536</v>
      </c>
      <c r="L349" s="5"/>
      <c r="M349" s="69" t="s">
        <v>2537</v>
      </c>
      <c r="N349" s="5"/>
      <c r="O349" s="5"/>
      <c r="P349" s="5"/>
      <c r="Q349" s="5"/>
      <c r="R349" s="5"/>
      <c r="S349" s="5"/>
      <c r="T349" s="5"/>
      <c r="U349" s="5"/>
      <c r="V349" s="5"/>
      <c r="W349" s="5"/>
      <c r="X349" s="5"/>
      <c r="Y349" s="5"/>
      <c r="Z349" s="5"/>
    </row>
    <row r="350" ht="15.75" hidden="1" customHeight="1">
      <c r="A350" s="75">
        <v>46002.0</v>
      </c>
      <c r="B350" s="76">
        <f>32+4</f>
        <v>36</v>
      </c>
      <c r="C350" s="5">
        <f>15.08+5.35</f>
        <v>20.43</v>
      </c>
      <c r="D350" s="5"/>
      <c r="E350" s="5" t="s">
        <v>26</v>
      </c>
      <c r="F350" s="5" t="s">
        <v>26</v>
      </c>
      <c r="G350" s="5" t="s">
        <v>26</v>
      </c>
      <c r="H350" s="5"/>
      <c r="I350" s="5"/>
      <c r="J350" s="5"/>
      <c r="K350" s="69" t="s">
        <v>2536</v>
      </c>
      <c r="L350" s="5"/>
      <c r="M350" s="69" t="s">
        <v>2538</v>
      </c>
      <c r="N350" s="5"/>
      <c r="O350" s="5"/>
      <c r="P350" s="5"/>
      <c r="Q350" s="5"/>
      <c r="R350" s="5"/>
      <c r="S350" s="5"/>
      <c r="T350" s="5"/>
      <c r="U350" s="5"/>
      <c r="V350" s="5"/>
      <c r="W350" s="5"/>
      <c r="X350" s="5"/>
      <c r="Y350" s="5"/>
      <c r="Z350" s="5"/>
    </row>
    <row r="351" ht="15.75" hidden="1" customHeight="1">
      <c r="A351" s="75">
        <v>46003.0</v>
      </c>
      <c r="B351" s="76">
        <f>36+4</f>
        <v>40</v>
      </c>
      <c r="C351" s="5">
        <f>26.66</f>
        <v>26.66</v>
      </c>
      <c r="D351" s="5"/>
      <c r="E351" s="5" t="s">
        <v>26</v>
      </c>
      <c r="F351" s="5" t="s">
        <v>26</v>
      </c>
      <c r="G351" s="5" t="s">
        <v>26</v>
      </c>
      <c r="H351" s="5"/>
      <c r="I351" s="5"/>
      <c r="J351" s="5"/>
      <c r="K351" s="69" t="s">
        <v>2539</v>
      </c>
      <c r="L351" s="5"/>
      <c r="M351" s="69" t="s">
        <v>2540</v>
      </c>
      <c r="N351" s="5"/>
      <c r="O351" s="5"/>
      <c r="P351" s="5"/>
      <c r="Q351" s="5"/>
      <c r="R351" s="5"/>
      <c r="S351" s="5"/>
      <c r="T351" s="5"/>
      <c r="U351" s="5"/>
      <c r="V351" s="5"/>
      <c r="W351" s="5"/>
      <c r="X351" s="5"/>
      <c r="Y351" s="5"/>
      <c r="Z351" s="5"/>
    </row>
    <row r="352" ht="15.75" hidden="1" customHeight="1">
      <c r="A352" s="75">
        <v>46006.0</v>
      </c>
      <c r="B352" s="76">
        <f>40+4</f>
        <v>44</v>
      </c>
      <c r="C352" s="5">
        <f>26.66+4.18</f>
        <v>30.84</v>
      </c>
      <c r="D352" s="5"/>
      <c r="E352" s="5" t="s">
        <v>26</v>
      </c>
      <c r="F352" s="5" t="s">
        <v>26</v>
      </c>
      <c r="G352" s="5" t="s">
        <v>26</v>
      </c>
      <c r="H352" s="5"/>
      <c r="I352" s="5"/>
      <c r="J352" s="5"/>
      <c r="K352" s="69" t="s">
        <v>2539</v>
      </c>
      <c r="L352" s="5"/>
      <c r="M352" s="11" t="s">
        <v>2541</v>
      </c>
      <c r="N352" s="5"/>
      <c r="O352" s="5"/>
      <c r="P352" s="5"/>
      <c r="Q352" s="5"/>
      <c r="R352" s="5"/>
      <c r="S352" s="5"/>
      <c r="T352" s="5"/>
      <c r="U352" s="5"/>
      <c r="V352" s="5"/>
      <c r="W352" s="5"/>
      <c r="X352" s="5"/>
      <c r="Y352" s="5"/>
      <c r="Z352" s="5"/>
    </row>
    <row r="353" ht="15.75" hidden="1" customHeight="1">
      <c r="A353" s="75">
        <v>46007.0</v>
      </c>
      <c r="B353" s="76">
        <f>44+4</f>
        <v>48</v>
      </c>
      <c r="C353" s="5">
        <v>35.34</v>
      </c>
      <c r="D353" s="5"/>
      <c r="E353" s="5" t="s">
        <v>26</v>
      </c>
      <c r="F353" s="5" t="s">
        <v>26</v>
      </c>
      <c r="G353" s="5" t="s">
        <v>26</v>
      </c>
      <c r="H353" s="5"/>
      <c r="I353" s="5"/>
      <c r="J353" s="5"/>
      <c r="K353" s="69" t="s">
        <v>2542</v>
      </c>
      <c r="L353" s="5"/>
      <c r="M353" s="11" t="s">
        <v>2543</v>
      </c>
      <c r="N353" s="5"/>
      <c r="O353" s="5" t="s">
        <v>2544</v>
      </c>
      <c r="P353" s="5"/>
      <c r="Q353" s="5"/>
      <c r="R353" s="5"/>
      <c r="S353" s="5"/>
      <c r="T353" s="5"/>
      <c r="U353" s="5"/>
      <c r="V353" s="5"/>
      <c r="W353" s="5"/>
      <c r="X353" s="5"/>
      <c r="Y353" s="5"/>
      <c r="Z353" s="5"/>
    </row>
    <row r="354" ht="15.75" hidden="1" customHeight="1">
      <c r="A354" s="75">
        <v>46008.0</v>
      </c>
      <c r="B354" s="76">
        <f>48+4</f>
        <v>52</v>
      </c>
      <c r="C354" s="5">
        <f>35.34+0.2</f>
        <v>35.54</v>
      </c>
      <c r="D354" s="5"/>
      <c r="E354" s="5" t="s">
        <v>26</v>
      </c>
      <c r="F354" s="5" t="s">
        <v>26</v>
      </c>
      <c r="G354" s="5" t="s">
        <v>26</v>
      </c>
      <c r="H354" s="5"/>
      <c r="I354" s="5"/>
      <c r="J354" s="5"/>
      <c r="K354" s="69" t="s">
        <v>2545</v>
      </c>
      <c r="L354" s="5"/>
      <c r="M354" s="11" t="s">
        <v>2546</v>
      </c>
      <c r="N354" s="5"/>
      <c r="O354" s="5"/>
      <c r="P354" s="5"/>
      <c r="Q354" s="5"/>
      <c r="R354" s="5"/>
      <c r="S354" s="5"/>
      <c r="T354" s="5"/>
      <c r="U354" s="5"/>
      <c r="V354" s="5"/>
      <c r="W354" s="5"/>
      <c r="X354" s="5"/>
      <c r="Y354" s="5"/>
      <c r="Z354" s="5"/>
    </row>
    <row r="355" ht="15.75" hidden="1" customHeight="1">
      <c r="A355" s="75">
        <v>46009.0</v>
      </c>
      <c r="B355" s="76">
        <f>52+4</f>
        <v>56</v>
      </c>
      <c r="C355" s="5">
        <v>36.56</v>
      </c>
      <c r="D355" s="5"/>
      <c r="E355" s="5" t="s">
        <v>26</v>
      </c>
      <c r="F355" s="5" t="s">
        <v>26</v>
      </c>
      <c r="G355" s="5" t="s">
        <v>26</v>
      </c>
      <c r="H355" s="5"/>
      <c r="I355" s="5"/>
      <c r="J355" s="5"/>
      <c r="K355" s="69" t="s">
        <v>2547</v>
      </c>
      <c r="L355" s="5"/>
      <c r="M355" s="11" t="s">
        <v>2548</v>
      </c>
      <c r="N355" s="5"/>
      <c r="O355" s="5"/>
      <c r="P355" s="5"/>
      <c r="Q355" s="5"/>
      <c r="R355" s="5"/>
      <c r="S355" s="5"/>
      <c r="T355" s="5"/>
      <c r="U355" s="5"/>
      <c r="V355" s="5"/>
      <c r="W355" s="5"/>
      <c r="X355" s="5"/>
      <c r="Y355" s="5"/>
      <c r="Z355" s="5"/>
    </row>
    <row r="356" ht="15.75" hidden="1" customHeight="1">
      <c r="A356" s="75">
        <v>46010.0</v>
      </c>
      <c r="B356" s="76">
        <f>56+4</f>
        <v>60</v>
      </c>
      <c r="C356" s="5">
        <f t="shared" ref="C356:C357" si="20">36.56</f>
        <v>36.56</v>
      </c>
      <c r="D356" s="5"/>
      <c r="E356" s="5"/>
      <c r="F356" s="5" t="s">
        <v>26</v>
      </c>
      <c r="G356" s="5"/>
      <c r="H356" s="5"/>
      <c r="I356" s="5"/>
      <c r="J356" s="5"/>
      <c r="K356" s="69"/>
      <c r="L356" s="5"/>
      <c r="M356" s="69"/>
      <c r="N356" s="5"/>
      <c r="O356" s="5" t="s">
        <v>834</v>
      </c>
      <c r="P356" s="5"/>
      <c r="Q356" s="5"/>
      <c r="R356" s="5"/>
      <c r="S356" s="5"/>
      <c r="T356" s="5"/>
      <c r="U356" s="5"/>
      <c r="V356" s="5"/>
      <c r="W356" s="5"/>
      <c r="X356" s="5"/>
      <c r="Y356" s="5"/>
      <c r="Z356" s="5"/>
    </row>
    <row r="357" ht="15.75" hidden="1" customHeight="1">
      <c r="A357" s="75">
        <v>46013.0</v>
      </c>
      <c r="B357" s="76">
        <f>60+4</f>
        <v>64</v>
      </c>
      <c r="C357" s="5">
        <f t="shared" si="20"/>
        <v>36.56</v>
      </c>
      <c r="D357" s="5"/>
      <c r="E357" s="5"/>
      <c r="F357" s="5"/>
      <c r="G357" s="5"/>
      <c r="H357" s="5"/>
      <c r="I357" s="5"/>
      <c r="J357" s="5"/>
      <c r="K357" s="69"/>
      <c r="L357" s="5"/>
      <c r="M357" s="69"/>
      <c r="N357" s="5"/>
      <c r="O357" s="5" t="s">
        <v>834</v>
      </c>
      <c r="P357" s="5"/>
      <c r="Q357" s="5"/>
      <c r="R357" s="5"/>
      <c r="S357" s="5"/>
      <c r="T357" s="5"/>
      <c r="U357" s="5"/>
      <c r="V357" s="5"/>
      <c r="W357" s="5"/>
      <c r="X357" s="5"/>
      <c r="Y357" s="5"/>
      <c r="Z357" s="5"/>
    </row>
    <row r="358" ht="15.75" hidden="1" customHeight="1">
      <c r="A358" s="75">
        <v>46014.0</v>
      </c>
      <c r="B358" s="76">
        <f>64+4</f>
        <v>68</v>
      </c>
      <c r="C358" s="5">
        <f>36.56+0.15</f>
        <v>36.71</v>
      </c>
      <c r="D358" s="5"/>
      <c r="E358" s="5" t="s">
        <v>26</v>
      </c>
      <c r="F358" s="5" t="s">
        <v>26</v>
      </c>
      <c r="G358" s="5" t="s">
        <v>26</v>
      </c>
      <c r="H358" s="5"/>
      <c r="I358" s="5"/>
      <c r="J358" s="5"/>
      <c r="K358" s="69" t="s">
        <v>2549</v>
      </c>
      <c r="L358" s="5"/>
      <c r="M358" s="11" t="s">
        <v>2550</v>
      </c>
      <c r="N358" s="5"/>
      <c r="O358" s="5"/>
      <c r="P358" s="5"/>
      <c r="Q358" s="5"/>
      <c r="R358" s="5"/>
      <c r="S358" s="5"/>
      <c r="T358" s="5"/>
      <c r="U358" s="5"/>
      <c r="V358" s="5"/>
      <c r="W358" s="5"/>
      <c r="X358" s="5"/>
      <c r="Y358" s="5"/>
      <c r="Z358" s="5"/>
    </row>
    <row r="359" ht="15.75" hidden="1" customHeight="1">
      <c r="A359" s="75">
        <v>46015.0</v>
      </c>
      <c r="B359" s="76">
        <f>68+4</f>
        <v>72</v>
      </c>
      <c r="C359" s="5">
        <v>40.16</v>
      </c>
      <c r="D359" s="5"/>
      <c r="E359" s="5" t="s">
        <v>26</v>
      </c>
      <c r="F359" s="5" t="s">
        <v>26</v>
      </c>
      <c r="G359" s="5" t="s">
        <v>26</v>
      </c>
      <c r="H359" s="5"/>
      <c r="I359" s="5"/>
      <c r="J359" s="5"/>
      <c r="K359" s="69" t="s">
        <v>2549</v>
      </c>
      <c r="L359" s="5"/>
      <c r="M359" s="11" t="s">
        <v>2551</v>
      </c>
      <c r="N359" s="5"/>
      <c r="O359" s="5"/>
      <c r="P359" s="5"/>
      <c r="Q359" s="5"/>
      <c r="R359" s="5"/>
      <c r="S359" s="5"/>
      <c r="T359" s="5"/>
      <c r="U359" s="5"/>
      <c r="V359" s="5"/>
      <c r="W359" s="5"/>
      <c r="X359" s="5"/>
      <c r="Y359" s="5"/>
      <c r="Z359" s="5"/>
    </row>
    <row r="360" ht="15.75" hidden="1" customHeight="1">
      <c r="A360" s="75">
        <v>46017.0</v>
      </c>
      <c r="B360" s="76">
        <f>72+4</f>
        <v>76</v>
      </c>
      <c r="C360" s="5">
        <f>40.16+1.2</f>
        <v>41.36</v>
      </c>
      <c r="D360" s="5"/>
      <c r="E360" s="5" t="s">
        <v>26</v>
      </c>
      <c r="F360" s="5" t="s">
        <v>26</v>
      </c>
      <c r="G360" s="5" t="s">
        <v>26</v>
      </c>
      <c r="H360" s="5"/>
      <c r="I360" s="5"/>
      <c r="J360" s="5"/>
      <c r="K360" s="69" t="s">
        <v>2552</v>
      </c>
      <c r="L360" s="5"/>
      <c r="M360" s="11" t="s">
        <v>2553</v>
      </c>
      <c r="N360" s="5"/>
      <c r="O360" s="5"/>
      <c r="P360" s="5"/>
      <c r="Q360" s="5"/>
      <c r="R360" s="5"/>
      <c r="S360" s="5"/>
      <c r="T360" s="5"/>
      <c r="U360" s="5"/>
      <c r="V360" s="5"/>
      <c r="W360" s="5"/>
      <c r="X360" s="5"/>
      <c r="Y360" s="5"/>
      <c r="Z360" s="5"/>
    </row>
    <row r="361" ht="15.75" hidden="1" customHeight="1">
      <c r="A361" s="75">
        <v>46018.0</v>
      </c>
      <c r="B361" s="76">
        <f>76</f>
        <v>76</v>
      </c>
      <c r="C361" s="5">
        <f>41.36+7.6</f>
        <v>48.96</v>
      </c>
      <c r="D361" s="5"/>
      <c r="E361" s="5" t="s">
        <v>26</v>
      </c>
      <c r="F361" s="5" t="s">
        <v>26</v>
      </c>
      <c r="G361" s="5" t="s">
        <v>26</v>
      </c>
      <c r="H361" s="5"/>
      <c r="I361" s="5"/>
      <c r="J361" s="5"/>
      <c r="K361" s="69" t="s">
        <v>2552</v>
      </c>
      <c r="L361" s="5"/>
      <c r="M361" s="11" t="s">
        <v>2554</v>
      </c>
      <c r="N361" s="5"/>
      <c r="O361" s="5"/>
      <c r="P361" s="5"/>
      <c r="Q361" s="5"/>
      <c r="R361" s="5"/>
      <c r="S361" s="5"/>
      <c r="T361" s="5"/>
      <c r="U361" s="5"/>
      <c r="V361" s="5"/>
      <c r="W361" s="5"/>
      <c r="X361" s="5"/>
      <c r="Y361" s="5"/>
      <c r="Z361" s="5"/>
    </row>
    <row r="362" ht="15.75" hidden="1" customHeight="1">
      <c r="A362" s="75">
        <v>46020.0</v>
      </c>
      <c r="B362" s="76">
        <f>76+4</f>
        <v>80</v>
      </c>
      <c r="C362" s="5">
        <f>48.96+3.29</f>
        <v>52.25</v>
      </c>
      <c r="D362" s="5"/>
      <c r="E362" s="5" t="s">
        <v>26</v>
      </c>
      <c r="F362" s="5" t="s">
        <v>26</v>
      </c>
      <c r="G362" s="5" t="s">
        <v>26</v>
      </c>
      <c r="H362" s="5"/>
      <c r="I362" s="5"/>
      <c r="J362" s="5"/>
      <c r="K362" s="69" t="s">
        <v>2555</v>
      </c>
      <c r="L362" s="5"/>
      <c r="M362" s="11" t="s">
        <v>2556</v>
      </c>
      <c r="N362" s="5"/>
      <c r="O362" s="5"/>
      <c r="P362" s="5"/>
      <c r="Q362" s="5"/>
      <c r="R362" s="5"/>
      <c r="S362" s="5"/>
      <c r="T362" s="5"/>
      <c r="U362" s="5"/>
      <c r="V362" s="5"/>
      <c r="W362" s="5"/>
      <c r="X362" s="5"/>
      <c r="Y362" s="5"/>
      <c r="Z362" s="5"/>
    </row>
    <row r="363" ht="15.75" hidden="1" customHeight="1">
      <c r="A363" s="75">
        <v>46021.0</v>
      </c>
      <c r="B363" s="76">
        <v>80.0</v>
      </c>
      <c r="C363" s="5">
        <f>52.25+2.15</f>
        <v>54.4</v>
      </c>
      <c r="D363" s="5"/>
      <c r="E363" s="5" t="s">
        <v>26</v>
      </c>
      <c r="F363" s="5" t="s">
        <v>26</v>
      </c>
      <c r="G363" s="5" t="s">
        <v>26</v>
      </c>
      <c r="H363" s="5"/>
      <c r="I363" s="5"/>
      <c r="J363" s="5"/>
      <c r="K363" s="69" t="s">
        <v>2557</v>
      </c>
      <c r="L363" s="5"/>
      <c r="M363" s="11" t="s">
        <v>2558</v>
      </c>
      <c r="N363" s="5"/>
      <c r="O363" s="5"/>
      <c r="P363" s="5"/>
      <c r="Q363" s="5"/>
      <c r="R363" s="5"/>
      <c r="S363" s="5"/>
      <c r="T363" s="5"/>
      <c r="U363" s="5"/>
      <c r="V363" s="5"/>
      <c r="W363" s="5"/>
      <c r="X363" s="5"/>
      <c r="Y363" s="5"/>
      <c r="Z363" s="5"/>
    </row>
    <row r="364" ht="15.75" customHeight="1">
      <c r="A364" s="75">
        <v>46022.0</v>
      </c>
      <c r="B364" s="76">
        <f>80</f>
        <v>80</v>
      </c>
      <c r="C364" s="5">
        <f>54.4+7.81</f>
        <v>62.21</v>
      </c>
      <c r="D364" s="5" t="s">
        <v>26</v>
      </c>
      <c r="E364" s="5" t="s">
        <v>26</v>
      </c>
      <c r="F364" s="5" t="s">
        <v>26</v>
      </c>
      <c r="G364" s="5" t="s">
        <v>26</v>
      </c>
      <c r="H364" s="5"/>
      <c r="I364" s="5"/>
      <c r="J364" s="5"/>
      <c r="K364" s="69" t="s">
        <v>2559</v>
      </c>
      <c r="L364" s="5"/>
      <c r="M364" s="11" t="s">
        <v>2560</v>
      </c>
      <c r="N364" s="5"/>
      <c r="O364" s="5"/>
      <c r="P364" s="5"/>
      <c r="Q364" s="5"/>
      <c r="R364" s="5"/>
      <c r="S364" s="5"/>
      <c r="T364" s="5"/>
      <c r="U364" s="5"/>
      <c r="V364" s="5"/>
      <c r="W364" s="5"/>
      <c r="X364" s="5"/>
      <c r="Y364" s="5"/>
      <c r="Z364" s="5"/>
    </row>
    <row r="365" ht="15.75" customHeight="1">
      <c r="A365" s="75">
        <v>46024.0</v>
      </c>
      <c r="B365" s="76">
        <v>4.0</v>
      </c>
      <c r="C365" s="5">
        <f>3.81</f>
        <v>3.81</v>
      </c>
      <c r="D365" s="5" t="s">
        <v>26</v>
      </c>
      <c r="E365" s="5" t="s">
        <v>26</v>
      </c>
      <c r="F365" s="5" t="s">
        <v>26</v>
      </c>
      <c r="G365" s="5" t="s">
        <v>26</v>
      </c>
      <c r="H365" s="5" t="s">
        <v>155</v>
      </c>
      <c r="I365" s="5"/>
      <c r="J365" s="5"/>
      <c r="K365" s="69" t="s">
        <v>2561</v>
      </c>
      <c r="L365" s="5"/>
      <c r="M365" s="11" t="s">
        <v>2562</v>
      </c>
      <c r="N365" s="5"/>
      <c r="O365" s="5"/>
      <c r="P365" s="5"/>
      <c r="Q365" s="5"/>
      <c r="R365" s="5"/>
      <c r="S365" s="5"/>
      <c r="T365" s="5"/>
      <c r="U365" s="5"/>
      <c r="V365" s="5"/>
      <c r="W365" s="5"/>
      <c r="X365" s="5"/>
      <c r="Y365" s="5"/>
      <c r="Z365" s="5"/>
    </row>
    <row r="366" ht="15.75" customHeight="1">
      <c r="A366" s="75">
        <v>46027.0</v>
      </c>
      <c r="B366" s="76">
        <f>4+4</f>
        <v>8</v>
      </c>
      <c r="C366" s="5">
        <f>3.81+3.65</f>
        <v>7.46</v>
      </c>
      <c r="D366" s="5" t="s">
        <v>26</v>
      </c>
      <c r="E366" s="5" t="s">
        <v>26</v>
      </c>
      <c r="F366" s="5" t="s">
        <v>26</v>
      </c>
      <c r="G366" s="5" t="s">
        <v>26</v>
      </c>
      <c r="H366" s="5" t="s">
        <v>155</v>
      </c>
      <c r="I366" s="5"/>
      <c r="J366" s="5"/>
      <c r="K366" s="69" t="s">
        <v>2563</v>
      </c>
      <c r="L366" s="5"/>
      <c r="M366" s="11" t="s">
        <v>2564</v>
      </c>
      <c r="N366" s="5"/>
      <c r="O366" s="5" t="s">
        <v>2565</v>
      </c>
      <c r="P366" s="5"/>
      <c r="Q366" s="5"/>
      <c r="R366" s="5"/>
      <c r="S366" s="5"/>
      <c r="T366" s="5"/>
      <c r="U366" s="5"/>
      <c r="V366" s="5"/>
      <c r="W366" s="5"/>
      <c r="X366" s="5"/>
      <c r="Y366" s="5"/>
      <c r="Z366" s="5"/>
    </row>
    <row r="367" ht="15.75" customHeight="1">
      <c r="A367" s="75">
        <v>46028.0</v>
      </c>
      <c r="B367" s="76">
        <f>8+4</f>
        <v>12</v>
      </c>
      <c r="C367" s="5">
        <f>7.46+6.26</f>
        <v>13.72</v>
      </c>
      <c r="D367" s="5" t="s">
        <v>26</v>
      </c>
      <c r="E367" s="5" t="s">
        <v>26</v>
      </c>
      <c r="F367" s="5" t="s">
        <v>26</v>
      </c>
      <c r="G367" s="5" t="s">
        <v>26</v>
      </c>
      <c r="H367" s="5" t="s">
        <v>155</v>
      </c>
      <c r="I367" s="5"/>
      <c r="J367" s="5"/>
      <c r="K367" s="69" t="s">
        <v>2566</v>
      </c>
      <c r="L367" s="5"/>
      <c r="M367" s="69" t="s">
        <v>2567</v>
      </c>
      <c r="N367" s="5"/>
      <c r="O367" s="5" t="s">
        <v>2568</v>
      </c>
      <c r="P367" s="5"/>
      <c r="Q367" s="5"/>
      <c r="R367" s="5"/>
      <c r="S367" s="5"/>
      <c r="T367" s="5"/>
      <c r="U367" s="5"/>
      <c r="V367" s="5"/>
      <c r="W367" s="5"/>
      <c r="X367" s="5"/>
      <c r="Y367" s="5"/>
      <c r="Z367" s="5"/>
    </row>
    <row r="368" ht="15.75" customHeight="1">
      <c r="A368" s="75">
        <v>46029.0</v>
      </c>
      <c r="B368" s="76">
        <f>12+4</f>
        <v>16</v>
      </c>
      <c r="C368" s="5">
        <f>13.72+5.19</f>
        <v>18.91</v>
      </c>
      <c r="D368" s="5" t="s">
        <v>26</v>
      </c>
      <c r="E368" s="5" t="s">
        <v>26</v>
      </c>
      <c r="F368" s="5" t="s">
        <v>26</v>
      </c>
      <c r="G368" s="5" t="s">
        <v>26</v>
      </c>
      <c r="H368" s="5" t="s">
        <v>155</v>
      </c>
      <c r="I368" s="5"/>
      <c r="J368" s="5"/>
      <c r="K368" s="69" t="s">
        <v>2569</v>
      </c>
      <c r="L368" s="5"/>
      <c r="M368" s="69" t="s">
        <v>2570</v>
      </c>
      <c r="N368" s="5"/>
      <c r="O368" s="5" t="s">
        <v>2571</v>
      </c>
      <c r="P368" s="5"/>
      <c r="Q368" s="5"/>
      <c r="R368" s="5"/>
      <c r="S368" s="5"/>
      <c r="T368" s="5"/>
      <c r="U368" s="5"/>
      <c r="V368" s="5"/>
      <c r="W368" s="5"/>
      <c r="X368" s="5"/>
      <c r="Y368" s="5"/>
      <c r="Z368" s="5"/>
    </row>
    <row r="369" ht="15.75" customHeight="1">
      <c r="A369" s="75">
        <v>46030.0</v>
      </c>
      <c r="B369" s="76">
        <f>16+4</f>
        <v>20</v>
      </c>
      <c r="C369" s="5">
        <f>18.92+3.15</f>
        <v>22.07</v>
      </c>
      <c r="D369" s="5"/>
      <c r="E369" s="5" t="s">
        <v>26</v>
      </c>
      <c r="F369" s="5" t="s">
        <v>26</v>
      </c>
      <c r="G369" s="5" t="s">
        <v>26</v>
      </c>
      <c r="H369" s="5" t="s">
        <v>25</v>
      </c>
      <c r="I369" s="5"/>
      <c r="J369" s="5"/>
      <c r="K369" s="69" t="s">
        <v>2572</v>
      </c>
      <c r="L369" s="5"/>
      <c r="M369" s="69" t="s">
        <v>2573</v>
      </c>
      <c r="N369" s="5"/>
      <c r="O369" s="5"/>
      <c r="P369" s="5"/>
      <c r="Q369" s="5"/>
      <c r="R369" s="5"/>
      <c r="S369" s="5"/>
      <c r="T369" s="5"/>
      <c r="U369" s="5"/>
      <c r="V369" s="5"/>
      <c r="W369" s="5"/>
      <c r="X369" s="5"/>
      <c r="Y369" s="5"/>
      <c r="Z369" s="5"/>
    </row>
    <row r="370" ht="15.75" customHeight="1">
      <c r="A370" s="75">
        <v>46031.0</v>
      </c>
      <c r="B370" s="76">
        <f>20+4</f>
        <v>24</v>
      </c>
      <c r="C370" s="5">
        <f>22.07+2</f>
        <v>24.07</v>
      </c>
      <c r="D370" s="5"/>
      <c r="E370" s="5" t="s">
        <v>26</v>
      </c>
      <c r="F370" s="5" t="s">
        <v>26</v>
      </c>
      <c r="G370" s="5" t="s">
        <v>26</v>
      </c>
      <c r="H370" s="5" t="s">
        <v>25</v>
      </c>
      <c r="I370" s="5"/>
      <c r="J370" s="5"/>
      <c r="K370" s="69" t="s">
        <v>2574</v>
      </c>
      <c r="L370" s="5"/>
      <c r="M370" s="69" t="s">
        <v>2575</v>
      </c>
      <c r="N370" s="5"/>
      <c r="O370" s="5"/>
      <c r="P370" s="5"/>
      <c r="Q370" s="5"/>
      <c r="R370" s="5"/>
      <c r="S370" s="5"/>
      <c r="T370" s="5"/>
      <c r="U370" s="5"/>
      <c r="V370" s="5"/>
      <c r="W370" s="5"/>
      <c r="X370" s="5"/>
      <c r="Y370" s="5"/>
      <c r="Z370" s="5"/>
    </row>
    <row r="371" ht="15.75" customHeight="1">
      <c r="A371" s="75">
        <v>46032.0</v>
      </c>
      <c r="B371" s="76">
        <f>24+4</f>
        <v>28</v>
      </c>
      <c r="C371" s="5">
        <f>27.84</f>
        <v>27.84</v>
      </c>
      <c r="D371" s="5"/>
      <c r="E371" s="5" t="s">
        <v>26</v>
      </c>
      <c r="F371" s="5" t="s">
        <v>26</v>
      </c>
      <c r="G371" s="5" t="s">
        <v>26</v>
      </c>
      <c r="H371" s="5" t="s">
        <v>25</v>
      </c>
      <c r="I371" s="5"/>
      <c r="J371" s="5"/>
      <c r="K371" s="69" t="s">
        <v>2576</v>
      </c>
      <c r="L371" s="5"/>
      <c r="M371" s="69" t="s">
        <v>2577</v>
      </c>
      <c r="N371" s="5"/>
      <c r="O371" s="5"/>
      <c r="P371" s="5"/>
      <c r="Q371" s="5"/>
      <c r="R371" s="5"/>
      <c r="S371" s="5"/>
      <c r="T371" s="5"/>
      <c r="U371" s="5"/>
      <c r="V371" s="5"/>
      <c r="W371" s="5"/>
      <c r="X371" s="5"/>
      <c r="Y371" s="5"/>
      <c r="Z371" s="5"/>
    </row>
    <row r="372" ht="15.75" customHeight="1">
      <c r="A372" s="75">
        <v>46034.0</v>
      </c>
      <c r="B372" s="76">
        <f>28+4</f>
        <v>32</v>
      </c>
      <c r="C372" s="5">
        <f>27.84+6.23</f>
        <v>34.07</v>
      </c>
      <c r="D372" s="5"/>
      <c r="E372" s="5" t="s">
        <v>26</v>
      </c>
      <c r="F372" s="5" t="s">
        <v>26</v>
      </c>
      <c r="G372" s="5" t="s">
        <v>26</v>
      </c>
      <c r="H372" s="5" t="s">
        <v>25</v>
      </c>
      <c r="I372" s="5"/>
      <c r="J372" s="5"/>
      <c r="K372" s="69" t="s">
        <v>2578</v>
      </c>
      <c r="L372" s="5"/>
      <c r="M372" s="69" t="s">
        <v>2579</v>
      </c>
      <c r="N372" s="5"/>
      <c r="O372" s="5"/>
      <c r="P372" s="5"/>
      <c r="Q372" s="5"/>
      <c r="R372" s="5"/>
      <c r="S372" s="5"/>
      <c r="T372" s="5"/>
      <c r="U372" s="5"/>
      <c r="V372" s="5"/>
      <c r="W372" s="5"/>
      <c r="X372" s="5"/>
      <c r="Y372" s="5"/>
      <c r="Z372" s="5"/>
    </row>
    <row r="373" ht="15.75" customHeight="1">
      <c r="A373" s="75">
        <v>46035.0</v>
      </c>
      <c r="B373" s="76">
        <f>32+4</f>
        <v>36</v>
      </c>
      <c r="C373" s="5">
        <f>34.07+4.22</f>
        <v>38.29</v>
      </c>
      <c r="D373" s="5"/>
      <c r="E373" s="5" t="s">
        <v>26</v>
      </c>
      <c r="F373" s="5" t="s">
        <v>26</v>
      </c>
      <c r="G373" s="5" t="s">
        <v>26</v>
      </c>
      <c r="H373" s="5" t="s">
        <v>25</v>
      </c>
      <c r="I373" s="5"/>
      <c r="J373" s="5"/>
      <c r="K373" s="69" t="s">
        <v>2580</v>
      </c>
      <c r="L373" s="5"/>
      <c r="M373" s="69" t="s">
        <v>2581</v>
      </c>
      <c r="N373" s="5"/>
      <c r="O373" s="5"/>
      <c r="P373" s="5"/>
      <c r="Q373" s="5"/>
      <c r="R373" s="5"/>
      <c r="S373" s="5"/>
      <c r="T373" s="5"/>
      <c r="U373" s="5"/>
      <c r="V373" s="5"/>
      <c r="W373" s="5"/>
      <c r="X373" s="5"/>
      <c r="Y373" s="5"/>
      <c r="Z373" s="5"/>
    </row>
    <row r="374" ht="15.75" customHeight="1">
      <c r="A374" s="75">
        <v>46039.0</v>
      </c>
      <c r="B374" s="76">
        <f>36+4</f>
        <v>40</v>
      </c>
      <c r="C374" s="5">
        <v>4.99</v>
      </c>
      <c r="D374" s="5"/>
      <c r="E374" s="5"/>
      <c r="F374" s="5"/>
      <c r="G374" s="5"/>
      <c r="H374" s="5"/>
      <c r="I374" s="5"/>
      <c r="J374" s="5"/>
      <c r="K374" s="69"/>
      <c r="L374" s="5"/>
      <c r="M374" s="69" t="s">
        <v>2582</v>
      </c>
      <c r="N374" s="5"/>
      <c r="O374" s="5" t="s">
        <v>2583</v>
      </c>
      <c r="P374" s="5"/>
      <c r="Q374" s="5"/>
      <c r="R374" s="5"/>
      <c r="S374" s="5"/>
      <c r="T374" s="5"/>
      <c r="U374" s="5"/>
      <c r="V374" s="5"/>
      <c r="W374" s="5"/>
      <c r="X374" s="5"/>
      <c r="Y374" s="5"/>
      <c r="Z374" s="5"/>
    </row>
    <row r="375" ht="15.75" customHeight="1">
      <c r="A375" s="75">
        <v>46041.0</v>
      </c>
      <c r="B375" s="76">
        <f>56-4</f>
        <v>52</v>
      </c>
      <c r="C375" s="5">
        <f>38.29+5</f>
        <v>43.29</v>
      </c>
      <c r="D375" s="5"/>
      <c r="E375" s="5"/>
      <c r="F375" s="5" t="s">
        <v>26</v>
      </c>
      <c r="G375" s="5" t="s">
        <v>2584</v>
      </c>
      <c r="H375" s="5" t="s">
        <v>25</v>
      </c>
      <c r="I375" s="5"/>
      <c r="J375" s="5"/>
      <c r="K375" s="69" t="s">
        <v>2585</v>
      </c>
      <c r="L375" s="5"/>
      <c r="M375" s="69" t="s">
        <v>2586</v>
      </c>
      <c r="N375" s="5"/>
      <c r="O375" s="5" t="s">
        <v>2587</v>
      </c>
      <c r="P375" s="5"/>
      <c r="Q375" s="5"/>
      <c r="R375" s="5"/>
      <c r="S375" s="5"/>
      <c r="T375" s="5"/>
      <c r="U375" s="5"/>
      <c r="V375" s="5"/>
      <c r="W375" s="5"/>
      <c r="X375" s="5"/>
      <c r="Y375" s="5"/>
      <c r="Z375" s="5"/>
    </row>
    <row r="376" ht="15.75" customHeight="1">
      <c r="A376" s="75">
        <v>46042.0</v>
      </c>
      <c r="B376" s="76">
        <v>56.0</v>
      </c>
      <c r="C376" s="5">
        <v>51.59</v>
      </c>
      <c r="D376" s="5" t="s">
        <v>2584</v>
      </c>
      <c r="E376" s="5" t="s">
        <v>26</v>
      </c>
      <c r="F376" s="5" t="s">
        <v>26</v>
      </c>
      <c r="G376" s="5" t="s">
        <v>2584</v>
      </c>
      <c r="H376" s="5" t="s">
        <v>25</v>
      </c>
      <c r="I376" s="5"/>
      <c r="J376" s="5"/>
      <c r="K376" s="69" t="s">
        <v>2588</v>
      </c>
      <c r="L376" s="5"/>
      <c r="M376" s="69" t="s">
        <v>2589</v>
      </c>
      <c r="N376" s="5"/>
      <c r="O376" s="10" t="s">
        <v>2590</v>
      </c>
      <c r="P376" s="5"/>
      <c r="Q376" s="5"/>
      <c r="R376" s="5"/>
      <c r="S376" s="5"/>
      <c r="T376" s="5"/>
      <c r="U376" s="5"/>
      <c r="V376" s="5"/>
      <c r="W376" s="5"/>
      <c r="X376" s="5"/>
      <c r="Y376" s="5"/>
      <c r="Z376" s="5"/>
    </row>
    <row r="377" ht="15.75" customHeight="1">
      <c r="A377" s="75">
        <v>46043.0</v>
      </c>
      <c r="B377" s="76">
        <f>56+4</f>
        <v>60</v>
      </c>
      <c r="C377" s="5">
        <f>51.59+8.43</f>
        <v>60.02</v>
      </c>
      <c r="D377" s="5"/>
      <c r="E377" s="5" t="s">
        <v>26</v>
      </c>
      <c r="F377" s="5" t="s">
        <v>26</v>
      </c>
      <c r="G377" s="5" t="s">
        <v>26</v>
      </c>
      <c r="H377" s="5" t="s">
        <v>25</v>
      </c>
      <c r="I377" s="5"/>
      <c r="J377" s="5"/>
      <c r="K377" s="69" t="s">
        <v>2591</v>
      </c>
      <c r="L377" s="5"/>
      <c r="M377" s="69" t="s">
        <v>2592</v>
      </c>
      <c r="N377" s="5"/>
      <c r="O377" s="5"/>
      <c r="P377" s="5"/>
      <c r="Q377" s="5"/>
      <c r="R377" s="5"/>
      <c r="S377" s="5"/>
      <c r="T377" s="5"/>
      <c r="U377" s="5"/>
      <c r="V377" s="5"/>
      <c r="W377" s="5"/>
      <c r="X377" s="5"/>
      <c r="Y377" s="5"/>
      <c r="Z377" s="5"/>
    </row>
    <row r="378" ht="15.75" customHeight="1">
      <c r="A378" s="75">
        <v>46044.0</v>
      </c>
      <c r="B378" s="76">
        <f>60+4</f>
        <v>64</v>
      </c>
      <c r="C378" s="5">
        <f>60.02+4.32</f>
        <v>64.34</v>
      </c>
      <c r="D378" s="5"/>
      <c r="E378" s="5" t="s">
        <v>26</v>
      </c>
      <c r="F378" s="5" t="s">
        <v>26</v>
      </c>
      <c r="G378" s="5" t="s">
        <v>26</v>
      </c>
      <c r="H378" s="5" t="s">
        <v>25</v>
      </c>
      <c r="I378" s="5"/>
      <c r="J378" s="5"/>
      <c r="K378" s="69" t="s">
        <v>2593</v>
      </c>
      <c r="L378" s="5"/>
      <c r="M378" s="69" t="s">
        <v>2594</v>
      </c>
      <c r="N378" s="5"/>
      <c r="O378" s="5"/>
      <c r="P378" s="5"/>
      <c r="Q378" s="5"/>
      <c r="R378" s="5"/>
      <c r="S378" s="5"/>
      <c r="T378" s="5"/>
      <c r="U378" s="5"/>
      <c r="V378" s="5"/>
      <c r="W378" s="5"/>
      <c r="X378" s="5"/>
      <c r="Y378" s="5"/>
      <c r="Z378" s="5"/>
    </row>
    <row r="379" ht="15.75" customHeight="1">
      <c r="A379" s="75">
        <v>46045.0</v>
      </c>
      <c r="B379" s="76">
        <f>64+4</f>
        <v>68</v>
      </c>
      <c r="C379" s="5">
        <v>67.87</v>
      </c>
      <c r="D379" s="5" t="s">
        <v>2584</v>
      </c>
      <c r="E379" s="5" t="s">
        <v>26</v>
      </c>
      <c r="F379" s="5" t="s">
        <v>26</v>
      </c>
      <c r="G379" s="5" t="s">
        <v>26</v>
      </c>
      <c r="H379" s="5" t="s">
        <v>25</v>
      </c>
      <c r="I379" s="5"/>
      <c r="J379" s="5"/>
      <c r="K379" s="69" t="s">
        <v>2595</v>
      </c>
      <c r="L379" s="5"/>
      <c r="M379" s="69" t="s">
        <v>2596</v>
      </c>
      <c r="N379" s="5"/>
      <c r="O379" s="5"/>
      <c r="P379" s="5"/>
      <c r="Q379" s="5"/>
      <c r="R379" s="5"/>
      <c r="S379" s="5"/>
      <c r="T379" s="5"/>
      <c r="U379" s="5"/>
      <c r="V379" s="5"/>
      <c r="W379" s="5"/>
      <c r="X379" s="5"/>
      <c r="Y379" s="5"/>
      <c r="Z379" s="5"/>
    </row>
    <row r="380" ht="15.75" customHeight="1">
      <c r="A380" s="75">
        <v>46046.0</v>
      </c>
      <c r="B380" s="76">
        <f>68+4</f>
        <v>72</v>
      </c>
      <c r="C380" s="5">
        <f>67.87+2.32</f>
        <v>70.19</v>
      </c>
      <c r="D380" s="5" t="s">
        <v>26</v>
      </c>
      <c r="E380" s="5" t="s">
        <v>26</v>
      </c>
      <c r="F380" s="5" t="s">
        <v>26</v>
      </c>
      <c r="G380" s="5" t="s">
        <v>26</v>
      </c>
      <c r="H380" s="5" t="s">
        <v>25</v>
      </c>
      <c r="I380" s="5"/>
      <c r="J380" s="5"/>
      <c r="K380" s="69" t="s">
        <v>2597</v>
      </c>
      <c r="L380" s="5"/>
      <c r="M380" s="69" t="s">
        <v>2598</v>
      </c>
      <c r="N380" s="5"/>
      <c r="O380" s="5"/>
      <c r="P380" s="5"/>
      <c r="Q380" s="5"/>
      <c r="R380" s="5"/>
      <c r="S380" s="5"/>
      <c r="T380" s="5"/>
      <c r="U380" s="5"/>
      <c r="V380" s="5"/>
      <c r="W380" s="5"/>
      <c r="X380" s="5"/>
      <c r="Y380" s="5"/>
      <c r="Z380" s="5"/>
    </row>
    <row r="381" ht="15.75" customHeight="1">
      <c r="A381" s="75"/>
      <c r="B381" s="76"/>
      <c r="C381" s="5"/>
      <c r="D381" s="5"/>
      <c r="E381" s="5"/>
      <c r="F381" s="5"/>
      <c r="G381" s="5"/>
      <c r="H381" s="5"/>
      <c r="I381" s="5"/>
      <c r="J381" s="5"/>
      <c r="K381" s="69"/>
      <c r="L381" s="5"/>
      <c r="M381" s="69"/>
      <c r="N381" s="5"/>
      <c r="O381" s="5"/>
      <c r="P381" s="5"/>
      <c r="Q381" s="5"/>
      <c r="R381" s="5"/>
      <c r="S381" s="5"/>
      <c r="T381" s="5"/>
      <c r="U381" s="5"/>
      <c r="V381" s="5"/>
      <c r="W381" s="5"/>
      <c r="X381" s="5"/>
      <c r="Y381" s="5"/>
      <c r="Z381" s="5"/>
    </row>
    <row r="382" ht="15.75" customHeight="1">
      <c r="A382" s="75"/>
      <c r="B382" s="76"/>
      <c r="C382" s="5"/>
      <c r="D382" s="5"/>
      <c r="E382" s="5"/>
      <c r="F382" s="5"/>
      <c r="G382" s="5"/>
      <c r="H382" s="5"/>
      <c r="I382" s="5"/>
      <c r="J382" s="5"/>
      <c r="K382" s="69"/>
      <c r="L382" s="5"/>
      <c r="M382" s="69"/>
      <c r="N382" s="5"/>
      <c r="O382" s="5"/>
      <c r="P382" s="5"/>
      <c r="Q382" s="5"/>
      <c r="R382" s="5"/>
      <c r="S382" s="5"/>
      <c r="T382" s="5"/>
      <c r="U382" s="5"/>
      <c r="V382" s="5"/>
      <c r="W382" s="5"/>
      <c r="X382" s="5"/>
      <c r="Y382" s="5"/>
      <c r="Z382" s="5"/>
    </row>
    <row r="383" ht="15.75" customHeight="1">
      <c r="A383" s="75"/>
      <c r="B383" s="76"/>
      <c r="C383" s="5"/>
      <c r="D383" s="5"/>
      <c r="E383" s="5"/>
      <c r="F383" s="5"/>
      <c r="G383" s="5"/>
      <c r="H383" s="5"/>
      <c r="I383" s="5"/>
      <c r="J383" s="5"/>
      <c r="K383" s="69"/>
      <c r="L383" s="5"/>
      <c r="M383" s="69"/>
      <c r="N383" s="5"/>
      <c r="O383" s="5"/>
      <c r="P383" s="5"/>
      <c r="Q383" s="5"/>
      <c r="R383" s="5"/>
      <c r="S383" s="5"/>
      <c r="T383" s="5"/>
      <c r="U383" s="5"/>
      <c r="V383" s="5"/>
      <c r="W383" s="5"/>
      <c r="X383" s="5"/>
      <c r="Y383" s="5"/>
      <c r="Z383" s="5"/>
    </row>
    <row r="384" ht="15.75" customHeight="1">
      <c r="A384" s="75"/>
      <c r="B384" s="76"/>
      <c r="C384" s="5"/>
      <c r="D384" s="5"/>
      <c r="E384" s="5"/>
      <c r="F384" s="5"/>
      <c r="G384" s="5"/>
      <c r="H384" s="5"/>
      <c r="I384" s="5"/>
      <c r="J384" s="5"/>
      <c r="K384" s="69"/>
      <c r="L384" s="5"/>
      <c r="M384" s="69"/>
      <c r="N384" s="5"/>
      <c r="O384" s="5"/>
      <c r="P384" s="5"/>
      <c r="Q384" s="5"/>
      <c r="R384" s="5"/>
      <c r="S384" s="5"/>
      <c r="T384" s="5"/>
      <c r="U384" s="5"/>
      <c r="V384" s="5"/>
      <c r="W384" s="5"/>
      <c r="X384" s="5"/>
      <c r="Y384" s="5"/>
      <c r="Z384" s="5"/>
    </row>
    <row r="385" ht="15.75" customHeight="1">
      <c r="A385" s="75"/>
      <c r="B385" s="76"/>
      <c r="C385" s="5"/>
      <c r="D385" s="5"/>
      <c r="E385" s="5"/>
      <c r="F385" s="5"/>
      <c r="G385" s="5"/>
      <c r="H385" s="5"/>
      <c r="I385" s="5"/>
      <c r="J385" s="5"/>
      <c r="K385" s="69"/>
      <c r="L385" s="5"/>
      <c r="M385" s="69"/>
      <c r="N385" s="5"/>
      <c r="O385" s="5"/>
      <c r="P385" s="5"/>
      <c r="Q385" s="5"/>
      <c r="R385" s="5"/>
      <c r="S385" s="5"/>
      <c r="T385" s="5"/>
      <c r="U385" s="5"/>
      <c r="V385" s="5"/>
      <c r="W385" s="5"/>
      <c r="X385" s="5"/>
      <c r="Y385" s="5"/>
      <c r="Z385" s="5"/>
    </row>
    <row r="386" ht="15.75" customHeight="1">
      <c r="A386" s="86"/>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86"/>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86"/>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86"/>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86"/>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86"/>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86"/>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86"/>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86"/>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86"/>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86"/>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86"/>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86"/>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86"/>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86"/>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86"/>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86"/>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86"/>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86"/>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86"/>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86"/>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86"/>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86"/>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86"/>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86"/>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86"/>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86"/>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86"/>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86"/>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86"/>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86"/>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86"/>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86"/>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86"/>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86"/>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86"/>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86"/>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86"/>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86"/>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86"/>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86"/>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86"/>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86"/>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86"/>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86"/>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86"/>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86"/>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86"/>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86"/>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86"/>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86"/>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86"/>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86"/>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86"/>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86"/>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86"/>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86"/>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86"/>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86"/>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86"/>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86"/>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86"/>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86"/>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86"/>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86"/>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86"/>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86"/>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86"/>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86"/>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86"/>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86"/>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86"/>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86"/>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86"/>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86"/>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86"/>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86"/>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86"/>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86"/>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86"/>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86"/>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86"/>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86"/>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86"/>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86"/>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86"/>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86"/>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86"/>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86"/>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86"/>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86"/>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86"/>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86"/>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86"/>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86"/>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86"/>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86"/>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86"/>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86"/>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86"/>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86"/>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86"/>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86"/>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86"/>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86"/>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86"/>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86"/>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86"/>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86"/>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86"/>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86"/>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86"/>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86"/>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86"/>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86"/>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86"/>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86"/>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86"/>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86"/>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86"/>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86"/>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86"/>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86"/>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86"/>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86"/>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86"/>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86"/>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86"/>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86"/>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86"/>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86"/>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86"/>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86"/>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86"/>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86"/>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86"/>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86"/>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86"/>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86"/>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86"/>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86"/>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86"/>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86"/>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86"/>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86"/>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86"/>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86"/>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86"/>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86"/>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86"/>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86"/>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86"/>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86"/>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86"/>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86"/>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86"/>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86"/>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86"/>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86"/>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86"/>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86"/>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86"/>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86"/>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86"/>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86"/>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86"/>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86"/>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86"/>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86"/>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86"/>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86"/>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86"/>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86"/>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86"/>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86"/>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86"/>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86"/>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86"/>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86"/>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86"/>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86"/>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86"/>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86"/>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86"/>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86"/>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86"/>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86"/>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86"/>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86"/>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86"/>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86"/>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86"/>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86"/>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86"/>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86"/>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D581" s="27"/>
      <c r="E581" s="27"/>
      <c r="F581" s="27"/>
      <c r="G581" s="27"/>
      <c r="H581" s="27"/>
      <c r="I581" s="27"/>
      <c r="J581" s="27"/>
      <c r="L581" s="27"/>
    </row>
    <row r="582" ht="15.75" customHeight="1">
      <c r="D582" s="27"/>
      <c r="E582" s="27"/>
      <c r="F582" s="27"/>
      <c r="G582" s="27"/>
      <c r="H582" s="27"/>
      <c r="I582" s="27"/>
      <c r="J582" s="27"/>
      <c r="L582" s="27"/>
    </row>
    <row r="583" ht="15.75" customHeight="1">
      <c r="D583" s="27"/>
      <c r="E583" s="27"/>
      <c r="F583" s="27"/>
      <c r="G583" s="27"/>
      <c r="H583" s="27"/>
      <c r="I583" s="27"/>
      <c r="J583" s="27"/>
      <c r="L583" s="27"/>
    </row>
    <row r="584" ht="15.75" customHeight="1">
      <c r="D584" s="27"/>
      <c r="E584" s="27"/>
      <c r="F584" s="27"/>
      <c r="G584" s="27"/>
      <c r="H584" s="27"/>
      <c r="I584" s="27"/>
      <c r="J584" s="27"/>
      <c r="L584" s="27"/>
    </row>
    <row r="585" ht="15.75" customHeight="1">
      <c r="D585" s="27"/>
      <c r="E585" s="27"/>
      <c r="F585" s="27"/>
      <c r="G585" s="27"/>
      <c r="H585" s="27"/>
      <c r="I585" s="27"/>
      <c r="J585" s="27"/>
      <c r="L585" s="27"/>
    </row>
    <row r="586" ht="15.75" customHeight="1">
      <c r="D586" s="27"/>
      <c r="E586" s="27"/>
      <c r="F586" s="27"/>
      <c r="G586" s="27"/>
      <c r="H586" s="27"/>
      <c r="I586" s="27"/>
      <c r="J586" s="27"/>
      <c r="L586" s="27"/>
    </row>
    <row r="587" ht="15.75" customHeight="1">
      <c r="D587" s="27"/>
      <c r="E587" s="27"/>
      <c r="F587" s="27"/>
      <c r="G587" s="27"/>
      <c r="H587" s="27"/>
      <c r="I587" s="27"/>
      <c r="J587" s="27"/>
      <c r="L587" s="27"/>
    </row>
    <row r="588" ht="15.75" customHeight="1">
      <c r="D588" s="27"/>
      <c r="E588" s="27"/>
      <c r="F588" s="27"/>
      <c r="G588" s="27"/>
      <c r="H588" s="27"/>
      <c r="I588" s="27"/>
      <c r="J588" s="27"/>
      <c r="L588" s="27"/>
    </row>
    <row r="589" ht="15.75" customHeight="1">
      <c r="D589" s="27"/>
      <c r="E589" s="27"/>
      <c r="F589" s="27"/>
      <c r="G589" s="27"/>
      <c r="H589" s="27"/>
      <c r="I589" s="27"/>
      <c r="J589" s="27"/>
      <c r="L589" s="27"/>
    </row>
    <row r="590" ht="15.75" customHeight="1">
      <c r="D590" s="27"/>
      <c r="E590" s="27"/>
      <c r="F590" s="27"/>
      <c r="G590" s="27"/>
      <c r="H590" s="27"/>
      <c r="I590" s="27"/>
      <c r="J590" s="27"/>
      <c r="L590" s="27"/>
    </row>
    <row r="591" ht="15.75" customHeight="1">
      <c r="D591" s="27"/>
      <c r="E591" s="27"/>
      <c r="F591" s="27"/>
      <c r="G591" s="27"/>
      <c r="H591" s="27"/>
      <c r="I591" s="27"/>
      <c r="J591" s="27"/>
      <c r="L591" s="27"/>
    </row>
    <row r="592" ht="15.75" customHeight="1">
      <c r="D592" s="27"/>
      <c r="E592" s="27"/>
      <c r="F592" s="27"/>
      <c r="G592" s="27"/>
      <c r="H592" s="27"/>
      <c r="I592" s="27"/>
      <c r="J592" s="27"/>
      <c r="L592" s="27"/>
    </row>
    <row r="593" ht="15.75" customHeight="1">
      <c r="D593" s="27"/>
      <c r="E593" s="27"/>
      <c r="F593" s="27"/>
      <c r="G593" s="27"/>
      <c r="H593" s="27"/>
      <c r="I593" s="27"/>
      <c r="J593" s="27"/>
      <c r="L593" s="27"/>
    </row>
    <row r="594" ht="15.75" customHeight="1">
      <c r="D594" s="27"/>
      <c r="E594" s="27"/>
      <c r="F594" s="27"/>
      <c r="G594" s="27"/>
      <c r="H594" s="27"/>
      <c r="I594" s="27"/>
      <c r="J594" s="27"/>
      <c r="L594" s="27"/>
    </row>
    <row r="595" ht="15.75" customHeight="1">
      <c r="D595" s="27"/>
      <c r="E595" s="27"/>
      <c r="F595" s="27"/>
      <c r="G595" s="27"/>
      <c r="H595" s="27"/>
      <c r="I595" s="27"/>
      <c r="J595" s="27"/>
      <c r="L595" s="27"/>
    </row>
    <row r="596" ht="15.75" customHeight="1">
      <c r="D596" s="27"/>
      <c r="E596" s="27"/>
      <c r="F596" s="27"/>
      <c r="G596" s="27"/>
      <c r="H596" s="27"/>
      <c r="I596" s="27"/>
      <c r="J596" s="27"/>
      <c r="L596" s="27"/>
    </row>
    <row r="597" ht="15.75" customHeight="1">
      <c r="D597" s="27"/>
      <c r="E597" s="27"/>
      <c r="F597" s="27"/>
      <c r="G597" s="27"/>
      <c r="H597" s="27"/>
      <c r="I597" s="27"/>
      <c r="J597" s="27"/>
      <c r="L597" s="27"/>
    </row>
    <row r="598" ht="15.75" customHeight="1">
      <c r="D598" s="27"/>
      <c r="E598" s="27"/>
      <c r="F598" s="27"/>
      <c r="G598" s="27"/>
      <c r="H598" s="27"/>
      <c r="I598" s="27"/>
      <c r="J598" s="27"/>
      <c r="L598" s="27"/>
    </row>
    <row r="599" ht="15.75" customHeight="1">
      <c r="D599" s="27"/>
      <c r="E599" s="27"/>
      <c r="F599" s="27"/>
      <c r="G599" s="27"/>
      <c r="H599" s="27"/>
      <c r="I599" s="27"/>
      <c r="J599" s="27"/>
      <c r="L599" s="27"/>
    </row>
    <row r="600" ht="15.75" customHeight="1">
      <c r="D600" s="27"/>
      <c r="E600" s="27"/>
      <c r="F600" s="27"/>
      <c r="G600" s="27"/>
      <c r="H600" s="27"/>
      <c r="I600" s="27"/>
      <c r="J600" s="27"/>
      <c r="L600" s="27"/>
    </row>
    <row r="601" ht="15.75" customHeight="1">
      <c r="D601" s="27"/>
      <c r="E601" s="27"/>
      <c r="F601" s="27"/>
      <c r="G601" s="27"/>
      <c r="H601" s="27"/>
      <c r="I601" s="27"/>
      <c r="J601" s="27"/>
      <c r="L601" s="27"/>
    </row>
    <row r="602" ht="15.75" customHeight="1">
      <c r="D602" s="27"/>
      <c r="E602" s="27"/>
      <c r="F602" s="27"/>
      <c r="G602" s="27"/>
      <c r="H602" s="27"/>
      <c r="I602" s="27"/>
      <c r="J602" s="27"/>
      <c r="L602" s="27"/>
    </row>
    <row r="603" ht="15.75" customHeight="1">
      <c r="D603" s="27"/>
      <c r="E603" s="27"/>
      <c r="F603" s="27"/>
      <c r="G603" s="27"/>
      <c r="H603" s="27"/>
      <c r="I603" s="27"/>
      <c r="J603" s="27"/>
      <c r="L603" s="27"/>
    </row>
    <row r="604" ht="15.75" customHeight="1">
      <c r="D604" s="27"/>
      <c r="E604" s="27"/>
      <c r="F604" s="27"/>
      <c r="G604" s="27"/>
      <c r="H604" s="27"/>
      <c r="I604" s="27"/>
      <c r="J604" s="27"/>
      <c r="L604" s="27"/>
    </row>
    <row r="605" ht="15.75" customHeight="1">
      <c r="D605" s="27"/>
      <c r="E605" s="27"/>
      <c r="F605" s="27"/>
      <c r="G605" s="27"/>
      <c r="H605" s="27"/>
      <c r="I605" s="27"/>
      <c r="J605" s="27"/>
      <c r="L605" s="27"/>
    </row>
    <row r="606" ht="15.75" customHeight="1">
      <c r="D606" s="27"/>
      <c r="E606" s="27"/>
      <c r="F606" s="27"/>
      <c r="G606" s="27"/>
      <c r="H606" s="27"/>
      <c r="I606" s="27"/>
      <c r="J606" s="27"/>
      <c r="L606" s="27"/>
    </row>
    <row r="607" ht="15.75" customHeight="1">
      <c r="D607" s="27"/>
      <c r="E607" s="27"/>
      <c r="F607" s="27"/>
      <c r="G607" s="27"/>
      <c r="H607" s="27"/>
      <c r="I607" s="27"/>
      <c r="J607" s="27"/>
      <c r="L607" s="27"/>
    </row>
    <row r="608" ht="15.75" customHeight="1">
      <c r="D608" s="27"/>
      <c r="E608" s="27"/>
      <c r="F608" s="27"/>
      <c r="G608" s="27"/>
      <c r="H608" s="27"/>
      <c r="I608" s="27"/>
      <c r="J608" s="27"/>
      <c r="L608" s="27"/>
    </row>
    <row r="609" ht="15.75" customHeight="1">
      <c r="D609" s="27"/>
      <c r="E609" s="27"/>
      <c r="F609" s="27"/>
      <c r="G609" s="27"/>
      <c r="H609" s="27"/>
      <c r="I609" s="27"/>
      <c r="J609" s="27"/>
      <c r="L609" s="27"/>
    </row>
    <row r="610" ht="15.75" customHeight="1">
      <c r="D610" s="27"/>
      <c r="E610" s="27"/>
      <c r="F610" s="27"/>
      <c r="G610" s="27"/>
      <c r="H610" s="27"/>
      <c r="I610" s="27"/>
      <c r="J610" s="27"/>
      <c r="L610" s="27"/>
    </row>
    <row r="611" ht="15.75" customHeight="1">
      <c r="D611" s="27"/>
      <c r="E611" s="27"/>
      <c r="F611" s="27"/>
      <c r="G611" s="27"/>
      <c r="H611" s="27"/>
      <c r="I611" s="27"/>
      <c r="J611" s="27"/>
      <c r="L611" s="27"/>
    </row>
    <row r="612" ht="15.75" customHeight="1">
      <c r="D612" s="27"/>
      <c r="E612" s="27"/>
      <c r="F612" s="27"/>
      <c r="G612" s="27"/>
      <c r="H612" s="27"/>
      <c r="I612" s="27"/>
      <c r="J612" s="27"/>
      <c r="L612" s="27"/>
    </row>
    <row r="613" ht="15.75" customHeight="1">
      <c r="D613" s="27"/>
      <c r="E613" s="27"/>
      <c r="F613" s="27"/>
      <c r="G613" s="27"/>
      <c r="H613" s="27"/>
      <c r="I613" s="27"/>
      <c r="J613" s="27"/>
      <c r="L613" s="27"/>
    </row>
    <row r="614" ht="15.75" customHeight="1">
      <c r="D614" s="27"/>
      <c r="E614" s="27"/>
      <c r="F614" s="27"/>
      <c r="G614" s="27"/>
      <c r="H614" s="27"/>
      <c r="I614" s="27"/>
      <c r="J614" s="27"/>
      <c r="L614" s="27"/>
    </row>
    <row r="615" ht="15.75" customHeight="1">
      <c r="D615" s="27"/>
      <c r="E615" s="27"/>
      <c r="F615" s="27"/>
      <c r="G615" s="27"/>
      <c r="H615" s="27"/>
      <c r="I615" s="27"/>
      <c r="J615" s="27"/>
      <c r="L615" s="27"/>
    </row>
    <row r="616" ht="15.75" customHeight="1">
      <c r="D616" s="27"/>
      <c r="E616" s="27"/>
      <c r="F616" s="27"/>
      <c r="G616" s="27"/>
      <c r="H616" s="27"/>
      <c r="I616" s="27"/>
      <c r="J616" s="27"/>
      <c r="L616" s="27"/>
    </row>
    <row r="617" ht="15.75" customHeight="1">
      <c r="D617" s="27"/>
      <c r="E617" s="27"/>
      <c r="F617" s="27"/>
      <c r="G617" s="27"/>
      <c r="H617" s="27"/>
      <c r="I617" s="27"/>
      <c r="J617" s="27"/>
      <c r="L617" s="27"/>
    </row>
    <row r="618" ht="15.75" customHeight="1">
      <c r="D618" s="27"/>
      <c r="E618" s="27"/>
      <c r="F618" s="27"/>
      <c r="G618" s="27"/>
      <c r="H618" s="27"/>
      <c r="I618" s="27"/>
      <c r="J618" s="27"/>
      <c r="L618" s="27"/>
    </row>
    <row r="619" ht="15.75" customHeight="1">
      <c r="D619" s="27"/>
      <c r="E619" s="27"/>
      <c r="F619" s="27"/>
      <c r="G619" s="27"/>
      <c r="H619" s="27"/>
      <c r="I619" s="27"/>
      <c r="J619" s="27"/>
      <c r="L619" s="27"/>
    </row>
    <row r="620" ht="15.75" customHeight="1">
      <c r="D620" s="27"/>
      <c r="E620" s="27"/>
      <c r="F620" s="27"/>
      <c r="G620" s="27"/>
      <c r="H620" s="27"/>
      <c r="I620" s="27"/>
      <c r="J620" s="27"/>
      <c r="L620" s="27"/>
    </row>
    <row r="621" ht="15.75" customHeight="1">
      <c r="D621" s="27"/>
      <c r="E621" s="27"/>
      <c r="F621" s="27"/>
      <c r="G621" s="27"/>
      <c r="H621" s="27"/>
      <c r="I621" s="27"/>
      <c r="J621" s="27"/>
      <c r="L621" s="27"/>
    </row>
    <row r="622" ht="15.75" customHeight="1">
      <c r="D622" s="27"/>
      <c r="E622" s="27"/>
      <c r="F622" s="27"/>
      <c r="G622" s="27"/>
      <c r="H622" s="27"/>
      <c r="I622" s="27"/>
      <c r="J622" s="27"/>
      <c r="L622" s="27"/>
    </row>
    <row r="623" ht="15.75" customHeight="1">
      <c r="D623" s="27"/>
      <c r="E623" s="27"/>
      <c r="F623" s="27"/>
      <c r="G623" s="27"/>
      <c r="H623" s="27"/>
      <c r="I623" s="27"/>
      <c r="J623" s="27"/>
      <c r="L623" s="27"/>
    </row>
    <row r="624" ht="15.75" customHeight="1">
      <c r="D624" s="27"/>
      <c r="E624" s="27"/>
      <c r="F624" s="27"/>
      <c r="G624" s="27"/>
      <c r="H624" s="27"/>
      <c r="I624" s="27"/>
      <c r="J624" s="27"/>
      <c r="L624" s="27"/>
    </row>
    <row r="625" ht="15.75" customHeight="1">
      <c r="D625" s="27"/>
      <c r="E625" s="27"/>
      <c r="F625" s="27"/>
      <c r="G625" s="27"/>
      <c r="H625" s="27"/>
      <c r="I625" s="27"/>
      <c r="J625" s="27"/>
      <c r="L625" s="27"/>
    </row>
    <row r="626" ht="15.75" customHeight="1">
      <c r="D626" s="27"/>
      <c r="E626" s="27"/>
      <c r="F626" s="27"/>
      <c r="G626" s="27"/>
      <c r="H626" s="27"/>
      <c r="I626" s="27"/>
      <c r="J626" s="27"/>
      <c r="L626" s="27"/>
    </row>
    <row r="627" ht="15.75" customHeight="1">
      <c r="D627" s="27"/>
      <c r="E627" s="27"/>
      <c r="F627" s="27"/>
      <c r="G627" s="27"/>
      <c r="H627" s="27"/>
      <c r="I627" s="27"/>
      <c r="J627" s="27"/>
      <c r="L627" s="27"/>
    </row>
    <row r="628" ht="15.75" customHeight="1">
      <c r="D628" s="27"/>
      <c r="E628" s="27"/>
      <c r="F628" s="27"/>
      <c r="G628" s="27"/>
      <c r="H628" s="27"/>
      <c r="I628" s="27"/>
      <c r="J628" s="27"/>
      <c r="L628" s="27"/>
    </row>
    <row r="629" ht="15.75" customHeight="1">
      <c r="D629" s="27"/>
      <c r="E629" s="27"/>
      <c r="F629" s="27"/>
      <c r="G629" s="27"/>
      <c r="H629" s="27"/>
      <c r="I629" s="27"/>
      <c r="J629" s="27"/>
      <c r="L629" s="27"/>
    </row>
    <row r="630" ht="15.75" customHeight="1">
      <c r="D630" s="27"/>
      <c r="E630" s="27"/>
      <c r="F630" s="27"/>
      <c r="G630" s="27"/>
      <c r="H630" s="27"/>
      <c r="I630" s="27"/>
      <c r="J630" s="27"/>
      <c r="L630" s="27"/>
    </row>
    <row r="631" ht="15.75" customHeight="1">
      <c r="D631" s="27"/>
      <c r="E631" s="27"/>
      <c r="F631" s="27"/>
      <c r="G631" s="27"/>
      <c r="H631" s="27"/>
      <c r="I631" s="27"/>
      <c r="J631" s="27"/>
      <c r="L631" s="27"/>
    </row>
    <row r="632" ht="15.75" customHeight="1">
      <c r="D632" s="27"/>
      <c r="E632" s="27"/>
      <c r="F632" s="27"/>
      <c r="G632" s="27"/>
      <c r="H632" s="27"/>
      <c r="I632" s="27"/>
      <c r="J632" s="27"/>
      <c r="L632" s="27"/>
    </row>
    <row r="633" ht="15.75" customHeight="1">
      <c r="D633" s="27"/>
      <c r="E633" s="27"/>
      <c r="F633" s="27"/>
      <c r="G633" s="27"/>
      <c r="H633" s="27"/>
      <c r="I633" s="27"/>
      <c r="J633" s="27"/>
      <c r="L633" s="27"/>
    </row>
    <row r="634" ht="15.75" customHeight="1">
      <c r="D634" s="27"/>
      <c r="E634" s="27"/>
      <c r="F634" s="27"/>
      <c r="G634" s="27"/>
      <c r="H634" s="27"/>
      <c r="I634" s="27"/>
      <c r="J634" s="27"/>
      <c r="L634" s="27"/>
    </row>
    <row r="635" ht="15.75" customHeight="1">
      <c r="D635" s="27"/>
      <c r="E635" s="27"/>
      <c r="F635" s="27"/>
      <c r="G635" s="27"/>
      <c r="H635" s="27"/>
      <c r="I635" s="27"/>
      <c r="J635" s="27"/>
      <c r="L635" s="27"/>
    </row>
    <row r="636" ht="15.75" customHeight="1">
      <c r="D636" s="27"/>
      <c r="E636" s="27"/>
      <c r="F636" s="27"/>
      <c r="G636" s="27"/>
      <c r="H636" s="27"/>
      <c r="I636" s="27"/>
      <c r="J636" s="27"/>
      <c r="L636" s="27"/>
    </row>
    <row r="637" ht="15.75" customHeight="1">
      <c r="D637" s="27"/>
      <c r="E637" s="27"/>
      <c r="F637" s="27"/>
      <c r="G637" s="27"/>
      <c r="H637" s="27"/>
      <c r="I637" s="27"/>
      <c r="J637" s="27"/>
      <c r="L637" s="27"/>
    </row>
    <row r="638" ht="15.75" customHeight="1">
      <c r="D638" s="27"/>
      <c r="E638" s="27"/>
      <c r="F638" s="27"/>
      <c r="G638" s="27"/>
      <c r="H638" s="27"/>
      <c r="I638" s="27"/>
      <c r="J638" s="27"/>
      <c r="L638" s="27"/>
    </row>
    <row r="639" ht="15.75" customHeight="1">
      <c r="D639" s="27"/>
      <c r="E639" s="27"/>
      <c r="F639" s="27"/>
      <c r="G639" s="27"/>
      <c r="H639" s="27"/>
      <c r="I639" s="27"/>
      <c r="J639" s="27"/>
      <c r="L639" s="27"/>
    </row>
    <row r="640" ht="15.75" customHeight="1">
      <c r="D640" s="27"/>
      <c r="E640" s="27"/>
      <c r="F640" s="27"/>
      <c r="G640" s="27"/>
      <c r="H640" s="27"/>
      <c r="I640" s="27"/>
      <c r="J640" s="27"/>
      <c r="L640" s="27"/>
    </row>
    <row r="641" ht="15.75" customHeight="1">
      <c r="D641" s="27"/>
      <c r="E641" s="27"/>
      <c r="F641" s="27"/>
      <c r="G641" s="27"/>
      <c r="H641" s="27"/>
      <c r="I641" s="27"/>
      <c r="J641" s="27"/>
      <c r="L641" s="27"/>
    </row>
    <row r="642" ht="15.75" customHeight="1">
      <c r="D642" s="27"/>
      <c r="E642" s="27"/>
      <c r="F642" s="27"/>
      <c r="G642" s="27"/>
      <c r="H642" s="27"/>
      <c r="I642" s="27"/>
      <c r="J642" s="27"/>
      <c r="L642" s="27"/>
    </row>
    <row r="643" ht="15.75" customHeight="1">
      <c r="D643" s="27"/>
      <c r="E643" s="27"/>
      <c r="F643" s="27"/>
      <c r="G643" s="27"/>
      <c r="H643" s="27"/>
      <c r="I643" s="27"/>
      <c r="J643" s="27"/>
      <c r="L643" s="27"/>
    </row>
    <row r="644" ht="15.75" customHeight="1">
      <c r="D644" s="27"/>
      <c r="E644" s="27"/>
      <c r="F644" s="27"/>
      <c r="G644" s="27"/>
      <c r="H644" s="27"/>
      <c r="I644" s="27"/>
      <c r="J644" s="27"/>
      <c r="L644" s="27"/>
    </row>
    <row r="645" ht="15.75" customHeight="1">
      <c r="D645" s="27"/>
      <c r="E645" s="27"/>
      <c r="F645" s="27"/>
      <c r="G645" s="27"/>
      <c r="H645" s="27"/>
      <c r="I645" s="27"/>
      <c r="J645" s="27"/>
      <c r="L645" s="27"/>
    </row>
    <row r="646" ht="15.75" customHeight="1">
      <c r="D646" s="27"/>
      <c r="E646" s="27"/>
      <c r="F646" s="27"/>
      <c r="G646" s="27"/>
      <c r="H646" s="27"/>
      <c r="I646" s="27"/>
      <c r="J646" s="27"/>
      <c r="L646" s="27"/>
    </row>
    <row r="647" ht="15.75" customHeight="1">
      <c r="D647" s="27"/>
      <c r="E647" s="27"/>
      <c r="F647" s="27"/>
      <c r="G647" s="27"/>
      <c r="H647" s="27"/>
      <c r="I647" s="27"/>
      <c r="J647" s="27"/>
      <c r="L647" s="27"/>
    </row>
    <row r="648" ht="15.75" customHeight="1">
      <c r="D648" s="27"/>
      <c r="E648" s="27"/>
      <c r="F648" s="27"/>
      <c r="G648" s="27"/>
      <c r="H648" s="27"/>
      <c r="I648" s="27"/>
      <c r="J648" s="27"/>
      <c r="L648" s="27"/>
    </row>
    <row r="649" ht="15.75" customHeight="1">
      <c r="D649" s="27"/>
      <c r="E649" s="27"/>
      <c r="F649" s="27"/>
      <c r="G649" s="27"/>
      <c r="H649" s="27"/>
      <c r="I649" s="27"/>
      <c r="J649" s="27"/>
      <c r="L649" s="27"/>
    </row>
    <row r="650" ht="15.75" customHeight="1">
      <c r="D650" s="27"/>
      <c r="E650" s="27"/>
      <c r="F650" s="27"/>
      <c r="G650" s="27"/>
      <c r="H650" s="27"/>
      <c r="I650" s="27"/>
      <c r="J650" s="27"/>
      <c r="L650" s="27"/>
    </row>
    <row r="651" ht="15.75" customHeight="1">
      <c r="D651" s="27"/>
      <c r="E651" s="27"/>
      <c r="F651" s="27"/>
      <c r="G651" s="27"/>
      <c r="H651" s="27"/>
      <c r="I651" s="27"/>
      <c r="J651" s="27"/>
      <c r="L651" s="27"/>
    </row>
    <row r="652" ht="15.75" customHeight="1">
      <c r="D652" s="27"/>
      <c r="E652" s="27"/>
      <c r="F652" s="27"/>
      <c r="G652" s="27"/>
      <c r="H652" s="27"/>
      <c r="I652" s="27"/>
      <c r="J652" s="27"/>
      <c r="L652" s="27"/>
    </row>
    <row r="653" ht="15.75" customHeight="1">
      <c r="D653" s="27"/>
      <c r="E653" s="27"/>
      <c r="F653" s="27"/>
      <c r="G653" s="27"/>
      <c r="H653" s="27"/>
      <c r="I653" s="27"/>
      <c r="J653" s="27"/>
      <c r="L653" s="27"/>
    </row>
    <row r="654" ht="15.75" customHeight="1">
      <c r="D654" s="27"/>
      <c r="E654" s="27"/>
      <c r="F654" s="27"/>
      <c r="G654" s="27"/>
      <c r="H654" s="27"/>
      <c r="I654" s="27"/>
      <c r="J654" s="27"/>
      <c r="L654" s="27"/>
    </row>
    <row r="655" ht="15.75" customHeight="1">
      <c r="D655" s="27"/>
      <c r="E655" s="27"/>
      <c r="F655" s="27"/>
      <c r="G655" s="27"/>
      <c r="H655" s="27"/>
      <c r="I655" s="27"/>
      <c r="J655" s="27"/>
      <c r="L655" s="27"/>
    </row>
    <row r="656" ht="15.75" customHeight="1">
      <c r="D656" s="27"/>
      <c r="E656" s="27"/>
      <c r="F656" s="27"/>
      <c r="G656" s="27"/>
      <c r="H656" s="27"/>
      <c r="I656" s="27"/>
      <c r="J656" s="27"/>
      <c r="L656" s="27"/>
    </row>
    <row r="657" ht="15.75" customHeight="1">
      <c r="D657" s="27"/>
      <c r="E657" s="27"/>
      <c r="F657" s="27"/>
      <c r="G657" s="27"/>
      <c r="H657" s="27"/>
      <c r="I657" s="27"/>
      <c r="J657" s="27"/>
      <c r="L657" s="27"/>
    </row>
    <row r="658" ht="15.75" customHeight="1">
      <c r="D658" s="27"/>
      <c r="E658" s="27"/>
      <c r="F658" s="27"/>
      <c r="G658" s="27"/>
      <c r="H658" s="27"/>
      <c r="I658" s="27"/>
      <c r="J658" s="27"/>
      <c r="L658" s="27"/>
    </row>
    <row r="659" ht="15.75" customHeight="1">
      <c r="D659" s="27"/>
      <c r="E659" s="27"/>
      <c r="F659" s="27"/>
      <c r="G659" s="27"/>
      <c r="H659" s="27"/>
      <c r="I659" s="27"/>
      <c r="J659" s="27"/>
      <c r="L659" s="27"/>
    </row>
    <row r="660" ht="15.75" customHeight="1">
      <c r="D660" s="27"/>
      <c r="E660" s="27"/>
      <c r="F660" s="27"/>
      <c r="G660" s="27"/>
      <c r="H660" s="27"/>
      <c r="I660" s="27"/>
      <c r="J660" s="27"/>
      <c r="L660" s="27"/>
    </row>
    <row r="661" ht="15.75" customHeight="1">
      <c r="D661" s="27"/>
      <c r="E661" s="27"/>
      <c r="F661" s="27"/>
      <c r="G661" s="27"/>
      <c r="H661" s="27"/>
      <c r="I661" s="27"/>
      <c r="J661" s="27"/>
      <c r="L661" s="27"/>
    </row>
    <row r="662" ht="15.75" customHeight="1">
      <c r="D662" s="27"/>
      <c r="E662" s="27"/>
      <c r="F662" s="27"/>
      <c r="G662" s="27"/>
      <c r="H662" s="27"/>
      <c r="I662" s="27"/>
      <c r="J662" s="27"/>
      <c r="L662" s="27"/>
    </row>
    <row r="663" ht="15.75" customHeight="1">
      <c r="D663" s="27"/>
      <c r="E663" s="27"/>
      <c r="F663" s="27"/>
      <c r="G663" s="27"/>
      <c r="H663" s="27"/>
      <c r="I663" s="27"/>
      <c r="J663" s="27"/>
      <c r="L663" s="27"/>
    </row>
    <row r="664" ht="15.75" customHeight="1">
      <c r="D664" s="27"/>
      <c r="E664" s="27"/>
      <c r="F664" s="27"/>
      <c r="G664" s="27"/>
      <c r="H664" s="27"/>
      <c r="I664" s="27"/>
      <c r="J664" s="27"/>
      <c r="L664" s="27"/>
    </row>
    <row r="665" ht="15.75" customHeight="1">
      <c r="D665" s="27"/>
      <c r="E665" s="27"/>
      <c r="F665" s="27"/>
      <c r="G665" s="27"/>
      <c r="H665" s="27"/>
      <c r="I665" s="27"/>
      <c r="J665" s="27"/>
      <c r="L665" s="27"/>
    </row>
    <row r="666" ht="15.75" customHeight="1">
      <c r="D666" s="27"/>
      <c r="E666" s="27"/>
      <c r="F666" s="27"/>
      <c r="G666" s="27"/>
      <c r="H666" s="27"/>
      <c r="I666" s="27"/>
      <c r="J666" s="27"/>
      <c r="L666" s="27"/>
    </row>
    <row r="667" ht="15.75" customHeight="1">
      <c r="D667" s="27"/>
      <c r="E667" s="27"/>
      <c r="F667" s="27"/>
      <c r="G667" s="27"/>
      <c r="H667" s="27"/>
      <c r="I667" s="27"/>
      <c r="J667" s="27"/>
      <c r="L667" s="27"/>
    </row>
    <row r="668" ht="15.75" customHeight="1">
      <c r="D668" s="27"/>
      <c r="E668" s="27"/>
      <c r="F668" s="27"/>
      <c r="G668" s="27"/>
      <c r="H668" s="27"/>
      <c r="I668" s="27"/>
      <c r="J668" s="27"/>
      <c r="L668" s="27"/>
    </row>
    <row r="669" ht="15.75" customHeight="1">
      <c r="D669" s="27"/>
      <c r="E669" s="27"/>
      <c r="F669" s="27"/>
      <c r="G669" s="27"/>
      <c r="H669" s="27"/>
      <c r="I669" s="27"/>
      <c r="J669" s="27"/>
      <c r="L669" s="27"/>
    </row>
    <row r="670" ht="15.75" customHeight="1">
      <c r="D670" s="27"/>
      <c r="E670" s="27"/>
      <c r="F670" s="27"/>
      <c r="G670" s="27"/>
      <c r="H670" s="27"/>
      <c r="I670" s="27"/>
      <c r="J670" s="27"/>
      <c r="L670" s="27"/>
    </row>
    <row r="671" ht="15.75" customHeight="1">
      <c r="D671" s="27"/>
      <c r="E671" s="27"/>
      <c r="F671" s="27"/>
      <c r="G671" s="27"/>
      <c r="H671" s="27"/>
      <c r="I671" s="27"/>
      <c r="J671" s="27"/>
      <c r="L671" s="27"/>
    </row>
    <row r="672" ht="15.75" customHeight="1">
      <c r="D672" s="27"/>
      <c r="E672" s="27"/>
      <c r="F672" s="27"/>
      <c r="G672" s="27"/>
      <c r="H672" s="27"/>
      <c r="I672" s="27"/>
      <c r="J672" s="27"/>
      <c r="L672" s="27"/>
    </row>
    <row r="673" ht="15.75" customHeight="1">
      <c r="D673" s="27"/>
      <c r="E673" s="27"/>
      <c r="F673" s="27"/>
      <c r="G673" s="27"/>
      <c r="H673" s="27"/>
      <c r="I673" s="27"/>
      <c r="J673" s="27"/>
      <c r="L673" s="27"/>
    </row>
    <row r="674" ht="15.75" customHeight="1">
      <c r="D674" s="27"/>
      <c r="E674" s="27"/>
      <c r="F674" s="27"/>
      <c r="G674" s="27"/>
      <c r="H674" s="27"/>
      <c r="I674" s="27"/>
      <c r="J674" s="27"/>
      <c r="L674" s="27"/>
    </row>
    <row r="675" ht="15.75" customHeight="1">
      <c r="D675" s="27"/>
      <c r="E675" s="27"/>
      <c r="F675" s="27"/>
      <c r="G675" s="27"/>
      <c r="H675" s="27"/>
      <c r="I675" s="27"/>
      <c r="J675" s="27"/>
      <c r="L675" s="27"/>
    </row>
    <row r="676" ht="15.75" customHeight="1">
      <c r="D676" s="27"/>
      <c r="E676" s="27"/>
      <c r="F676" s="27"/>
      <c r="G676" s="27"/>
      <c r="H676" s="27"/>
      <c r="I676" s="27"/>
      <c r="J676" s="27"/>
      <c r="L676" s="27"/>
    </row>
    <row r="677" ht="15.75" customHeight="1">
      <c r="D677" s="27"/>
      <c r="E677" s="27"/>
      <c r="F677" s="27"/>
      <c r="G677" s="27"/>
      <c r="H677" s="27"/>
      <c r="I677" s="27"/>
      <c r="J677" s="27"/>
      <c r="L677" s="27"/>
    </row>
    <row r="678" ht="15.75" customHeight="1">
      <c r="D678" s="27"/>
      <c r="E678" s="27"/>
      <c r="F678" s="27"/>
      <c r="G678" s="27"/>
      <c r="H678" s="27"/>
      <c r="I678" s="27"/>
      <c r="J678" s="27"/>
      <c r="L678" s="27"/>
    </row>
    <row r="679" ht="15.75" customHeight="1">
      <c r="D679" s="27"/>
      <c r="E679" s="27"/>
      <c r="F679" s="27"/>
      <c r="G679" s="27"/>
      <c r="H679" s="27"/>
      <c r="I679" s="27"/>
      <c r="J679" s="27"/>
      <c r="L679" s="27"/>
    </row>
    <row r="680" ht="15.75" customHeight="1">
      <c r="D680" s="27"/>
      <c r="E680" s="27"/>
      <c r="F680" s="27"/>
      <c r="G680" s="27"/>
      <c r="H680" s="27"/>
      <c r="I680" s="27"/>
      <c r="J680" s="27"/>
      <c r="L680" s="27"/>
    </row>
    <row r="681" ht="15.75" customHeight="1">
      <c r="D681" s="27"/>
      <c r="E681" s="27"/>
      <c r="F681" s="27"/>
      <c r="G681" s="27"/>
      <c r="H681" s="27"/>
      <c r="I681" s="27"/>
      <c r="J681" s="27"/>
      <c r="L681" s="27"/>
    </row>
    <row r="682" ht="15.75" customHeight="1">
      <c r="D682" s="27"/>
      <c r="E682" s="27"/>
      <c r="F682" s="27"/>
      <c r="G682" s="27"/>
      <c r="H682" s="27"/>
      <c r="I682" s="27"/>
      <c r="J682" s="27"/>
      <c r="L682" s="27"/>
    </row>
    <row r="683" ht="15.75" customHeight="1">
      <c r="D683" s="27"/>
      <c r="E683" s="27"/>
      <c r="F683" s="27"/>
      <c r="G683" s="27"/>
      <c r="H683" s="27"/>
      <c r="I683" s="27"/>
      <c r="J683" s="27"/>
      <c r="L683" s="27"/>
    </row>
    <row r="684" ht="15.75" customHeight="1">
      <c r="D684" s="27"/>
      <c r="E684" s="27"/>
      <c r="F684" s="27"/>
      <c r="G684" s="27"/>
      <c r="H684" s="27"/>
      <c r="I684" s="27"/>
      <c r="J684" s="27"/>
      <c r="L684" s="27"/>
    </row>
    <row r="685" ht="15.75" customHeight="1">
      <c r="D685" s="27"/>
      <c r="E685" s="27"/>
      <c r="F685" s="27"/>
      <c r="G685" s="27"/>
      <c r="H685" s="27"/>
      <c r="I685" s="27"/>
      <c r="J685" s="27"/>
      <c r="L685" s="27"/>
    </row>
    <row r="686" ht="15.75" customHeight="1">
      <c r="D686" s="27"/>
      <c r="E686" s="27"/>
      <c r="F686" s="27"/>
      <c r="G686" s="27"/>
      <c r="H686" s="27"/>
      <c r="I686" s="27"/>
      <c r="J686" s="27"/>
      <c r="L686" s="27"/>
    </row>
    <row r="687" ht="15.75" customHeight="1">
      <c r="D687" s="27"/>
      <c r="E687" s="27"/>
      <c r="F687" s="27"/>
      <c r="G687" s="27"/>
      <c r="H687" s="27"/>
      <c r="I687" s="27"/>
      <c r="J687" s="27"/>
      <c r="L687" s="27"/>
    </row>
    <row r="688" ht="15.75" customHeight="1">
      <c r="D688" s="27"/>
      <c r="E688" s="27"/>
      <c r="F688" s="27"/>
      <c r="G688" s="27"/>
      <c r="H688" s="27"/>
      <c r="I688" s="27"/>
      <c r="J688" s="27"/>
      <c r="L688" s="27"/>
    </row>
    <row r="689" ht="15.75" customHeight="1">
      <c r="D689" s="27"/>
      <c r="E689" s="27"/>
      <c r="F689" s="27"/>
      <c r="G689" s="27"/>
      <c r="H689" s="27"/>
      <c r="I689" s="27"/>
      <c r="J689" s="27"/>
      <c r="L689" s="27"/>
    </row>
    <row r="690" ht="15.75" customHeight="1">
      <c r="D690" s="27"/>
      <c r="E690" s="27"/>
      <c r="F690" s="27"/>
      <c r="G690" s="27"/>
      <c r="H690" s="27"/>
      <c r="I690" s="27"/>
      <c r="J690" s="27"/>
      <c r="L690" s="27"/>
    </row>
    <row r="691" ht="15.75" customHeight="1">
      <c r="D691" s="27"/>
      <c r="E691" s="27"/>
      <c r="F691" s="27"/>
      <c r="G691" s="27"/>
      <c r="H691" s="27"/>
      <c r="I691" s="27"/>
      <c r="J691" s="27"/>
      <c r="L691" s="27"/>
    </row>
    <row r="692" ht="15.75" customHeight="1">
      <c r="D692" s="27"/>
      <c r="E692" s="27"/>
      <c r="F692" s="27"/>
      <c r="G692" s="27"/>
      <c r="H692" s="27"/>
      <c r="I692" s="27"/>
      <c r="J692" s="27"/>
      <c r="L692" s="27"/>
    </row>
    <row r="693" ht="15.75" customHeight="1">
      <c r="D693" s="27"/>
      <c r="E693" s="27"/>
      <c r="F693" s="27"/>
      <c r="G693" s="27"/>
      <c r="H693" s="27"/>
      <c r="I693" s="27"/>
      <c r="J693" s="27"/>
      <c r="L693" s="27"/>
    </row>
    <row r="694" ht="15.75" customHeight="1">
      <c r="D694" s="27"/>
      <c r="E694" s="27"/>
      <c r="F694" s="27"/>
      <c r="G694" s="27"/>
      <c r="H694" s="27"/>
      <c r="I694" s="27"/>
      <c r="J694" s="27"/>
      <c r="L694" s="27"/>
    </row>
    <row r="695" ht="15.75" customHeight="1">
      <c r="D695" s="27"/>
      <c r="E695" s="27"/>
      <c r="F695" s="27"/>
      <c r="G695" s="27"/>
      <c r="H695" s="27"/>
      <c r="I695" s="27"/>
      <c r="J695" s="27"/>
      <c r="L695" s="27"/>
    </row>
    <row r="696" ht="15.75" customHeight="1">
      <c r="D696" s="27"/>
      <c r="E696" s="27"/>
      <c r="F696" s="27"/>
      <c r="G696" s="27"/>
      <c r="H696" s="27"/>
      <c r="I696" s="27"/>
      <c r="J696" s="27"/>
      <c r="L696" s="27"/>
    </row>
    <row r="697" ht="15.75" customHeight="1">
      <c r="D697" s="27"/>
      <c r="E697" s="27"/>
      <c r="F697" s="27"/>
      <c r="G697" s="27"/>
      <c r="H697" s="27"/>
      <c r="I697" s="27"/>
      <c r="J697" s="27"/>
      <c r="L697" s="27"/>
    </row>
    <row r="698" ht="15.75" customHeight="1">
      <c r="D698" s="27"/>
      <c r="E698" s="27"/>
      <c r="F698" s="27"/>
      <c r="G698" s="27"/>
      <c r="H698" s="27"/>
      <c r="I698" s="27"/>
      <c r="J698" s="27"/>
      <c r="L698" s="27"/>
    </row>
    <row r="699" ht="15.75" customHeight="1">
      <c r="D699" s="27"/>
      <c r="E699" s="27"/>
      <c r="F699" s="27"/>
      <c r="G699" s="27"/>
      <c r="H699" s="27"/>
      <c r="I699" s="27"/>
      <c r="J699" s="27"/>
      <c r="L699" s="27"/>
    </row>
    <row r="700" ht="15.75" customHeight="1">
      <c r="D700" s="27"/>
      <c r="E700" s="27"/>
      <c r="F700" s="27"/>
      <c r="G700" s="27"/>
      <c r="H700" s="27"/>
      <c r="I700" s="27"/>
      <c r="J700" s="27"/>
      <c r="L700" s="27"/>
    </row>
    <row r="701" ht="15.75" customHeight="1">
      <c r="D701" s="27"/>
      <c r="E701" s="27"/>
      <c r="F701" s="27"/>
      <c r="G701" s="27"/>
      <c r="H701" s="27"/>
      <c r="I701" s="27"/>
      <c r="J701" s="27"/>
      <c r="L701" s="27"/>
    </row>
    <row r="702" ht="15.75" customHeight="1">
      <c r="D702" s="27"/>
      <c r="E702" s="27"/>
      <c r="F702" s="27"/>
      <c r="G702" s="27"/>
      <c r="H702" s="27"/>
      <c r="I702" s="27"/>
      <c r="J702" s="27"/>
      <c r="L702" s="27"/>
    </row>
    <row r="703" ht="15.75" customHeight="1">
      <c r="D703" s="27"/>
      <c r="E703" s="27"/>
      <c r="F703" s="27"/>
      <c r="G703" s="27"/>
      <c r="H703" s="27"/>
      <c r="I703" s="27"/>
      <c r="J703" s="27"/>
      <c r="L703" s="27"/>
    </row>
    <row r="704" ht="15.75" customHeight="1">
      <c r="D704" s="27"/>
      <c r="E704" s="27"/>
      <c r="F704" s="27"/>
      <c r="G704" s="27"/>
      <c r="H704" s="27"/>
      <c r="I704" s="27"/>
      <c r="J704" s="27"/>
      <c r="L704" s="27"/>
    </row>
    <row r="705" ht="15.75" customHeight="1">
      <c r="D705" s="27"/>
      <c r="E705" s="27"/>
      <c r="F705" s="27"/>
      <c r="G705" s="27"/>
      <c r="H705" s="27"/>
      <c r="I705" s="27"/>
      <c r="J705" s="27"/>
      <c r="L705" s="27"/>
    </row>
    <row r="706" ht="15.75" customHeight="1">
      <c r="D706" s="27"/>
      <c r="E706" s="27"/>
      <c r="F706" s="27"/>
      <c r="G706" s="27"/>
      <c r="H706" s="27"/>
      <c r="I706" s="27"/>
      <c r="J706" s="27"/>
      <c r="L706" s="27"/>
    </row>
    <row r="707" ht="15.75" customHeight="1">
      <c r="D707" s="27"/>
      <c r="E707" s="27"/>
      <c r="F707" s="27"/>
      <c r="G707" s="27"/>
      <c r="H707" s="27"/>
      <c r="I707" s="27"/>
      <c r="J707" s="27"/>
      <c r="L707" s="27"/>
    </row>
    <row r="708" ht="15.75" customHeight="1">
      <c r="D708" s="27"/>
      <c r="E708" s="27"/>
      <c r="F708" s="27"/>
      <c r="G708" s="27"/>
      <c r="H708" s="27"/>
      <c r="I708" s="27"/>
      <c r="J708" s="27"/>
      <c r="L708" s="27"/>
    </row>
    <row r="709" ht="15.75" customHeight="1">
      <c r="D709" s="27"/>
      <c r="E709" s="27"/>
      <c r="F709" s="27"/>
      <c r="G709" s="27"/>
      <c r="H709" s="27"/>
      <c r="I709" s="27"/>
      <c r="J709" s="27"/>
      <c r="L709" s="27"/>
    </row>
    <row r="710" ht="15.75" customHeight="1">
      <c r="D710" s="27"/>
      <c r="E710" s="27"/>
      <c r="F710" s="27"/>
      <c r="G710" s="27"/>
      <c r="H710" s="27"/>
      <c r="I710" s="27"/>
      <c r="J710" s="27"/>
      <c r="L710" s="27"/>
    </row>
    <row r="711" ht="15.75" customHeight="1">
      <c r="D711" s="27"/>
      <c r="E711" s="27"/>
      <c r="F711" s="27"/>
      <c r="G711" s="27"/>
      <c r="H711" s="27"/>
      <c r="I711" s="27"/>
      <c r="J711" s="27"/>
      <c r="L711" s="27"/>
    </row>
    <row r="712" ht="15.75" customHeight="1">
      <c r="D712" s="27"/>
      <c r="E712" s="27"/>
      <c r="F712" s="27"/>
      <c r="G712" s="27"/>
      <c r="H712" s="27"/>
      <c r="I712" s="27"/>
      <c r="J712" s="27"/>
      <c r="L712" s="27"/>
    </row>
    <row r="713" ht="15.75" customHeight="1">
      <c r="D713" s="27"/>
      <c r="E713" s="27"/>
      <c r="F713" s="27"/>
      <c r="G713" s="27"/>
      <c r="H713" s="27"/>
      <c r="I713" s="27"/>
      <c r="J713" s="27"/>
      <c r="L713" s="27"/>
    </row>
    <row r="714" ht="15.75" customHeight="1">
      <c r="D714" s="27"/>
      <c r="E714" s="27"/>
      <c r="F714" s="27"/>
      <c r="G714" s="27"/>
      <c r="H714" s="27"/>
      <c r="I714" s="27"/>
      <c r="J714" s="27"/>
      <c r="L714" s="27"/>
    </row>
    <row r="715" ht="15.75" customHeight="1">
      <c r="D715" s="27"/>
      <c r="E715" s="27"/>
      <c r="F715" s="27"/>
      <c r="G715" s="27"/>
      <c r="H715" s="27"/>
      <c r="I715" s="27"/>
      <c r="J715" s="27"/>
      <c r="L715" s="27"/>
    </row>
    <row r="716" ht="15.75" customHeight="1">
      <c r="D716" s="27"/>
      <c r="E716" s="27"/>
      <c r="F716" s="27"/>
      <c r="G716" s="27"/>
      <c r="H716" s="27"/>
      <c r="I716" s="27"/>
      <c r="J716" s="27"/>
      <c r="L716" s="27"/>
    </row>
    <row r="717" ht="15.75" customHeight="1">
      <c r="D717" s="27"/>
      <c r="E717" s="27"/>
      <c r="F717" s="27"/>
      <c r="G717" s="27"/>
      <c r="H717" s="27"/>
      <c r="I717" s="27"/>
      <c r="J717" s="27"/>
      <c r="L717" s="27"/>
    </row>
    <row r="718" ht="15.75" customHeight="1">
      <c r="D718" s="27"/>
      <c r="E718" s="27"/>
      <c r="F718" s="27"/>
      <c r="G718" s="27"/>
      <c r="H718" s="27"/>
      <c r="I718" s="27"/>
      <c r="J718" s="27"/>
      <c r="L718" s="27"/>
    </row>
    <row r="719" ht="15.75" customHeight="1">
      <c r="D719" s="27"/>
      <c r="E719" s="27"/>
      <c r="F719" s="27"/>
      <c r="G719" s="27"/>
      <c r="H719" s="27"/>
      <c r="I719" s="27"/>
      <c r="J719" s="27"/>
      <c r="L719" s="27"/>
    </row>
    <row r="720" ht="15.75" customHeight="1">
      <c r="D720" s="27"/>
      <c r="E720" s="27"/>
      <c r="F720" s="27"/>
      <c r="G720" s="27"/>
      <c r="H720" s="27"/>
      <c r="I720" s="27"/>
      <c r="J720" s="27"/>
      <c r="L720" s="27"/>
    </row>
    <row r="721" ht="15.75" customHeight="1">
      <c r="D721" s="27"/>
      <c r="E721" s="27"/>
      <c r="F721" s="27"/>
      <c r="G721" s="27"/>
      <c r="H721" s="27"/>
      <c r="I721" s="27"/>
      <c r="J721" s="27"/>
      <c r="L721" s="27"/>
    </row>
    <row r="722" ht="15.75" customHeight="1">
      <c r="D722" s="27"/>
      <c r="E722" s="27"/>
      <c r="F722" s="27"/>
      <c r="G722" s="27"/>
      <c r="H722" s="27"/>
      <c r="I722" s="27"/>
      <c r="J722" s="27"/>
      <c r="L722" s="27"/>
    </row>
    <row r="723" ht="15.75" customHeight="1">
      <c r="D723" s="27"/>
      <c r="E723" s="27"/>
      <c r="F723" s="27"/>
      <c r="G723" s="27"/>
      <c r="H723" s="27"/>
      <c r="I723" s="27"/>
      <c r="J723" s="27"/>
      <c r="L723" s="27"/>
    </row>
    <row r="724" ht="15.75" customHeight="1">
      <c r="D724" s="27"/>
      <c r="E724" s="27"/>
      <c r="F724" s="27"/>
      <c r="G724" s="27"/>
      <c r="H724" s="27"/>
      <c r="I724" s="27"/>
      <c r="J724" s="27"/>
      <c r="L724" s="27"/>
    </row>
    <row r="725" ht="15.75" customHeight="1">
      <c r="D725" s="27"/>
      <c r="E725" s="27"/>
      <c r="F725" s="27"/>
      <c r="G725" s="27"/>
      <c r="H725" s="27"/>
      <c r="I725" s="27"/>
      <c r="J725" s="27"/>
      <c r="L725" s="27"/>
    </row>
    <row r="726" ht="15.75" customHeight="1">
      <c r="D726" s="27"/>
      <c r="E726" s="27"/>
      <c r="F726" s="27"/>
      <c r="G726" s="27"/>
      <c r="H726" s="27"/>
      <c r="I726" s="27"/>
      <c r="J726" s="27"/>
      <c r="L726" s="27"/>
    </row>
    <row r="727" ht="15.75" customHeight="1">
      <c r="D727" s="27"/>
      <c r="E727" s="27"/>
      <c r="F727" s="27"/>
      <c r="G727" s="27"/>
      <c r="H727" s="27"/>
      <c r="I727" s="27"/>
      <c r="J727" s="27"/>
      <c r="L727" s="27"/>
    </row>
    <row r="728" ht="15.75" customHeight="1">
      <c r="D728" s="27"/>
      <c r="E728" s="27"/>
      <c r="F728" s="27"/>
      <c r="G728" s="27"/>
      <c r="H728" s="27"/>
      <c r="I728" s="27"/>
      <c r="J728" s="27"/>
      <c r="L728" s="27"/>
    </row>
    <row r="729" ht="15.75" customHeight="1">
      <c r="D729" s="27"/>
      <c r="E729" s="27"/>
      <c r="F729" s="27"/>
      <c r="G729" s="27"/>
      <c r="H729" s="27"/>
      <c r="I729" s="27"/>
      <c r="J729" s="27"/>
      <c r="L729" s="27"/>
    </row>
    <row r="730" ht="15.75" customHeight="1">
      <c r="D730" s="27"/>
      <c r="E730" s="27"/>
      <c r="F730" s="27"/>
      <c r="G730" s="27"/>
      <c r="H730" s="27"/>
      <c r="I730" s="27"/>
      <c r="J730" s="27"/>
      <c r="L730" s="27"/>
    </row>
    <row r="731" ht="15.75" customHeight="1">
      <c r="D731" s="27"/>
      <c r="E731" s="27"/>
      <c r="F731" s="27"/>
      <c r="G731" s="27"/>
      <c r="H731" s="27"/>
      <c r="I731" s="27"/>
      <c r="J731" s="27"/>
      <c r="L731" s="27"/>
    </row>
    <row r="732" ht="15.75" customHeight="1">
      <c r="D732" s="27"/>
      <c r="E732" s="27"/>
      <c r="F732" s="27"/>
      <c r="G732" s="27"/>
      <c r="H732" s="27"/>
      <c r="I732" s="27"/>
      <c r="J732" s="27"/>
      <c r="L732" s="27"/>
    </row>
    <row r="733" ht="15.75" customHeight="1">
      <c r="D733" s="27"/>
      <c r="E733" s="27"/>
      <c r="F733" s="27"/>
      <c r="G733" s="27"/>
      <c r="H733" s="27"/>
      <c r="I733" s="27"/>
      <c r="J733" s="27"/>
      <c r="L733" s="27"/>
    </row>
    <row r="734" ht="15.75" customHeight="1">
      <c r="D734" s="27"/>
      <c r="E734" s="27"/>
      <c r="F734" s="27"/>
      <c r="G734" s="27"/>
      <c r="H734" s="27"/>
      <c r="I734" s="27"/>
      <c r="J734" s="27"/>
      <c r="L734" s="27"/>
    </row>
    <row r="735" ht="15.75" customHeight="1">
      <c r="D735" s="27"/>
      <c r="E735" s="27"/>
      <c r="F735" s="27"/>
      <c r="G735" s="27"/>
      <c r="H735" s="27"/>
      <c r="I735" s="27"/>
      <c r="J735" s="27"/>
      <c r="L735" s="27"/>
    </row>
    <row r="736" ht="15.75" customHeight="1">
      <c r="D736" s="27"/>
      <c r="E736" s="27"/>
      <c r="F736" s="27"/>
      <c r="G736" s="27"/>
      <c r="H736" s="27"/>
      <c r="I736" s="27"/>
      <c r="J736" s="27"/>
      <c r="L736" s="27"/>
    </row>
    <row r="737" ht="15.75" customHeight="1">
      <c r="D737" s="27"/>
      <c r="E737" s="27"/>
      <c r="F737" s="27"/>
      <c r="G737" s="27"/>
      <c r="H737" s="27"/>
      <c r="I737" s="27"/>
      <c r="J737" s="27"/>
      <c r="L737" s="27"/>
    </row>
    <row r="738" ht="15.75" customHeight="1">
      <c r="D738" s="27"/>
      <c r="E738" s="27"/>
      <c r="F738" s="27"/>
      <c r="G738" s="27"/>
      <c r="H738" s="27"/>
      <c r="I738" s="27"/>
      <c r="J738" s="27"/>
      <c r="L738" s="27"/>
    </row>
    <row r="739" ht="15.75" customHeight="1">
      <c r="D739" s="27"/>
      <c r="E739" s="27"/>
      <c r="F739" s="27"/>
      <c r="G739" s="27"/>
      <c r="H739" s="27"/>
      <c r="I739" s="27"/>
      <c r="J739" s="27"/>
      <c r="L739" s="27"/>
    </row>
    <row r="740" ht="15.75" customHeight="1">
      <c r="D740" s="27"/>
      <c r="E740" s="27"/>
      <c r="F740" s="27"/>
      <c r="G740" s="27"/>
      <c r="H740" s="27"/>
      <c r="I740" s="27"/>
      <c r="J740" s="27"/>
      <c r="L740" s="27"/>
    </row>
    <row r="741" ht="15.75" customHeight="1">
      <c r="D741" s="27"/>
      <c r="E741" s="27"/>
      <c r="F741" s="27"/>
      <c r="G741" s="27"/>
      <c r="H741" s="27"/>
      <c r="I741" s="27"/>
      <c r="J741" s="27"/>
      <c r="L741" s="27"/>
    </row>
    <row r="742" ht="15.75" customHeight="1">
      <c r="D742" s="27"/>
      <c r="E742" s="27"/>
      <c r="F742" s="27"/>
      <c r="G742" s="27"/>
      <c r="H742" s="27"/>
      <c r="I742" s="27"/>
      <c r="J742" s="27"/>
      <c r="L742" s="27"/>
    </row>
    <row r="743" ht="15.75" customHeight="1">
      <c r="D743" s="27"/>
      <c r="E743" s="27"/>
      <c r="F743" s="27"/>
      <c r="G743" s="27"/>
      <c r="H743" s="27"/>
      <c r="I743" s="27"/>
      <c r="J743" s="27"/>
      <c r="L743" s="27"/>
    </row>
    <row r="744" ht="15.75" customHeight="1">
      <c r="D744" s="27"/>
      <c r="E744" s="27"/>
      <c r="F744" s="27"/>
      <c r="G744" s="27"/>
      <c r="H744" s="27"/>
      <c r="I744" s="27"/>
      <c r="J744" s="27"/>
      <c r="L744" s="27"/>
    </row>
    <row r="745" ht="15.75" customHeight="1">
      <c r="D745" s="27"/>
      <c r="E745" s="27"/>
      <c r="F745" s="27"/>
      <c r="G745" s="27"/>
      <c r="H745" s="27"/>
      <c r="I745" s="27"/>
      <c r="J745" s="27"/>
      <c r="L745" s="27"/>
    </row>
    <row r="746" ht="15.75" customHeight="1">
      <c r="D746" s="27"/>
      <c r="E746" s="27"/>
      <c r="F746" s="27"/>
      <c r="G746" s="27"/>
      <c r="H746" s="27"/>
      <c r="I746" s="27"/>
      <c r="J746" s="27"/>
      <c r="L746" s="27"/>
    </row>
    <row r="747" ht="15.75" customHeight="1">
      <c r="D747" s="27"/>
      <c r="E747" s="27"/>
      <c r="F747" s="27"/>
      <c r="G747" s="27"/>
      <c r="H747" s="27"/>
      <c r="I747" s="27"/>
      <c r="J747" s="27"/>
      <c r="L747" s="27"/>
    </row>
    <row r="748" ht="15.75" customHeight="1">
      <c r="D748" s="27"/>
      <c r="E748" s="27"/>
      <c r="F748" s="27"/>
      <c r="G748" s="27"/>
      <c r="H748" s="27"/>
      <c r="I748" s="27"/>
      <c r="J748" s="27"/>
      <c r="L748" s="27"/>
    </row>
    <row r="749" ht="15.75" customHeight="1">
      <c r="D749" s="27"/>
      <c r="E749" s="27"/>
      <c r="F749" s="27"/>
      <c r="G749" s="27"/>
      <c r="H749" s="27"/>
      <c r="I749" s="27"/>
      <c r="J749" s="27"/>
      <c r="L749" s="27"/>
    </row>
    <row r="750" ht="15.75" customHeight="1">
      <c r="D750" s="27"/>
      <c r="E750" s="27"/>
      <c r="F750" s="27"/>
      <c r="G750" s="27"/>
      <c r="H750" s="27"/>
      <c r="I750" s="27"/>
      <c r="J750" s="27"/>
      <c r="L750" s="27"/>
    </row>
    <row r="751" ht="15.75" customHeight="1">
      <c r="D751" s="27"/>
      <c r="E751" s="27"/>
      <c r="F751" s="27"/>
      <c r="G751" s="27"/>
      <c r="H751" s="27"/>
      <c r="I751" s="27"/>
      <c r="J751" s="27"/>
      <c r="L751" s="27"/>
    </row>
    <row r="752" ht="15.75" customHeight="1">
      <c r="D752" s="27"/>
      <c r="E752" s="27"/>
      <c r="F752" s="27"/>
      <c r="G752" s="27"/>
      <c r="H752" s="27"/>
      <c r="I752" s="27"/>
      <c r="J752" s="27"/>
      <c r="L752" s="27"/>
    </row>
    <row r="753" ht="15.75" customHeight="1">
      <c r="D753" s="27"/>
      <c r="E753" s="27"/>
      <c r="F753" s="27"/>
      <c r="G753" s="27"/>
      <c r="H753" s="27"/>
      <c r="I753" s="27"/>
      <c r="J753" s="27"/>
      <c r="L753" s="27"/>
    </row>
    <row r="754" ht="15.75" customHeight="1">
      <c r="D754" s="27"/>
      <c r="E754" s="27"/>
      <c r="F754" s="27"/>
      <c r="G754" s="27"/>
      <c r="H754" s="27"/>
      <c r="I754" s="27"/>
      <c r="J754" s="27"/>
      <c r="L754" s="27"/>
    </row>
    <row r="755" ht="15.75" customHeight="1">
      <c r="D755" s="27"/>
      <c r="E755" s="27"/>
      <c r="F755" s="27"/>
      <c r="G755" s="27"/>
      <c r="H755" s="27"/>
      <c r="I755" s="27"/>
      <c r="J755" s="27"/>
      <c r="L755" s="27"/>
    </row>
    <row r="756" ht="15.75" customHeight="1">
      <c r="D756" s="27"/>
      <c r="E756" s="27"/>
      <c r="F756" s="27"/>
      <c r="G756" s="27"/>
      <c r="H756" s="27"/>
      <c r="I756" s="27"/>
      <c r="J756" s="27"/>
      <c r="L756" s="27"/>
    </row>
    <row r="757" ht="15.75" customHeight="1">
      <c r="D757" s="27"/>
      <c r="E757" s="27"/>
      <c r="F757" s="27"/>
      <c r="G757" s="27"/>
      <c r="H757" s="27"/>
      <c r="I757" s="27"/>
      <c r="J757" s="27"/>
      <c r="L757" s="27"/>
    </row>
    <row r="758" ht="15.75" customHeight="1">
      <c r="D758" s="27"/>
      <c r="E758" s="27"/>
      <c r="F758" s="27"/>
      <c r="G758" s="27"/>
      <c r="H758" s="27"/>
      <c r="I758" s="27"/>
      <c r="J758" s="27"/>
      <c r="L758" s="27"/>
    </row>
    <row r="759" ht="15.75" customHeight="1">
      <c r="D759" s="27"/>
      <c r="E759" s="27"/>
      <c r="F759" s="27"/>
      <c r="G759" s="27"/>
      <c r="H759" s="27"/>
      <c r="I759" s="27"/>
      <c r="J759" s="27"/>
      <c r="L759" s="27"/>
    </row>
    <row r="760" ht="15.75" customHeight="1">
      <c r="D760" s="27"/>
      <c r="E760" s="27"/>
      <c r="F760" s="27"/>
      <c r="G760" s="27"/>
      <c r="H760" s="27"/>
      <c r="I760" s="27"/>
      <c r="J760" s="27"/>
      <c r="L760" s="27"/>
    </row>
    <row r="761" ht="15.75" customHeight="1">
      <c r="D761" s="27"/>
      <c r="E761" s="27"/>
      <c r="F761" s="27"/>
      <c r="G761" s="27"/>
      <c r="H761" s="27"/>
      <c r="I761" s="27"/>
      <c r="J761" s="27"/>
      <c r="L761" s="27"/>
    </row>
    <row r="762" ht="15.75" customHeight="1">
      <c r="D762" s="27"/>
      <c r="E762" s="27"/>
      <c r="F762" s="27"/>
      <c r="G762" s="27"/>
      <c r="H762" s="27"/>
      <c r="I762" s="27"/>
      <c r="J762" s="27"/>
      <c r="L762" s="27"/>
    </row>
    <row r="763" ht="15.75" customHeight="1">
      <c r="D763" s="27"/>
      <c r="E763" s="27"/>
      <c r="F763" s="27"/>
      <c r="G763" s="27"/>
      <c r="H763" s="27"/>
      <c r="I763" s="27"/>
      <c r="J763" s="27"/>
      <c r="L763" s="27"/>
    </row>
    <row r="764" ht="15.75" customHeight="1">
      <c r="D764" s="27"/>
      <c r="E764" s="27"/>
      <c r="F764" s="27"/>
      <c r="G764" s="27"/>
      <c r="H764" s="27"/>
      <c r="I764" s="27"/>
      <c r="J764" s="27"/>
      <c r="L764" s="27"/>
    </row>
    <row r="765" ht="15.75" customHeight="1">
      <c r="D765" s="27"/>
      <c r="E765" s="27"/>
      <c r="F765" s="27"/>
      <c r="G765" s="27"/>
      <c r="H765" s="27"/>
      <c r="I765" s="27"/>
      <c r="J765" s="27"/>
      <c r="L765" s="27"/>
    </row>
    <row r="766" ht="15.75" customHeight="1">
      <c r="D766" s="27"/>
      <c r="E766" s="27"/>
      <c r="F766" s="27"/>
      <c r="G766" s="27"/>
      <c r="H766" s="27"/>
      <c r="I766" s="27"/>
      <c r="J766" s="27"/>
      <c r="L766" s="27"/>
    </row>
    <row r="767" ht="15.75" customHeight="1">
      <c r="D767" s="27"/>
      <c r="E767" s="27"/>
      <c r="F767" s="27"/>
      <c r="G767" s="27"/>
      <c r="H767" s="27"/>
      <c r="I767" s="27"/>
      <c r="J767" s="27"/>
      <c r="L767" s="27"/>
    </row>
    <row r="768" ht="15.75" customHeight="1">
      <c r="D768" s="27"/>
      <c r="E768" s="27"/>
      <c r="F768" s="27"/>
      <c r="G768" s="27"/>
      <c r="H768" s="27"/>
      <c r="I768" s="27"/>
      <c r="J768" s="27"/>
      <c r="L768" s="27"/>
    </row>
    <row r="769" ht="15.75" customHeight="1">
      <c r="D769" s="27"/>
      <c r="E769" s="27"/>
      <c r="F769" s="27"/>
      <c r="G769" s="27"/>
      <c r="H769" s="27"/>
      <c r="I769" s="27"/>
      <c r="J769" s="27"/>
      <c r="L769" s="27"/>
    </row>
    <row r="770" ht="15.75" customHeight="1">
      <c r="D770" s="27"/>
      <c r="E770" s="27"/>
      <c r="F770" s="27"/>
      <c r="G770" s="27"/>
      <c r="H770" s="27"/>
      <c r="I770" s="27"/>
      <c r="J770" s="27"/>
      <c r="L770" s="27"/>
    </row>
    <row r="771" ht="15.75" customHeight="1">
      <c r="D771" s="27"/>
      <c r="E771" s="27"/>
      <c r="F771" s="27"/>
      <c r="G771" s="27"/>
      <c r="H771" s="27"/>
      <c r="I771" s="27"/>
      <c r="J771" s="27"/>
      <c r="L771" s="27"/>
    </row>
    <row r="772" ht="15.75" customHeight="1">
      <c r="D772" s="27"/>
      <c r="E772" s="27"/>
      <c r="F772" s="27"/>
      <c r="G772" s="27"/>
      <c r="H772" s="27"/>
      <c r="I772" s="27"/>
      <c r="J772" s="27"/>
      <c r="L772" s="27"/>
    </row>
    <row r="773" ht="15.75" customHeight="1">
      <c r="D773" s="27"/>
      <c r="E773" s="27"/>
      <c r="F773" s="27"/>
      <c r="G773" s="27"/>
      <c r="H773" s="27"/>
      <c r="I773" s="27"/>
      <c r="J773" s="27"/>
      <c r="L773" s="27"/>
    </row>
    <row r="774" ht="15.75" customHeight="1">
      <c r="D774" s="27"/>
      <c r="E774" s="27"/>
      <c r="F774" s="27"/>
      <c r="G774" s="27"/>
      <c r="H774" s="27"/>
      <c r="I774" s="27"/>
      <c r="J774" s="27"/>
      <c r="L774" s="27"/>
    </row>
    <row r="775" ht="15.75" customHeight="1">
      <c r="D775" s="27"/>
      <c r="E775" s="27"/>
      <c r="F775" s="27"/>
      <c r="G775" s="27"/>
      <c r="H775" s="27"/>
      <c r="I775" s="27"/>
      <c r="J775" s="27"/>
      <c r="L775" s="27"/>
    </row>
    <row r="776" ht="15.75" customHeight="1">
      <c r="D776" s="27"/>
      <c r="E776" s="27"/>
      <c r="F776" s="27"/>
      <c r="G776" s="27"/>
      <c r="H776" s="27"/>
      <c r="I776" s="27"/>
      <c r="J776" s="27"/>
      <c r="L776" s="27"/>
    </row>
    <row r="777" ht="15.75" customHeight="1">
      <c r="D777" s="27"/>
      <c r="E777" s="27"/>
      <c r="F777" s="27"/>
      <c r="G777" s="27"/>
      <c r="H777" s="27"/>
      <c r="I777" s="27"/>
      <c r="J777" s="27"/>
      <c r="L777" s="27"/>
    </row>
    <row r="778" ht="15.75" customHeight="1">
      <c r="D778" s="27"/>
      <c r="E778" s="27"/>
      <c r="F778" s="27"/>
      <c r="G778" s="27"/>
      <c r="H778" s="27"/>
      <c r="I778" s="27"/>
      <c r="J778" s="27"/>
      <c r="L778" s="27"/>
    </row>
    <row r="779" ht="15.75" customHeight="1">
      <c r="D779" s="27"/>
      <c r="E779" s="27"/>
      <c r="F779" s="27"/>
      <c r="G779" s="27"/>
      <c r="H779" s="27"/>
      <c r="I779" s="27"/>
      <c r="J779" s="27"/>
      <c r="L779" s="27"/>
    </row>
    <row r="780" ht="15.75" customHeight="1">
      <c r="D780" s="27"/>
      <c r="E780" s="27"/>
      <c r="F780" s="27"/>
      <c r="G780" s="27"/>
      <c r="H780" s="27"/>
      <c r="I780" s="27"/>
      <c r="J780" s="27"/>
      <c r="L780" s="27"/>
    </row>
    <row r="781" ht="15.75" customHeight="1">
      <c r="D781" s="27"/>
      <c r="E781" s="27"/>
      <c r="F781" s="27"/>
      <c r="G781" s="27"/>
      <c r="H781" s="27"/>
      <c r="I781" s="27"/>
      <c r="J781" s="27"/>
      <c r="L781" s="27"/>
    </row>
    <row r="782" ht="15.75" customHeight="1">
      <c r="D782" s="27"/>
      <c r="E782" s="27"/>
      <c r="F782" s="27"/>
      <c r="G782" s="27"/>
      <c r="H782" s="27"/>
      <c r="I782" s="27"/>
      <c r="J782" s="27"/>
      <c r="L782" s="27"/>
    </row>
    <row r="783" ht="15.75" customHeight="1">
      <c r="D783" s="27"/>
      <c r="E783" s="27"/>
      <c r="F783" s="27"/>
      <c r="G783" s="27"/>
      <c r="H783" s="27"/>
      <c r="I783" s="27"/>
      <c r="J783" s="27"/>
      <c r="L783" s="27"/>
    </row>
    <row r="784" ht="15.75" customHeight="1">
      <c r="D784" s="27"/>
      <c r="E784" s="27"/>
      <c r="F784" s="27"/>
      <c r="G784" s="27"/>
      <c r="H784" s="27"/>
      <c r="I784" s="27"/>
      <c r="J784" s="27"/>
      <c r="L784" s="27"/>
    </row>
    <row r="785" ht="15.75" customHeight="1">
      <c r="D785" s="27"/>
      <c r="E785" s="27"/>
      <c r="F785" s="27"/>
      <c r="G785" s="27"/>
      <c r="H785" s="27"/>
      <c r="I785" s="27"/>
      <c r="J785" s="27"/>
      <c r="L785" s="27"/>
    </row>
    <row r="786" ht="15.75" customHeight="1">
      <c r="D786" s="27"/>
      <c r="E786" s="27"/>
      <c r="F786" s="27"/>
      <c r="G786" s="27"/>
      <c r="H786" s="27"/>
      <c r="I786" s="27"/>
      <c r="J786" s="27"/>
      <c r="L786" s="27"/>
    </row>
    <row r="787" ht="15.75" customHeight="1">
      <c r="D787" s="27"/>
      <c r="E787" s="27"/>
      <c r="F787" s="27"/>
      <c r="G787" s="27"/>
      <c r="H787" s="27"/>
      <c r="I787" s="27"/>
      <c r="J787" s="27"/>
      <c r="L787" s="27"/>
    </row>
    <row r="788" ht="15.75" customHeight="1">
      <c r="D788" s="27"/>
      <c r="E788" s="27"/>
      <c r="F788" s="27"/>
      <c r="G788" s="27"/>
      <c r="H788" s="27"/>
      <c r="I788" s="27"/>
      <c r="J788" s="27"/>
      <c r="L788" s="27"/>
    </row>
    <row r="789" ht="15.75" customHeight="1">
      <c r="D789" s="27"/>
      <c r="E789" s="27"/>
      <c r="F789" s="27"/>
      <c r="G789" s="27"/>
      <c r="H789" s="27"/>
      <c r="I789" s="27"/>
      <c r="J789" s="27"/>
      <c r="L789" s="27"/>
    </row>
    <row r="790" ht="15.75" customHeight="1">
      <c r="D790" s="27"/>
      <c r="E790" s="27"/>
      <c r="F790" s="27"/>
      <c r="G790" s="27"/>
      <c r="H790" s="27"/>
      <c r="I790" s="27"/>
      <c r="J790" s="27"/>
      <c r="L790" s="27"/>
    </row>
    <row r="791" ht="15.75" customHeight="1">
      <c r="D791" s="27"/>
      <c r="E791" s="27"/>
      <c r="F791" s="27"/>
      <c r="G791" s="27"/>
      <c r="H791" s="27"/>
      <c r="I791" s="27"/>
      <c r="J791" s="27"/>
      <c r="L791" s="27"/>
    </row>
    <row r="792" ht="15.75" customHeight="1">
      <c r="D792" s="27"/>
      <c r="E792" s="27"/>
      <c r="F792" s="27"/>
      <c r="G792" s="27"/>
      <c r="H792" s="27"/>
      <c r="I792" s="27"/>
      <c r="J792" s="27"/>
      <c r="L792" s="27"/>
    </row>
    <row r="793" ht="15.75" customHeight="1">
      <c r="D793" s="27"/>
      <c r="E793" s="27"/>
      <c r="F793" s="27"/>
      <c r="G793" s="27"/>
      <c r="H793" s="27"/>
      <c r="I793" s="27"/>
      <c r="J793" s="27"/>
      <c r="L793" s="27"/>
    </row>
    <row r="794" ht="15.75" customHeight="1">
      <c r="D794" s="27"/>
      <c r="E794" s="27"/>
      <c r="F794" s="27"/>
      <c r="G794" s="27"/>
      <c r="H794" s="27"/>
      <c r="I794" s="27"/>
      <c r="J794" s="27"/>
      <c r="L794" s="27"/>
    </row>
    <row r="795" ht="15.75" customHeight="1">
      <c r="D795" s="27"/>
      <c r="E795" s="27"/>
      <c r="F795" s="27"/>
      <c r="G795" s="27"/>
      <c r="H795" s="27"/>
      <c r="I795" s="27"/>
      <c r="J795" s="27"/>
      <c r="L795" s="27"/>
    </row>
    <row r="796" ht="15.75" customHeight="1">
      <c r="D796" s="27"/>
      <c r="E796" s="27"/>
      <c r="F796" s="27"/>
      <c r="G796" s="27"/>
      <c r="H796" s="27"/>
      <c r="I796" s="27"/>
      <c r="J796" s="27"/>
      <c r="L796" s="27"/>
    </row>
    <row r="797" ht="15.75" customHeight="1">
      <c r="D797" s="27"/>
      <c r="E797" s="27"/>
      <c r="F797" s="27"/>
      <c r="G797" s="27"/>
      <c r="H797" s="27"/>
      <c r="I797" s="27"/>
      <c r="J797" s="27"/>
      <c r="L797" s="27"/>
    </row>
    <row r="798" ht="15.75" customHeight="1">
      <c r="D798" s="27"/>
      <c r="E798" s="27"/>
      <c r="F798" s="27"/>
      <c r="G798" s="27"/>
      <c r="H798" s="27"/>
      <c r="I798" s="27"/>
      <c r="J798" s="27"/>
      <c r="L798" s="27"/>
    </row>
    <row r="799" ht="15.75" customHeight="1">
      <c r="D799" s="27"/>
      <c r="E799" s="27"/>
      <c r="F799" s="27"/>
      <c r="G799" s="27"/>
      <c r="H799" s="27"/>
      <c r="I799" s="27"/>
      <c r="J799" s="27"/>
      <c r="L799" s="27"/>
    </row>
    <row r="800" ht="15.75" customHeight="1">
      <c r="D800" s="27"/>
      <c r="E800" s="27"/>
      <c r="F800" s="27"/>
      <c r="G800" s="27"/>
      <c r="H800" s="27"/>
      <c r="I800" s="27"/>
      <c r="J800" s="27"/>
      <c r="L800" s="27"/>
    </row>
    <row r="801" ht="15.75" customHeight="1">
      <c r="D801" s="27"/>
      <c r="E801" s="27"/>
      <c r="F801" s="27"/>
      <c r="G801" s="27"/>
      <c r="H801" s="27"/>
      <c r="I801" s="27"/>
      <c r="J801" s="27"/>
      <c r="L801" s="27"/>
    </row>
    <row r="802" ht="15.75" customHeight="1">
      <c r="D802" s="27"/>
      <c r="E802" s="27"/>
      <c r="F802" s="27"/>
      <c r="G802" s="27"/>
      <c r="H802" s="27"/>
      <c r="I802" s="27"/>
      <c r="J802" s="27"/>
      <c r="L802" s="27"/>
    </row>
    <row r="803" ht="15.75" customHeight="1">
      <c r="D803" s="27"/>
      <c r="E803" s="27"/>
      <c r="F803" s="27"/>
      <c r="G803" s="27"/>
      <c r="H803" s="27"/>
      <c r="I803" s="27"/>
      <c r="J803" s="27"/>
      <c r="L803" s="27"/>
    </row>
    <row r="804" ht="15.75" customHeight="1">
      <c r="D804" s="27"/>
      <c r="E804" s="27"/>
      <c r="F804" s="27"/>
      <c r="G804" s="27"/>
      <c r="H804" s="27"/>
      <c r="I804" s="27"/>
      <c r="J804" s="27"/>
      <c r="L804" s="27"/>
    </row>
    <row r="805" ht="15.75" customHeight="1">
      <c r="D805" s="27"/>
      <c r="E805" s="27"/>
      <c r="F805" s="27"/>
      <c r="G805" s="27"/>
      <c r="H805" s="27"/>
      <c r="I805" s="27"/>
      <c r="J805" s="27"/>
      <c r="L805" s="27"/>
    </row>
    <row r="806" ht="15.75" customHeight="1">
      <c r="D806" s="27"/>
      <c r="E806" s="27"/>
      <c r="F806" s="27"/>
      <c r="G806" s="27"/>
      <c r="H806" s="27"/>
      <c r="I806" s="27"/>
      <c r="J806" s="27"/>
      <c r="L806" s="27"/>
    </row>
    <row r="807" ht="15.75" customHeight="1">
      <c r="D807" s="27"/>
      <c r="E807" s="27"/>
      <c r="F807" s="27"/>
      <c r="G807" s="27"/>
      <c r="H807" s="27"/>
      <c r="I807" s="27"/>
      <c r="J807" s="27"/>
      <c r="L807" s="27"/>
    </row>
    <row r="808" ht="15.75" customHeight="1">
      <c r="D808" s="27"/>
      <c r="E808" s="27"/>
      <c r="F808" s="27"/>
      <c r="G808" s="27"/>
      <c r="H808" s="27"/>
      <c r="I808" s="27"/>
      <c r="J808" s="27"/>
      <c r="L808" s="27"/>
    </row>
    <row r="809" ht="15.75" customHeight="1">
      <c r="D809" s="27"/>
      <c r="E809" s="27"/>
      <c r="F809" s="27"/>
      <c r="G809" s="27"/>
      <c r="H809" s="27"/>
      <c r="I809" s="27"/>
      <c r="J809" s="27"/>
      <c r="L809" s="27"/>
    </row>
    <row r="810" ht="15.75" customHeight="1">
      <c r="D810" s="27"/>
      <c r="E810" s="27"/>
      <c r="F810" s="27"/>
      <c r="G810" s="27"/>
      <c r="H810" s="27"/>
      <c r="I810" s="27"/>
      <c r="J810" s="27"/>
      <c r="L810" s="27"/>
    </row>
    <row r="811" ht="15.75" customHeight="1">
      <c r="D811" s="27"/>
      <c r="E811" s="27"/>
      <c r="F811" s="27"/>
      <c r="G811" s="27"/>
      <c r="H811" s="27"/>
      <c r="I811" s="27"/>
      <c r="J811" s="27"/>
      <c r="L811" s="27"/>
    </row>
    <row r="812" ht="15.75" customHeight="1">
      <c r="D812" s="27"/>
      <c r="E812" s="27"/>
      <c r="F812" s="27"/>
      <c r="G812" s="27"/>
      <c r="H812" s="27"/>
      <c r="I812" s="27"/>
      <c r="J812" s="27"/>
      <c r="L812" s="27"/>
    </row>
    <row r="813" ht="15.75" customHeight="1">
      <c r="D813" s="27"/>
      <c r="E813" s="27"/>
      <c r="F813" s="27"/>
      <c r="G813" s="27"/>
      <c r="H813" s="27"/>
      <c r="I813" s="27"/>
      <c r="J813" s="27"/>
      <c r="L813" s="27"/>
    </row>
    <row r="814" ht="15.75" customHeight="1">
      <c r="D814" s="27"/>
      <c r="E814" s="27"/>
      <c r="F814" s="27"/>
      <c r="G814" s="27"/>
      <c r="H814" s="27"/>
      <c r="I814" s="27"/>
      <c r="J814" s="27"/>
      <c r="L814" s="27"/>
    </row>
    <row r="815" ht="15.75" customHeight="1">
      <c r="D815" s="27"/>
      <c r="E815" s="27"/>
      <c r="F815" s="27"/>
      <c r="G815" s="27"/>
      <c r="H815" s="27"/>
      <c r="I815" s="27"/>
      <c r="J815" s="27"/>
      <c r="L815" s="27"/>
    </row>
    <row r="816" ht="15.75" customHeight="1">
      <c r="D816" s="27"/>
      <c r="E816" s="27"/>
      <c r="F816" s="27"/>
      <c r="G816" s="27"/>
      <c r="H816" s="27"/>
      <c r="I816" s="27"/>
      <c r="J816" s="27"/>
      <c r="L816" s="27"/>
    </row>
    <row r="817" ht="15.75" customHeight="1">
      <c r="D817" s="27"/>
      <c r="E817" s="27"/>
      <c r="F817" s="27"/>
      <c r="G817" s="27"/>
      <c r="H817" s="27"/>
      <c r="I817" s="27"/>
      <c r="J817" s="27"/>
      <c r="L817" s="27"/>
    </row>
    <row r="818" ht="15.75" customHeight="1">
      <c r="D818" s="27"/>
      <c r="E818" s="27"/>
      <c r="F818" s="27"/>
      <c r="G818" s="27"/>
      <c r="H818" s="27"/>
      <c r="I818" s="27"/>
      <c r="J818" s="27"/>
      <c r="L818" s="27"/>
    </row>
    <row r="819" ht="15.75" customHeight="1">
      <c r="D819" s="27"/>
      <c r="E819" s="27"/>
      <c r="F819" s="27"/>
      <c r="G819" s="27"/>
      <c r="H819" s="27"/>
      <c r="I819" s="27"/>
      <c r="J819" s="27"/>
      <c r="L819" s="27"/>
    </row>
    <row r="820" ht="15.75" customHeight="1">
      <c r="D820" s="27"/>
      <c r="E820" s="27"/>
      <c r="F820" s="27"/>
      <c r="G820" s="27"/>
      <c r="H820" s="27"/>
      <c r="I820" s="27"/>
      <c r="J820" s="27"/>
      <c r="L820" s="27"/>
    </row>
    <row r="821" ht="15.75" customHeight="1">
      <c r="D821" s="27"/>
      <c r="E821" s="27"/>
      <c r="F821" s="27"/>
      <c r="G821" s="27"/>
      <c r="H821" s="27"/>
      <c r="I821" s="27"/>
      <c r="J821" s="27"/>
      <c r="L821" s="27"/>
    </row>
    <row r="822" ht="15.75" customHeight="1">
      <c r="D822" s="27"/>
      <c r="E822" s="27"/>
      <c r="F822" s="27"/>
      <c r="G822" s="27"/>
      <c r="H822" s="27"/>
      <c r="I822" s="27"/>
      <c r="J822" s="27"/>
      <c r="L822" s="27"/>
    </row>
    <row r="823" ht="15.75" customHeight="1">
      <c r="D823" s="27"/>
      <c r="E823" s="27"/>
      <c r="F823" s="27"/>
      <c r="G823" s="27"/>
      <c r="H823" s="27"/>
      <c r="I823" s="27"/>
      <c r="J823" s="27"/>
      <c r="L823" s="27"/>
    </row>
    <row r="824" ht="15.75" customHeight="1">
      <c r="D824" s="27"/>
      <c r="E824" s="27"/>
      <c r="F824" s="27"/>
      <c r="G824" s="27"/>
      <c r="H824" s="27"/>
      <c r="I824" s="27"/>
      <c r="J824" s="27"/>
      <c r="L824" s="27"/>
    </row>
    <row r="825" ht="15.75" customHeight="1">
      <c r="D825" s="27"/>
      <c r="E825" s="27"/>
      <c r="F825" s="27"/>
      <c r="G825" s="27"/>
      <c r="H825" s="27"/>
      <c r="I825" s="27"/>
      <c r="J825" s="27"/>
      <c r="L825" s="27"/>
    </row>
    <row r="826" ht="15.75" customHeight="1">
      <c r="D826" s="27"/>
      <c r="E826" s="27"/>
      <c r="F826" s="27"/>
      <c r="G826" s="27"/>
      <c r="H826" s="27"/>
      <c r="I826" s="27"/>
      <c r="J826" s="27"/>
      <c r="L826" s="27"/>
    </row>
    <row r="827" ht="15.75" customHeight="1">
      <c r="D827" s="27"/>
      <c r="E827" s="27"/>
      <c r="F827" s="27"/>
      <c r="G827" s="27"/>
      <c r="H827" s="27"/>
      <c r="I827" s="27"/>
      <c r="J827" s="27"/>
      <c r="L827" s="27"/>
    </row>
    <row r="828" ht="15.75" customHeight="1">
      <c r="D828" s="27"/>
      <c r="E828" s="27"/>
      <c r="F828" s="27"/>
      <c r="G828" s="27"/>
      <c r="H828" s="27"/>
      <c r="I828" s="27"/>
      <c r="J828" s="27"/>
      <c r="L828" s="27"/>
    </row>
    <row r="829" ht="15.75" customHeight="1">
      <c r="D829" s="27"/>
      <c r="E829" s="27"/>
      <c r="F829" s="27"/>
      <c r="G829" s="27"/>
      <c r="H829" s="27"/>
      <c r="I829" s="27"/>
      <c r="J829" s="27"/>
      <c r="L829" s="27"/>
    </row>
    <row r="830" ht="15.75" customHeight="1">
      <c r="D830" s="27"/>
      <c r="E830" s="27"/>
      <c r="F830" s="27"/>
      <c r="G830" s="27"/>
      <c r="H830" s="27"/>
      <c r="I830" s="27"/>
      <c r="J830" s="27"/>
      <c r="L830" s="27"/>
    </row>
    <row r="831" ht="15.75" customHeight="1">
      <c r="D831" s="27"/>
      <c r="E831" s="27"/>
      <c r="F831" s="27"/>
      <c r="G831" s="27"/>
      <c r="H831" s="27"/>
      <c r="I831" s="27"/>
      <c r="J831" s="27"/>
      <c r="L831" s="27"/>
    </row>
    <row r="832" ht="15.75" customHeight="1">
      <c r="D832" s="27"/>
      <c r="E832" s="27"/>
      <c r="F832" s="27"/>
      <c r="G832" s="27"/>
      <c r="H832" s="27"/>
      <c r="I832" s="27"/>
      <c r="J832" s="27"/>
      <c r="L832" s="27"/>
    </row>
    <row r="833" ht="15.75" customHeight="1">
      <c r="D833" s="27"/>
      <c r="E833" s="27"/>
      <c r="F833" s="27"/>
      <c r="G833" s="27"/>
      <c r="H833" s="27"/>
      <c r="I833" s="27"/>
      <c r="J833" s="27"/>
      <c r="L833" s="27"/>
    </row>
    <row r="834" ht="15.75" customHeight="1">
      <c r="D834" s="27"/>
      <c r="E834" s="27"/>
      <c r="F834" s="27"/>
      <c r="G834" s="27"/>
      <c r="H834" s="27"/>
      <c r="I834" s="27"/>
      <c r="J834" s="27"/>
      <c r="L834" s="27"/>
    </row>
    <row r="835" ht="15.75" customHeight="1">
      <c r="D835" s="27"/>
      <c r="E835" s="27"/>
      <c r="F835" s="27"/>
      <c r="G835" s="27"/>
      <c r="H835" s="27"/>
      <c r="I835" s="27"/>
      <c r="J835" s="27"/>
      <c r="L835" s="27"/>
    </row>
    <row r="836" ht="15.75" customHeight="1">
      <c r="D836" s="27"/>
      <c r="E836" s="27"/>
      <c r="F836" s="27"/>
      <c r="G836" s="27"/>
      <c r="H836" s="27"/>
      <c r="I836" s="27"/>
      <c r="J836" s="27"/>
      <c r="L836" s="27"/>
    </row>
    <row r="837" ht="15.75" customHeight="1">
      <c r="D837" s="27"/>
      <c r="E837" s="27"/>
      <c r="F837" s="27"/>
      <c r="G837" s="27"/>
      <c r="H837" s="27"/>
      <c r="I837" s="27"/>
      <c r="J837" s="27"/>
      <c r="L837" s="27"/>
    </row>
    <row r="838" ht="15.75" customHeight="1">
      <c r="D838" s="27"/>
      <c r="E838" s="27"/>
      <c r="F838" s="27"/>
      <c r="G838" s="27"/>
      <c r="H838" s="27"/>
      <c r="I838" s="27"/>
      <c r="J838" s="27"/>
      <c r="L838" s="27"/>
    </row>
    <row r="839" ht="15.75" customHeight="1">
      <c r="D839" s="27"/>
      <c r="E839" s="27"/>
      <c r="F839" s="27"/>
      <c r="G839" s="27"/>
      <c r="H839" s="27"/>
      <c r="I839" s="27"/>
      <c r="J839" s="27"/>
      <c r="L839" s="27"/>
    </row>
    <row r="840" ht="15.75" customHeight="1">
      <c r="D840" s="27"/>
      <c r="E840" s="27"/>
      <c r="F840" s="27"/>
      <c r="G840" s="27"/>
      <c r="H840" s="27"/>
      <c r="I840" s="27"/>
      <c r="J840" s="27"/>
      <c r="L840" s="27"/>
    </row>
    <row r="841" ht="15.75" customHeight="1">
      <c r="D841" s="27"/>
      <c r="E841" s="27"/>
      <c r="F841" s="27"/>
      <c r="G841" s="27"/>
      <c r="H841" s="27"/>
      <c r="I841" s="27"/>
      <c r="J841" s="27"/>
      <c r="L841" s="27"/>
    </row>
    <row r="842" ht="15.75" customHeight="1">
      <c r="D842" s="27"/>
      <c r="E842" s="27"/>
      <c r="F842" s="27"/>
      <c r="G842" s="27"/>
      <c r="H842" s="27"/>
      <c r="I842" s="27"/>
      <c r="J842" s="27"/>
      <c r="L842" s="27"/>
    </row>
    <row r="843" ht="15.75" customHeight="1">
      <c r="D843" s="27"/>
      <c r="E843" s="27"/>
      <c r="F843" s="27"/>
      <c r="G843" s="27"/>
      <c r="H843" s="27"/>
      <c r="I843" s="27"/>
      <c r="J843" s="27"/>
      <c r="L843" s="27"/>
    </row>
    <row r="844" ht="15.75" customHeight="1">
      <c r="D844" s="27"/>
      <c r="E844" s="27"/>
      <c r="F844" s="27"/>
      <c r="G844" s="27"/>
      <c r="H844" s="27"/>
      <c r="I844" s="27"/>
      <c r="J844" s="27"/>
      <c r="L844" s="27"/>
    </row>
    <row r="845" ht="15.75" customHeight="1">
      <c r="D845" s="27"/>
      <c r="E845" s="27"/>
      <c r="F845" s="27"/>
      <c r="G845" s="27"/>
      <c r="H845" s="27"/>
      <c r="I845" s="27"/>
      <c r="J845" s="27"/>
      <c r="L845" s="27"/>
    </row>
    <row r="846" ht="15.75" customHeight="1">
      <c r="D846" s="27"/>
      <c r="E846" s="27"/>
      <c r="F846" s="27"/>
      <c r="G846" s="27"/>
      <c r="H846" s="27"/>
      <c r="I846" s="27"/>
      <c r="J846" s="27"/>
      <c r="L846" s="27"/>
    </row>
    <row r="847" ht="15.75" customHeight="1">
      <c r="D847" s="27"/>
      <c r="E847" s="27"/>
      <c r="F847" s="27"/>
      <c r="G847" s="27"/>
      <c r="H847" s="27"/>
      <c r="I847" s="27"/>
      <c r="J847" s="27"/>
      <c r="L847" s="27"/>
    </row>
    <row r="848" ht="15.75" customHeight="1">
      <c r="D848" s="27"/>
      <c r="E848" s="27"/>
      <c r="F848" s="27"/>
      <c r="G848" s="27"/>
      <c r="H848" s="27"/>
      <c r="I848" s="27"/>
      <c r="J848" s="27"/>
      <c r="L848" s="27"/>
    </row>
    <row r="849" ht="15.75" customHeight="1">
      <c r="D849" s="27"/>
      <c r="E849" s="27"/>
      <c r="F849" s="27"/>
      <c r="G849" s="27"/>
      <c r="H849" s="27"/>
      <c r="I849" s="27"/>
      <c r="J849" s="27"/>
      <c r="L849" s="27"/>
    </row>
    <row r="850" ht="15.75" customHeight="1">
      <c r="D850" s="27"/>
      <c r="E850" s="27"/>
      <c r="F850" s="27"/>
      <c r="G850" s="27"/>
      <c r="H850" s="27"/>
      <c r="I850" s="27"/>
      <c r="J850" s="27"/>
      <c r="L850" s="27"/>
    </row>
    <row r="851" ht="15.75" customHeight="1">
      <c r="D851" s="27"/>
      <c r="E851" s="27"/>
      <c r="F851" s="27"/>
      <c r="G851" s="27"/>
      <c r="H851" s="27"/>
      <c r="I851" s="27"/>
      <c r="J851" s="27"/>
      <c r="L851" s="27"/>
    </row>
    <row r="852" ht="15.75" customHeight="1">
      <c r="D852" s="27"/>
      <c r="E852" s="27"/>
      <c r="F852" s="27"/>
      <c r="G852" s="27"/>
      <c r="H852" s="27"/>
      <c r="I852" s="27"/>
      <c r="J852" s="27"/>
      <c r="L852" s="27"/>
    </row>
    <row r="853" ht="15.75" customHeight="1">
      <c r="D853" s="27"/>
      <c r="E853" s="27"/>
      <c r="F853" s="27"/>
      <c r="G853" s="27"/>
      <c r="H853" s="27"/>
      <c r="I853" s="27"/>
      <c r="J853" s="27"/>
      <c r="L853" s="27"/>
    </row>
    <row r="854" ht="15.75" customHeight="1">
      <c r="D854" s="27"/>
      <c r="E854" s="27"/>
      <c r="F854" s="27"/>
      <c r="G854" s="27"/>
      <c r="H854" s="27"/>
      <c r="I854" s="27"/>
      <c r="J854" s="27"/>
      <c r="L854" s="27"/>
    </row>
    <row r="855" ht="15.75" customHeight="1">
      <c r="D855" s="27"/>
      <c r="E855" s="27"/>
      <c r="F855" s="27"/>
      <c r="G855" s="27"/>
      <c r="H855" s="27"/>
      <c r="I855" s="27"/>
      <c r="J855" s="27"/>
      <c r="L855" s="27"/>
    </row>
    <row r="856" ht="15.75" customHeight="1">
      <c r="D856" s="27"/>
      <c r="E856" s="27"/>
      <c r="F856" s="27"/>
      <c r="G856" s="27"/>
      <c r="H856" s="27"/>
      <c r="I856" s="27"/>
      <c r="J856" s="27"/>
      <c r="L856" s="27"/>
    </row>
    <row r="857" ht="15.75" customHeight="1">
      <c r="D857" s="27"/>
      <c r="E857" s="27"/>
      <c r="F857" s="27"/>
      <c r="G857" s="27"/>
      <c r="H857" s="27"/>
      <c r="I857" s="27"/>
      <c r="J857" s="27"/>
      <c r="L857" s="27"/>
    </row>
    <row r="858" ht="15.75" customHeight="1">
      <c r="D858" s="27"/>
      <c r="E858" s="27"/>
      <c r="F858" s="27"/>
      <c r="G858" s="27"/>
      <c r="H858" s="27"/>
      <c r="I858" s="27"/>
      <c r="J858" s="27"/>
      <c r="L858" s="27"/>
    </row>
    <row r="859" ht="15.75" customHeight="1">
      <c r="D859" s="27"/>
      <c r="E859" s="27"/>
      <c r="F859" s="27"/>
      <c r="G859" s="27"/>
      <c r="H859" s="27"/>
      <c r="I859" s="27"/>
      <c r="J859" s="27"/>
      <c r="L859" s="27"/>
    </row>
    <row r="860" ht="15.75" customHeight="1">
      <c r="D860" s="27"/>
      <c r="E860" s="27"/>
      <c r="F860" s="27"/>
      <c r="G860" s="27"/>
      <c r="H860" s="27"/>
      <c r="I860" s="27"/>
      <c r="J860" s="27"/>
      <c r="L860" s="27"/>
    </row>
    <row r="861" ht="15.75" customHeight="1">
      <c r="D861" s="27"/>
      <c r="E861" s="27"/>
      <c r="F861" s="27"/>
      <c r="G861" s="27"/>
      <c r="H861" s="27"/>
      <c r="I861" s="27"/>
      <c r="J861" s="27"/>
      <c r="L861" s="27"/>
    </row>
    <row r="862" ht="15.75" customHeight="1">
      <c r="D862" s="27"/>
      <c r="E862" s="27"/>
      <c r="F862" s="27"/>
      <c r="G862" s="27"/>
      <c r="H862" s="27"/>
      <c r="I862" s="27"/>
      <c r="J862" s="27"/>
      <c r="L862" s="27"/>
    </row>
    <row r="863" ht="15.75" customHeight="1">
      <c r="D863" s="27"/>
      <c r="E863" s="27"/>
      <c r="F863" s="27"/>
      <c r="G863" s="27"/>
      <c r="H863" s="27"/>
      <c r="I863" s="27"/>
      <c r="J863" s="27"/>
      <c r="L863" s="27"/>
    </row>
    <row r="864" ht="15.75" customHeight="1">
      <c r="D864" s="27"/>
      <c r="E864" s="27"/>
      <c r="F864" s="27"/>
      <c r="G864" s="27"/>
      <c r="H864" s="27"/>
      <c r="I864" s="27"/>
      <c r="J864" s="27"/>
      <c r="L864" s="27"/>
    </row>
    <row r="865" ht="15.75" customHeight="1">
      <c r="D865" s="27"/>
      <c r="E865" s="27"/>
      <c r="F865" s="27"/>
      <c r="G865" s="27"/>
      <c r="H865" s="27"/>
      <c r="I865" s="27"/>
      <c r="J865" s="27"/>
      <c r="L865" s="27"/>
    </row>
    <row r="866" ht="15.75" customHeight="1">
      <c r="D866" s="27"/>
      <c r="E866" s="27"/>
      <c r="F866" s="27"/>
      <c r="G866" s="27"/>
      <c r="H866" s="27"/>
      <c r="I866" s="27"/>
      <c r="J866" s="27"/>
      <c r="L866" s="27"/>
    </row>
    <row r="867" ht="15.75" customHeight="1">
      <c r="D867" s="27"/>
      <c r="E867" s="27"/>
      <c r="F867" s="27"/>
      <c r="G867" s="27"/>
      <c r="H867" s="27"/>
      <c r="I867" s="27"/>
      <c r="J867" s="27"/>
      <c r="L867" s="27"/>
    </row>
    <row r="868" ht="15.75" customHeight="1">
      <c r="D868" s="27"/>
      <c r="E868" s="27"/>
      <c r="F868" s="27"/>
      <c r="G868" s="27"/>
      <c r="H868" s="27"/>
      <c r="I868" s="27"/>
      <c r="J868" s="27"/>
      <c r="L868" s="27"/>
    </row>
    <row r="869" ht="15.75" customHeight="1">
      <c r="D869" s="27"/>
      <c r="E869" s="27"/>
      <c r="F869" s="27"/>
      <c r="G869" s="27"/>
      <c r="H869" s="27"/>
      <c r="I869" s="27"/>
      <c r="J869" s="27"/>
      <c r="L869" s="27"/>
    </row>
    <row r="870" ht="15.75" customHeight="1">
      <c r="D870" s="27"/>
      <c r="E870" s="27"/>
      <c r="F870" s="27"/>
      <c r="G870" s="27"/>
      <c r="H870" s="27"/>
      <c r="I870" s="27"/>
      <c r="J870" s="27"/>
      <c r="L870" s="27"/>
    </row>
    <row r="871" ht="15.75" customHeight="1">
      <c r="D871" s="27"/>
      <c r="E871" s="27"/>
      <c r="F871" s="27"/>
      <c r="G871" s="27"/>
      <c r="H871" s="27"/>
      <c r="I871" s="27"/>
      <c r="J871" s="27"/>
      <c r="L871" s="27"/>
    </row>
    <row r="872" ht="15.75" customHeight="1">
      <c r="D872" s="27"/>
      <c r="E872" s="27"/>
      <c r="F872" s="27"/>
      <c r="G872" s="27"/>
      <c r="H872" s="27"/>
      <c r="I872" s="27"/>
      <c r="J872" s="27"/>
      <c r="L872" s="27"/>
    </row>
    <row r="873" ht="15.75" customHeight="1">
      <c r="D873" s="27"/>
      <c r="E873" s="27"/>
      <c r="F873" s="27"/>
      <c r="G873" s="27"/>
      <c r="H873" s="27"/>
      <c r="I873" s="27"/>
      <c r="J873" s="27"/>
      <c r="L873" s="27"/>
    </row>
    <row r="874" ht="15.75" customHeight="1">
      <c r="D874" s="27"/>
      <c r="E874" s="27"/>
      <c r="F874" s="27"/>
      <c r="G874" s="27"/>
      <c r="H874" s="27"/>
      <c r="I874" s="27"/>
      <c r="J874" s="27"/>
      <c r="L874" s="27"/>
    </row>
    <row r="875" ht="15.75" customHeight="1">
      <c r="D875" s="27"/>
      <c r="E875" s="27"/>
      <c r="F875" s="27"/>
      <c r="G875" s="27"/>
      <c r="H875" s="27"/>
      <c r="I875" s="27"/>
      <c r="J875" s="27"/>
      <c r="L875" s="27"/>
    </row>
    <row r="876" ht="15.75" customHeight="1">
      <c r="D876" s="27"/>
      <c r="E876" s="27"/>
      <c r="F876" s="27"/>
      <c r="G876" s="27"/>
      <c r="H876" s="27"/>
      <c r="I876" s="27"/>
      <c r="J876" s="27"/>
      <c r="L876" s="27"/>
    </row>
    <row r="877" ht="15.75" customHeight="1">
      <c r="D877" s="27"/>
      <c r="E877" s="27"/>
      <c r="F877" s="27"/>
      <c r="G877" s="27"/>
      <c r="H877" s="27"/>
      <c r="I877" s="27"/>
      <c r="J877" s="27"/>
      <c r="L877" s="27"/>
    </row>
    <row r="878" ht="15.75" customHeight="1">
      <c r="D878" s="27"/>
      <c r="E878" s="27"/>
      <c r="F878" s="27"/>
      <c r="G878" s="27"/>
      <c r="H878" s="27"/>
      <c r="I878" s="27"/>
      <c r="J878" s="27"/>
      <c r="L878" s="27"/>
    </row>
    <row r="879" ht="15.75" customHeight="1">
      <c r="D879" s="27"/>
      <c r="E879" s="27"/>
      <c r="F879" s="27"/>
      <c r="G879" s="27"/>
      <c r="H879" s="27"/>
      <c r="I879" s="27"/>
      <c r="J879" s="27"/>
      <c r="L879" s="27"/>
    </row>
    <row r="880" ht="15.75" customHeight="1">
      <c r="D880" s="27"/>
      <c r="E880" s="27"/>
      <c r="F880" s="27"/>
      <c r="G880" s="27"/>
      <c r="H880" s="27"/>
      <c r="I880" s="27"/>
      <c r="J880" s="27"/>
      <c r="L880" s="27"/>
    </row>
    <row r="881" ht="15.75" customHeight="1">
      <c r="D881" s="27"/>
      <c r="E881" s="27"/>
      <c r="F881" s="27"/>
      <c r="G881" s="27"/>
      <c r="H881" s="27"/>
      <c r="I881" s="27"/>
      <c r="J881" s="27"/>
      <c r="L881" s="27"/>
    </row>
    <row r="882" ht="15.75" customHeight="1">
      <c r="D882" s="27"/>
      <c r="E882" s="27"/>
      <c r="F882" s="27"/>
      <c r="G882" s="27"/>
      <c r="H882" s="27"/>
      <c r="I882" s="27"/>
      <c r="J882" s="27"/>
      <c r="L882" s="27"/>
    </row>
    <row r="883" ht="15.75" customHeight="1">
      <c r="D883" s="27"/>
      <c r="E883" s="27"/>
      <c r="F883" s="27"/>
      <c r="G883" s="27"/>
      <c r="H883" s="27"/>
      <c r="I883" s="27"/>
      <c r="J883" s="27"/>
      <c r="L883" s="27"/>
    </row>
    <row r="884" ht="15.75" customHeight="1">
      <c r="D884" s="27"/>
      <c r="E884" s="27"/>
      <c r="F884" s="27"/>
      <c r="G884" s="27"/>
      <c r="H884" s="27"/>
      <c r="I884" s="27"/>
      <c r="J884" s="27"/>
      <c r="L884" s="27"/>
    </row>
    <row r="885" ht="15.75" customHeight="1">
      <c r="D885" s="27"/>
      <c r="E885" s="27"/>
      <c r="F885" s="27"/>
      <c r="G885" s="27"/>
      <c r="H885" s="27"/>
      <c r="I885" s="27"/>
      <c r="J885" s="27"/>
      <c r="L885" s="27"/>
    </row>
    <row r="886" ht="15.75" customHeight="1">
      <c r="D886" s="27"/>
      <c r="E886" s="27"/>
      <c r="F886" s="27"/>
      <c r="G886" s="27"/>
      <c r="H886" s="27"/>
      <c r="I886" s="27"/>
      <c r="J886" s="27"/>
      <c r="L886" s="27"/>
    </row>
    <row r="887" ht="15.75" customHeight="1">
      <c r="D887" s="27"/>
      <c r="E887" s="27"/>
      <c r="F887" s="27"/>
      <c r="G887" s="27"/>
      <c r="H887" s="27"/>
      <c r="I887" s="27"/>
      <c r="J887" s="27"/>
      <c r="L887" s="27"/>
    </row>
    <row r="888" ht="15.75" customHeight="1">
      <c r="D888" s="27"/>
      <c r="E888" s="27"/>
      <c r="F888" s="27"/>
      <c r="G888" s="27"/>
      <c r="H888" s="27"/>
      <c r="I888" s="27"/>
      <c r="J888" s="27"/>
      <c r="L888" s="27"/>
    </row>
    <row r="889" ht="15.75" customHeight="1">
      <c r="D889" s="27"/>
      <c r="E889" s="27"/>
      <c r="F889" s="27"/>
      <c r="G889" s="27"/>
      <c r="H889" s="27"/>
      <c r="I889" s="27"/>
      <c r="J889" s="27"/>
      <c r="L889" s="27"/>
    </row>
    <row r="890" ht="15.75" customHeight="1">
      <c r="D890" s="27"/>
      <c r="E890" s="27"/>
      <c r="F890" s="27"/>
      <c r="G890" s="27"/>
      <c r="H890" s="27"/>
      <c r="I890" s="27"/>
      <c r="J890" s="27"/>
      <c r="L890" s="27"/>
    </row>
    <row r="891" ht="15.75" customHeight="1">
      <c r="D891" s="27"/>
      <c r="E891" s="27"/>
      <c r="F891" s="27"/>
      <c r="G891" s="27"/>
      <c r="H891" s="27"/>
      <c r="I891" s="27"/>
      <c r="J891" s="27"/>
      <c r="L891" s="27"/>
    </row>
    <row r="892" ht="15.75" customHeight="1">
      <c r="D892" s="27"/>
      <c r="E892" s="27"/>
      <c r="F892" s="27"/>
      <c r="G892" s="27"/>
      <c r="H892" s="27"/>
      <c r="I892" s="27"/>
      <c r="J892" s="27"/>
      <c r="L892" s="27"/>
    </row>
    <row r="893" ht="15.75" customHeight="1">
      <c r="D893" s="27"/>
      <c r="E893" s="27"/>
      <c r="F893" s="27"/>
      <c r="G893" s="27"/>
      <c r="H893" s="27"/>
      <c r="I893" s="27"/>
      <c r="J893" s="27"/>
      <c r="L893" s="27"/>
    </row>
    <row r="894" ht="15.75" customHeight="1">
      <c r="D894" s="27"/>
      <c r="E894" s="27"/>
      <c r="F894" s="27"/>
      <c r="G894" s="27"/>
      <c r="H894" s="27"/>
      <c r="I894" s="27"/>
      <c r="J894" s="27"/>
      <c r="L894" s="27"/>
    </row>
    <row r="895" ht="15.75" customHeight="1">
      <c r="D895" s="27"/>
      <c r="E895" s="27"/>
      <c r="F895" s="27"/>
      <c r="G895" s="27"/>
      <c r="H895" s="27"/>
      <c r="I895" s="27"/>
      <c r="J895" s="27"/>
      <c r="L895" s="27"/>
    </row>
    <row r="896" ht="15.75" customHeight="1">
      <c r="D896" s="27"/>
      <c r="E896" s="27"/>
      <c r="F896" s="27"/>
      <c r="G896" s="27"/>
      <c r="H896" s="27"/>
      <c r="I896" s="27"/>
      <c r="J896" s="27"/>
      <c r="L896" s="27"/>
    </row>
    <row r="897" ht="15.75" customHeight="1">
      <c r="D897" s="27"/>
      <c r="E897" s="27"/>
      <c r="F897" s="27"/>
      <c r="G897" s="27"/>
      <c r="H897" s="27"/>
      <c r="I897" s="27"/>
      <c r="J897" s="27"/>
      <c r="L897" s="27"/>
    </row>
    <row r="898" ht="15.75" customHeight="1">
      <c r="D898" s="27"/>
      <c r="E898" s="27"/>
      <c r="F898" s="27"/>
      <c r="G898" s="27"/>
      <c r="H898" s="27"/>
      <c r="I898" s="27"/>
      <c r="J898" s="27"/>
      <c r="L898" s="27"/>
    </row>
    <row r="899" ht="15.75" customHeight="1">
      <c r="D899" s="27"/>
      <c r="E899" s="27"/>
      <c r="F899" s="27"/>
      <c r="G899" s="27"/>
      <c r="H899" s="27"/>
      <c r="I899" s="27"/>
      <c r="J899" s="27"/>
      <c r="L899" s="27"/>
    </row>
    <row r="900" ht="15.75" customHeight="1">
      <c r="D900" s="27"/>
      <c r="E900" s="27"/>
      <c r="F900" s="27"/>
      <c r="G900" s="27"/>
      <c r="H900" s="27"/>
      <c r="I900" s="27"/>
      <c r="J900" s="27"/>
      <c r="L900" s="27"/>
    </row>
    <row r="901" ht="15.75" customHeight="1">
      <c r="D901" s="27"/>
      <c r="E901" s="27"/>
      <c r="F901" s="27"/>
      <c r="G901" s="27"/>
      <c r="H901" s="27"/>
      <c r="I901" s="27"/>
      <c r="J901" s="27"/>
      <c r="L901" s="27"/>
    </row>
    <row r="902" ht="15.75" customHeight="1">
      <c r="D902" s="27"/>
      <c r="E902" s="27"/>
      <c r="F902" s="27"/>
      <c r="G902" s="27"/>
      <c r="H902" s="27"/>
      <c r="I902" s="27"/>
      <c r="J902" s="27"/>
      <c r="L902" s="27"/>
    </row>
    <row r="903" ht="15.75" customHeight="1">
      <c r="D903" s="27"/>
      <c r="E903" s="27"/>
      <c r="F903" s="27"/>
      <c r="G903" s="27"/>
      <c r="H903" s="27"/>
      <c r="I903" s="27"/>
      <c r="J903" s="27"/>
      <c r="L903" s="27"/>
    </row>
    <row r="904" ht="15.75" customHeight="1">
      <c r="D904" s="27"/>
      <c r="E904" s="27"/>
      <c r="F904" s="27"/>
      <c r="G904" s="27"/>
      <c r="H904" s="27"/>
      <c r="I904" s="27"/>
      <c r="J904" s="27"/>
      <c r="L904" s="27"/>
    </row>
    <row r="905" ht="15.75" customHeight="1">
      <c r="D905" s="27"/>
      <c r="E905" s="27"/>
      <c r="F905" s="27"/>
      <c r="G905" s="27"/>
      <c r="H905" s="27"/>
      <c r="I905" s="27"/>
      <c r="J905" s="27"/>
      <c r="L905" s="27"/>
    </row>
    <row r="906" ht="15.75" customHeight="1">
      <c r="D906" s="27"/>
      <c r="E906" s="27"/>
      <c r="F906" s="27"/>
      <c r="G906" s="27"/>
      <c r="H906" s="27"/>
      <c r="I906" s="27"/>
      <c r="J906" s="27"/>
      <c r="L906" s="27"/>
    </row>
    <row r="907" ht="15.75" customHeight="1">
      <c r="D907" s="27"/>
      <c r="E907" s="27"/>
      <c r="F907" s="27"/>
      <c r="G907" s="27"/>
      <c r="H907" s="27"/>
      <c r="I907" s="27"/>
      <c r="J907" s="27"/>
      <c r="L907" s="27"/>
    </row>
    <row r="908" ht="15.75" customHeight="1">
      <c r="D908" s="27"/>
      <c r="E908" s="27"/>
      <c r="F908" s="27"/>
      <c r="G908" s="27"/>
      <c r="H908" s="27"/>
      <c r="I908" s="27"/>
      <c r="J908" s="27"/>
      <c r="L908" s="27"/>
    </row>
    <row r="909" ht="15.75" customHeight="1">
      <c r="D909" s="27"/>
      <c r="E909" s="27"/>
      <c r="F909" s="27"/>
      <c r="G909" s="27"/>
      <c r="H909" s="27"/>
      <c r="I909" s="27"/>
      <c r="J909" s="27"/>
      <c r="L909" s="27"/>
    </row>
    <row r="910" ht="15.75" customHeight="1">
      <c r="D910" s="27"/>
      <c r="E910" s="27"/>
      <c r="F910" s="27"/>
      <c r="G910" s="27"/>
      <c r="H910" s="27"/>
      <c r="I910" s="27"/>
      <c r="J910" s="27"/>
      <c r="L910" s="27"/>
    </row>
    <row r="911" ht="15.75" customHeight="1">
      <c r="D911" s="27"/>
      <c r="E911" s="27"/>
      <c r="F911" s="27"/>
      <c r="G911" s="27"/>
      <c r="H911" s="27"/>
      <c r="I911" s="27"/>
      <c r="J911" s="27"/>
      <c r="L911" s="27"/>
    </row>
    <row r="912" ht="15.75" customHeight="1">
      <c r="D912" s="27"/>
      <c r="E912" s="27"/>
      <c r="F912" s="27"/>
      <c r="G912" s="27"/>
      <c r="H912" s="27"/>
      <c r="I912" s="27"/>
      <c r="J912" s="27"/>
      <c r="L912" s="27"/>
    </row>
    <row r="913" ht="15.75" customHeight="1">
      <c r="D913" s="27"/>
      <c r="E913" s="27"/>
      <c r="F913" s="27"/>
      <c r="G913" s="27"/>
      <c r="H913" s="27"/>
      <c r="I913" s="27"/>
      <c r="J913" s="27"/>
      <c r="L913" s="27"/>
    </row>
    <row r="914" ht="15.75" customHeight="1">
      <c r="D914" s="27"/>
      <c r="E914" s="27"/>
      <c r="F914" s="27"/>
      <c r="G914" s="27"/>
      <c r="H914" s="27"/>
      <c r="I914" s="27"/>
      <c r="J914" s="27"/>
      <c r="L914" s="27"/>
    </row>
    <row r="915" ht="15.75" customHeight="1">
      <c r="D915" s="27"/>
      <c r="E915" s="27"/>
      <c r="F915" s="27"/>
      <c r="G915" s="27"/>
      <c r="H915" s="27"/>
      <c r="I915" s="27"/>
      <c r="J915" s="27"/>
      <c r="L915" s="27"/>
    </row>
    <row r="916" ht="15.75" customHeight="1">
      <c r="D916" s="27"/>
      <c r="E916" s="27"/>
      <c r="F916" s="27"/>
      <c r="G916" s="27"/>
      <c r="H916" s="27"/>
      <c r="I916" s="27"/>
      <c r="J916" s="27"/>
      <c r="L916" s="27"/>
    </row>
    <row r="917" ht="15.75" customHeight="1">
      <c r="D917" s="27"/>
      <c r="E917" s="27"/>
      <c r="F917" s="27"/>
      <c r="G917" s="27"/>
      <c r="H917" s="27"/>
      <c r="I917" s="27"/>
      <c r="J917" s="27"/>
      <c r="L917" s="27"/>
    </row>
    <row r="918" ht="15.75" customHeight="1">
      <c r="D918" s="27"/>
      <c r="E918" s="27"/>
      <c r="F918" s="27"/>
      <c r="G918" s="27"/>
      <c r="H918" s="27"/>
      <c r="I918" s="27"/>
      <c r="J918" s="27"/>
      <c r="L918" s="27"/>
    </row>
    <row r="919" ht="15.75" customHeight="1">
      <c r="D919" s="27"/>
      <c r="E919" s="27"/>
      <c r="F919" s="27"/>
      <c r="G919" s="27"/>
      <c r="H919" s="27"/>
      <c r="I919" s="27"/>
      <c r="J919" s="27"/>
      <c r="L919" s="27"/>
    </row>
    <row r="920" ht="15.75" customHeight="1">
      <c r="D920" s="27"/>
      <c r="E920" s="27"/>
      <c r="F920" s="27"/>
      <c r="G920" s="27"/>
      <c r="H920" s="27"/>
      <c r="I920" s="27"/>
      <c r="J920" s="27"/>
      <c r="L920" s="27"/>
    </row>
    <row r="921" ht="15.75" customHeight="1">
      <c r="D921" s="27"/>
      <c r="E921" s="27"/>
      <c r="F921" s="27"/>
      <c r="G921" s="27"/>
      <c r="H921" s="27"/>
      <c r="I921" s="27"/>
      <c r="J921" s="27"/>
      <c r="L921" s="27"/>
    </row>
    <row r="922" ht="15.75" customHeight="1">
      <c r="D922" s="27"/>
      <c r="E922" s="27"/>
      <c r="F922" s="27"/>
      <c r="G922" s="27"/>
      <c r="H922" s="27"/>
      <c r="I922" s="27"/>
      <c r="J922" s="27"/>
      <c r="L922" s="27"/>
    </row>
    <row r="923" ht="15.75" customHeight="1">
      <c r="D923" s="27"/>
      <c r="E923" s="27"/>
      <c r="F923" s="27"/>
      <c r="G923" s="27"/>
      <c r="H923" s="27"/>
      <c r="I923" s="27"/>
      <c r="J923" s="27"/>
      <c r="L923" s="27"/>
    </row>
    <row r="924" ht="15.75" customHeight="1">
      <c r="D924" s="27"/>
      <c r="E924" s="27"/>
      <c r="F924" s="27"/>
      <c r="G924" s="27"/>
      <c r="H924" s="27"/>
      <c r="I924" s="27"/>
      <c r="J924" s="27"/>
      <c r="L924" s="27"/>
    </row>
    <row r="925" ht="15.75" customHeight="1">
      <c r="D925" s="27"/>
      <c r="E925" s="27"/>
      <c r="F925" s="27"/>
      <c r="G925" s="27"/>
      <c r="H925" s="27"/>
      <c r="I925" s="27"/>
      <c r="J925" s="27"/>
      <c r="L925" s="27"/>
    </row>
    <row r="926" ht="15.75" customHeight="1">
      <c r="D926" s="27"/>
      <c r="E926" s="27"/>
      <c r="F926" s="27"/>
      <c r="G926" s="27"/>
      <c r="H926" s="27"/>
      <c r="I926" s="27"/>
      <c r="J926" s="27"/>
      <c r="L926" s="27"/>
    </row>
    <row r="927" ht="15.75" customHeight="1">
      <c r="D927" s="27"/>
      <c r="E927" s="27"/>
      <c r="F927" s="27"/>
      <c r="G927" s="27"/>
      <c r="H927" s="27"/>
      <c r="I927" s="27"/>
      <c r="J927" s="27"/>
      <c r="L927" s="27"/>
    </row>
    <row r="928" ht="15.75" customHeight="1">
      <c r="D928" s="27"/>
      <c r="E928" s="27"/>
      <c r="F928" s="27"/>
      <c r="G928" s="27"/>
      <c r="H928" s="27"/>
      <c r="I928" s="27"/>
      <c r="J928" s="27"/>
      <c r="L928" s="27"/>
    </row>
    <row r="929" ht="15.75" customHeight="1">
      <c r="D929" s="27"/>
      <c r="E929" s="27"/>
      <c r="F929" s="27"/>
      <c r="G929" s="27"/>
      <c r="H929" s="27"/>
      <c r="I929" s="27"/>
      <c r="J929" s="27"/>
      <c r="L929" s="27"/>
    </row>
    <row r="930" ht="15.75" customHeight="1">
      <c r="D930" s="27"/>
      <c r="E930" s="27"/>
      <c r="F930" s="27"/>
      <c r="G930" s="27"/>
      <c r="H930" s="27"/>
      <c r="I930" s="27"/>
      <c r="J930" s="27"/>
      <c r="L930" s="27"/>
    </row>
    <row r="931" ht="15.75" customHeight="1">
      <c r="D931" s="27"/>
      <c r="E931" s="27"/>
      <c r="F931" s="27"/>
      <c r="G931" s="27"/>
      <c r="H931" s="27"/>
      <c r="I931" s="27"/>
      <c r="J931" s="27"/>
      <c r="L931" s="27"/>
    </row>
    <row r="932" ht="15.75" customHeight="1">
      <c r="D932" s="27"/>
      <c r="E932" s="27"/>
      <c r="F932" s="27"/>
      <c r="G932" s="27"/>
      <c r="H932" s="27"/>
      <c r="I932" s="27"/>
      <c r="J932" s="27"/>
      <c r="L932" s="27"/>
    </row>
    <row r="933" ht="15.75" customHeight="1">
      <c r="D933" s="27"/>
      <c r="E933" s="27"/>
      <c r="F933" s="27"/>
      <c r="G933" s="27"/>
      <c r="H933" s="27"/>
      <c r="I933" s="27"/>
      <c r="J933" s="27"/>
      <c r="L933" s="27"/>
    </row>
    <row r="934" ht="15.75" customHeight="1">
      <c r="D934" s="27"/>
      <c r="E934" s="27"/>
      <c r="F934" s="27"/>
      <c r="G934" s="27"/>
      <c r="H934" s="27"/>
      <c r="I934" s="27"/>
      <c r="J934" s="27"/>
      <c r="L934" s="27"/>
    </row>
    <row r="935" ht="15.75" customHeight="1">
      <c r="D935" s="27"/>
      <c r="E935" s="27"/>
      <c r="F935" s="27"/>
      <c r="G935" s="27"/>
      <c r="H935" s="27"/>
      <c r="I935" s="27"/>
      <c r="J935" s="27"/>
      <c r="L935" s="27"/>
    </row>
    <row r="936" ht="15.75" customHeight="1">
      <c r="D936" s="27"/>
      <c r="E936" s="27"/>
      <c r="F936" s="27"/>
      <c r="G936" s="27"/>
      <c r="H936" s="27"/>
      <c r="I936" s="27"/>
      <c r="J936" s="27"/>
      <c r="L936" s="27"/>
    </row>
    <row r="937" ht="15.75" customHeight="1">
      <c r="D937" s="27"/>
      <c r="E937" s="27"/>
      <c r="F937" s="27"/>
      <c r="G937" s="27"/>
      <c r="H937" s="27"/>
      <c r="I937" s="27"/>
      <c r="J937" s="27"/>
      <c r="L937" s="27"/>
    </row>
    <row r="938" ht="15.75" customHeight="1">
      <c r="D938" s="27"/>
      <c r="E938" s="27"/>
      <c r="F938" s="27"/>
      <c r="G938" s="27"/>
      <c r="H938" s="27"/>
      <c r="I938" s="27"/>
      <c r="J938" s="27"/>
      <c r="L938" s="27"/>
    </row>
    <row r="939" ht="15.75" customHeight="1">
      <c r="D939" s="27"/>
      <c r="E939" s="27"/>
      <c r="F939" s="27"/>
      <c r="G939" s="27"/>
      <c r="H939" s="27"/>
      <c r="I939" s="27"/>
      <c r="J939" s="27"/>
      <c r="L939" s="27"/>
    </row>
    <row r="940" ht="15.75" customHeight="1">
      <c r="D940" s="27"/>
      <c r="E940" s="27"/>
      <c r="F940" s="27"/>
      <c r="G940" s="27"/>
      <c r="H940" s="27"/>
      <c r="I940" s="27"/>
      <c r="J940" s="27"/>
      <c r="L940" s="27"/>
    </row>
    <row r="941" ht="15.75" customHeight="1">
      <c r="D941" s="27"/>
      <c r="E941" s="27"/>
      <c r="F941" s="27"/>
      <c r="G941" s="27"/>
      <c r="H941" s="27"/>
      <c r="I941" s="27"/>
      <c r="J941" s="27"/>
      <c r="L941" s="27"/>
    </row>
    <row r="942" ht="15.75" customHeight="1">
      <c r="D942" s="27"/>
      <c r="E942" s="27"/>
      <c r="F942" s="27"/>
      <c r="G942" s="27"/>
      <c r="H942" s="27"/>
      <c r="I942" s="27"/>
      <c r="J942" s="27"/>
      <c r="L942" s="27"/>
    </row>
    <row r="943" ht="15.75" customHeight="1">
      <c r="D943" s="27"/>
      <c r="E943" s="27"/>
      <c r="F943" s="27"/>
      <c r="G943" s="27"/>
      <c r="H943" s="27"/>
      <c r="I943" s="27"/>
      <c r="J943" s="27"/>
      <c r="L943" s="27"/>
    </row>
    <row r="944" ht="15.75" customHeight="1">
      <c r="D944" s="27"/>
      <c r="E944" s="27"/>
      <c r="F944" s="27"/>
      <c r="G944" s="27"/>
      <c r="H944" s="27"/>
      <c r="I944" s="27"/>
      <c r="J944" s="27"/>
      <c r="L944" s="27"/>
    </row>
    <row r="945" ht="15.75" customHeight="1">
      <c r="D945" s="27"/>
      <c r="E945" s="27"/>
      <c r="F945" s="27"/>
      <c r="G945" s="27"/>
      <c r="H945" s="27"/>
      <c r="I945" s="27"/>
      <c r="J945" s="27"/>
      <c r="L945" s="27"/>
    </row>
    <row r="946" ht="15.75" customHeight="1">
      <c r="D946" s="27"/>
      <c r="E946" s="27"/>
      <c r="F946" s="27"/>
      <c r="G946" s="27"/>
      <c r="H946" s="27"/>
      <c r="I946" s="27"/>
      <c r="J946" s="27"/>
      <c r="L946" s="27"/>
    </row>
    <row r="947" ht="15.75" customHeight="1">
      <c r="D947" s="27"/>
      <c r="E947" s="27"/>
      <c r="F947" s="27"/>
      <c r="G947" s="27"/>
      <c r="H947" s="27"/>
      <c r="I947" s="27"/>
      <c r="J947" s="27"/>
      <c r="L947" s="27"/>
    </row>
    <row r="948" ht="15.75" customHeight="1">
      <c r="D948" s="27"/>
      <c r="E948" s="27"/>
      <c r="F948" s="27"/>
      <c r="G948" s="27"/>
      <c r="H948" s="27"/>
      <c r="I948" s="27"/>
      <c r="J948" s="27"/>
      <c r="L948" s="27"/>
    </row>
    <row r="949" ht="15.75" customHeight="1">
      <c r="D949" s="27"/>
      <c r="E949" s="27"/>
      <c r="F949" s="27"/>
      <c r="G949" s="27"/>
      <c r="H949" s="27"/>
      <c r="I949" s="27"/>
      <c r="J949" s="27"/>
      <c r="L949" s="27"/>
    </row>
    <row r="950" ht="15.75" customHeight="1">
      <c r="D950" s="27"/>
      <c r="E950" s="27"/>
      <c r="F950" s="27"/>
      <c r="G950" s="27"/>
      <c r="H950" s="27"/>
      <c r="I950" s="27"/>
      <c r="J950" s="27"/>
      <c r="L950" s="27"/>
    </row>
    <row r="951" ht="15.75" customHeight="1">
      <c r="D951" s="27"/>
      <c r="E951" s="27"/>
      <c r="F951" s="27"/>
      <c r="G951" s="27"/>
      <c r="H951" s="27"/>
      <c r="I951" s="27"/>
      <c r="J951" s="27"/>
      <c r="L951" s="27"/>
    </row>
    <row r="952" ht="15.75" customHeight="1">
      <c r="D952" s="27"/>
      <c r="E952" s="27"/>
      <c r="F952" s="27"/>
      <c r="G952" s="27"/>
      <c r="H952" s="27"/>
      <c r="I952" s="27"/>
      <c r="J952" s="27"/>
      <c r="L952" s="27"/>
    </row>
    <row r="953" ht="15.75" customHeight="1">
      <c r="D953" s="27"/>
      <c r="E953" s="27"/>
      <c r="F953" s="27"/>
      <c r="G953" s="27"/>
      <c r="H953" s="27"/>
      <c r="I953" s="27"/>
      <c r="J953" s="27"/>
      <c r="L953" s="27"/>
    </row>
    <row r="954" ht="15.75" customHeight="1">
      <c r="D954" s="27"/>
      <c r="E954" s="27"/>
      <c r="F954" s="27"/>
      <c r="G954" s="27"/>
      <c r="H954" s="27"/>
      <c r="I954" s="27"/>
      <c r="J954" s="27"/>
      <c r="L954" s="27"/>
    </row>
    <row r="955" ht="15.75" customHeight="1">
      <c r="D955" s="27"/>
      <c r="E955" s="27"/>
      <c r="F955" s="27"/>
      <c r="G955" s="27"/>
      <c r="H955" s="27"/>
      <c r="I955" s="27"/>
      <c r="J955" s="27"/>
      <c r="L955" s="27"/>
    </row>
    <row r="956" ht="15.75" customHeight="1">
      <c r="D956" s="27"/>
      <c r="E956" s="27"/>
      <c r="F956" s="27"/>
      <c r="G956" s="27"/>
      <c r="H956" s="27"/>
      <c r="I956" s="27"/>
      <c r="J956" s="27"/>
      <c r="L956" s="27"/>
    </row>
    <row r="957" ht="15.75" customHeight="1">
      <c r="D957" s="27"/>
      <c r="E957" s="27"/>
      <c r="F957" s="27"/>
      <c r="G957" s="27"/>
      <c r="H957" s="27"/>
      <c r="I957" s="27"/>
      <c r="J957" s="27"/>
      <c r="L957" s="27"/>
    </row>
    <row r="958" ht="15.75" customHeight="1">
      <c r="D958" s="27"/>
      <c r="E958" s="27"/>
      <c r="F958" s="27"/>
      <c r="G958" s="27"/>
      <c r="H958" s="27"/>
      <c r="I958" s="27"/>
      <c r="J958" s="27"/>
      <c r="L958" s="27"/>
    </row>
    <row r="959" ht="15.75" customHeight="1">
      <c r="D959" s="27"/>
      <c r="E959" s="27"/>
      <c r="F959" s="27"/>
      <c r="G959" s="27"/>
      <c r="H959" s="27"/>
      <c r="I959" s="27"/>
      <c r="J959" s="27"/>
      <c r="L959" s="27"/>
    </row>
    <row r="960" ht="15.75" customHeight="1">
      <c r="D960" s="27"/>
      <c r="E960" s="27"/>
      <c r="F960" s="27"/>
      <c r="G960" s="27"/>
      <c r="H960" s="27"/>
      <c r="I960" s="27"/>
      <c r="J960" s="27"/>
      <c r="L960" s="27"/>
    </row>
    <row r="961" ht="15.75" customHeight="1">
      <c r="D961" s="27"/>
      <c r="E961" s="27"/>
      <c r="F961" s="27"/>
      <c r="G961" s="27"/>
      <c r="H961" s="27"/>
      <c r="I961" s="27"/>
      <c r="J961" s="27"/>
      <c r="L961" s="27"/>
    </row>
    <row r="962" ht="15.75" customHeight="1">
      <c r="D962" s="27"/>
      <c r="E962" s="27"/>
      <c r="F962" s="27"/>
      <c r="G962" s="27"/>
      <c r="H962" s="27"/>
      <c r="I962" s="27"/>
      <c r="J962" s="27"/>
      <c r="L962" s="27"/>
    </row>
    <row r="963" ht="15.75" customHeight="1">
      <c r="D963" s="27"/>
      <c r="E963" s="27"/>
      <c r="F963" s="27"/>
      <c r="G963" s="27"/>
      <c r="H963" s="27"/>
      <c r="I963" s="27"/>
      <c r="J963" s="27"/>
      <c r="L963" s="27"/>
    </row>
    <row r="964" ht="15.75" customHeight="1">
      <c r="D964" s="27"/>
      <c r="E964" s="27"/>
      <c r="F964" s="27"/>
      <c r="G964" s="27"/>
      <c r="H964" s="27"/>
      <c r="I964" s="27"/>
      <c r="J964" s="27"/>
      <c r="L964" s="27"/>
    </row>
    <row r="965" ht="15.75" customHeight="1">
      <c r="D965" s="27"/>
      <c r="E965" s="27"/>
      <c r="F965" s="27"/>
      <c r="G965" s="27"/>
      <c r="H965" s="27"/>
      <c r="I965" s="27"/>
      <c r="J965" s="27"/>
      <c r="L965" s="27"/>
    </row>
    <row r="966" ht="15.75" customHeight="1">
      <c r="D966" s="27"/>
      <c r="E966" s="27"/>
      <c r="F966" s="27"/>
      <c r="G966" s="27"/>
      <c r="H966" s="27"/>
      <c r="I966" s="27"/>
      <c r="J966" s="27"/>
      <c r="L966" s="27"/>
    </row>
    <row r="967" ht="15.75" customHeight="1">
      <c r="D967" s="27"/>
      <c r="E967" s="27"/>
      <c r="F967" s="27"/>
      <c r="G967" s="27"/>
      <c r="H967" s="27"/>
      <c r="I967" s="27"/>
      <c r="J967" s="27"/>
      <c r="L967" s="27"/>
    </row>
    <row r="968" ht="15.75" customHeight="1">
      <c r="D968" s="27"/>
      <c r="E968" s="27"/>
      <c r="F968" s="27"/>
      <c r="G968" s="27"/>
      <c r="H968" s="27"/>
      <c r="I968" s="27"/>
      <c r="J968" s="27"/>
      <c r="L968" s="27"/>
    </row>
    <row r="969" ht="15.75" customHeight="1">
      <c r="D969" s="27"/>
      <c r="E969" s="27"/>
      <c r="F969" s="27"/>
      <c r="G969" s="27"/>
      <c r="H969" s="27"/>
      <c r="I969" s="27"/>
      <c r="J969" s="27"/>
      <c r="L969" s="27"/>
    </row>
    <row r="970" ht="15.75" customHeight="1">
      <c r="D970" s="27"/>
      <c r="E970" s="27"/>
      <c r="F970" s="27"/>
      <c r="G970" s="27"/>
      <c r="H970" s="27"/>
      <c r="I970" s="27"/>
      <c r="J970" s="27"/>
      <c r="L970" s="27"/>
    </row>
    <row r="971" ht="15.75" customHeight="1">
      <c r="D971" s="27"/>
      <c r="E971" s="27"/>
      <c r="F971" s="27"/>
      <c r="G971" s="27"/>
      <c r="H971" s="27"/>
      <c r="I971" s="27"/>
      <c r="J971" s="27"/>
      <c r="L971" s="27"/>
    </row>
    <row r="972" ht="15.75" customHeight="1">
      <c r="D972" s="27"/>
      <c r="E972" s="27"/>
      <c r="F972" s="27"/>
      <c r="G972" s="27"/>
      <c r="H972" s="27"/>
      <c r="I972" s="27"/>
      <c r="J972" s="27"/>
      <c r="L972" s="27"/>
    </row>
    <row r="973" ht="15.75" customHeight="1">
      <c r="D973" s="27"/>
      <c r="E973" s="27"/>
      <c r="F973" s="27"/>
      <c r="G973" s="27"/>
      <c r="H973" s="27"/>
      <c r="I973" s="27"/>
      <c r="J973" s="27"/>
      <c r="L973" s="27"/>
    </row>
    <row r="974" ht="15.75" customHeight="1">
      <c r="D974" s="27"/>
      <c r="E974" s="27"/>
      <c r="F974" s="27"/>
      <c r="G974" s="27"/>
      <c r="H974" s="27"/>
      <c r="I974" s="27"/>
      <c r="J974" s="27"/>
      <c r="L974" s="27"/>
    </row>
    <row r="975" ht="15.75" customHeight="1">
      <c r="D975" s="27"/>
      <c r="E975" s="27"/>
      <c r="F975" s="27"/>
      <c r="G975" s="27"/>
      <c r="H975" s="27"/>
      <c r="I975" s="27"/>
      <c r="J975" s="27"/>
      <c r="L975" s="27"/>
    </row>
    <row r="976" ht="15.75" customHeight="1">
      <c r="D976" s="27"/>
      <c r="E976" s="27"/>
      <c r="F976" s="27"/>
      <c r="G976" s="27"/>
      <c r="H976" s="27"/>
      <c r="I976" s="27"/>
      <c r="J976" s="27"/>
      <c r="L976" s="27"/>
    </row>
    <row r="977" ht="15.75" customHeight="1">
      <c r="D977" s="27"/>
      <c r="E977" s="27"/>
      <c r="F977" s="27"/>
      <c r="G977" s="27"/>
      <c r="H977" s="27"/>
      <c r="I977" s="27"/>
      <c r="J977" s="27"/>
      <c r="L977" s="27"/>
    </row>
    <row r="978" ht="15.75" customHeight="1">
      <c r="D978" s="27"/>
      <c r="E978" s="27"/>
      <c r="F978" s="27"/>
      <c r="G978" s="27"/>
      <c r="H978" s="27"/>
      <c r="I978" s="27"/>
      <c r="J978" s="27"/>
      <c r="L978" s="27"/>
    </row>
    <row r="979" ht="15.75" customHeight="1">
      <c r="D979" s="27"/>
      <c r="E979" s="27"/>
      <c r="F979" s="27"/>
      <c r="G979" s="27"/>
      <c r="H979" s="27"/>
      <c r="I979" s="27"/>
      <c r="J979" s="27"/>
      <c r="L979" s="27"/>
    </row>
    <row r="980" ht="15.75" customHeight="1">
      <c r="D980" s="27"/>
      <c r="E980" s="27"/>
      <c r="F980" s="27"/>
      <c r="G980" s="27"/>
      <c r="H980" s="27"/>
      <c r="I980" s="27"/>
      <c r="J980" s="27"/>
      <c r="L980" s="27"/>
    </row>
    <row r="981" ht="15.75" customHeight="1">
      <c r="D981" s="27"/>
      <c r="E981" s="27"/>
      <c r="F981" s="27"/>
      <c r="G981" s="27"/>
      <c r="H981" s="27"/>
      <c r="I981" s="27"/>
      <c r="J981" s="27"/>
      <c r="L981" s="27"/>
    </row>
    <row r="982" ht="15.75" customHeight="1">
      <c r="D982" s="27"/>
      <c r="E982" s="27"/>
      <c r="F982" s="27"/>
      <c r="G982" s="27"/>
      <c r="H982" s="27"/>
      <c r="I982" s="27"/>
      <c r="J982" s="27"/>
      <c r="L982" s="27"/>
    </row>
    <row r="983" ht="15.75" customHeight="1">
      <c r="D983" s="27"/>
      <c r="E983" s="27"/>
      <c r="F983" s="27"/>
      <c r="G983" s="27"/>
      <c r="H983" s="27"/>
      <c r="I983" s="27"/>
      <c r="J983" s="27"/>
      <c r="L983" s="27"/>
    </row>
    <row r="984" ht="15.75" customHeight="1">
      <c r="D984" s="27"/>
      <c r="E984" s="27"/>
      <c r="F984" s="27"/>
      <c r="G984" s="27"/>
      <c r="H984" s="27"/>
      <c r="I984" s="27"/>
      <c r="J984" s="27"/>
      <c r="L984" s="27"/>
    </row>
    <row r="985" ht="15.75" customHeight="1">
      <c r="D985" s="27"/>
      <c r="E985" s="27"/>
      <c r="F985" s="27"/>
      <c r="G985" s="27"/>
      <c r="H985" s="27"/>
      <c r="I985" s="27"/>
      <c r="J985" s="27"/>
      <c r="L985" s="27"/>
    </row>
    <row r="986" ht="15.75" customHeight="1">
      <c r="D986" s="27"/>
      <c r="E986" s="27"/>
      <c r="F986" s="27"/>
      <c r="G986" s="27"/>
      <c r="H986" s="27"/>
      <c r="I986" s="27"/>
      <c r="J986" s="27"/>
      <c r="L986" s="27"/>
    </row>
    <row r="987" ht="15.75" customHeight="1">
      <c r="D987" s="27"/>
      <c r="E987" s="27"/>
      <c r="F987" s="27"/>
      <c r="G987" s="27"/>
      <c r="H987" s="27"/>
      <c r="I987" s="27"/>
      <c r="J987" s="27"/>
      <c r="L987" s="27"/>
    </row>
    <row r="988" ht="15.75" customHeight="1">
      <c r="D988" s="27"/>
      <c r="E988" s="27"/>
      <c r="F988" s="27"/>
      <c r="G988" s="27"/>
      <c r="H988" s="27"/>
      <c r="I988" s="27"/>
      <c r="J988" s="27"/>
      <c r="L988" s="27"/>
    </row>
    <row r="989" ht="15.75" customHeight="1">
      <c r="D989" s="27"/>
      <c r="E989" s="27"/>
      <c r="F989" s="27"/>
      <c r="G989" s="27"/>
      <c r="H989" s="27"/>
      <c r="I989" s="27"/>
      <c r="J989" s="27"/>
      <c r="L989" s="27"/>
    </row>
    <row r="990" ht="15.75" customHeight="1">
      <c r="D990" s="27"/>
      <c r="E990" s="27"/>
      <c r="F990" s="27"/>
      <c r="G990" s="27"/>
      <c r="H990" s="27"/>
      <c r="I990" s="27"/>
      <c r="J990" s="27"/>
      <c r="L990" s="27"/>
    </row>
    <row r="991" ht="15.75" customHeight="1">
      <c r="D991" s="27"/>
      <c r="E991" s="27"/>
      <c r="F991" s="27"/>
      <c r="G991" s="27"/>
      <c r="H991" s="27"/>
      <c r="I991" s="27"/>
      <c r="J991" s="27"/>
      <c r="L991" s="27"/>
    </row>
    <row r="992" ht="15.75" customHeight="1">
      <c r="D992" s="27"/>
      <c r="E992" s="27"/>
      <c r="F992" s="27"/>
      <c r="G992" s="27"/>
      <c r="H992" s="27"/>
      <c r="I992" s="27"/>
      <c r="J992" s="27"/>
      <c r="L992" s="27"/>
    </row>
    <row r="993" ht="15.75" customHeight="1">
      <c r="D993" s="27"/>
      <c r="E993" s="27"/>
      <c r="F993" s="27"/>
      <c r="G993" s="27"/>
      <c r="H993" s="27"/>
      <c r="I993" s="27"/>
      <c r="J993" s="27"/>
      <c r="L993" s="27"/>
    </row>
    <row r="994" ht="15.75" customHeight="1">
      <c r="D994" s="27"/>
      <c r="E994" s="27"/>
      <c r="F994" s="27"/>
      <c r="G994" s="27"/>
      <c r="H994" s="27"/>
      <c r="I994" s="27"/>
      <c r="J994" s="27"/>
      <c r="L994" s="27"/>
    </row>
    <row r="995" ht="15.75" customHeight="1">
      <c r="D995" s="27"/>
      <c r="E995" s="27"/>
      <c r="F995" s="27"/>
      <c r="G995" s="27"/>
      <c r="H995" s="27"/>
      <c r="I995" s="27"/>
      <c r="J995" s="27"/>
      <c r="L995" s="27"/>
    </row>
    <row r="996" ht="15.75" customHeight="1">
      <c r="D996" s="27"/>
      <c r="E996" s="27"/>
      <c r="F996" s="27"/>
      <c r="G996" s="27"/>
      <c r="H996" s="27"/>
      <c r="I996" s="27"/>
      <c r="J996" s="27"/>
      <c r="L996" s="27"/>
    </row>
    <row r="997" ht="15.75" customHeight="1">
      <c r="D997" s="27"/>
      <c r="E997" s="27"/>
      <c r="F997" s="27"/>
      <c r="G997" s="27"/>
      <c r="H997" s="27"/>
      <c r="I997" s="27"/>
      <c r="J997" s="27"/>
      <c r="L997" s="27"/>
    </row>
    <row r="998" ht="15.75" customHeight="1">
      <c r="D998" s="27"/>
      <c r="E998" s="27"/>
      <c r="F998" s="27"/>
      <c r="G998" s="27"/>
      <c r="H998" s="27"/>
      <c r="I998" s="27"/>
      <c r="J998" s="27"/>
      <c r="L998" s="27"/>
    </row>
    <row r="999" ht="15.75" customHeight="1">
      <c r="D999" s="27"/>
      <c r="E999" s="27"/>
      <c r="F999" s="27"/>
      <c r="G999" s="27"/>
      <c r="H999" s="27"/>
      <c r="I999" s="27"/>
      <c r="J999" s="27"/>
      <c r="L999" s="27"/>
    </row>
    <row r="1000" ht="15.75" customHeight="1">
      <c r="D1000" s="27"/>
      <c r="E1000" s="27"/>
      <c r="F1000" s="27"/>
      <c r="G1000" s="27"/>
      <c r="H1000" s="27"/>
      <c r="I1000" s="27"/>
      <c r="J1000" s="27"/>
      <c r="L1000" s="27"/>
    </row>
  </sheetData>
  <dataValidations>
    <dataValidation type="list" allowBlank="1" showErrorMessage="1" sqref="L97:L98">
      <formula1>"In Progress,Delay with Client,Delay Resolved,High,Medium,Not applicable,Awaiting Response,Completed"</formula1>
    </dataValidation>
    <dataValidation type="list" allowBlank="1" showErrorMessage="1" sqref="I3:I1000">
      <formula1>"CL/PR Reviewed,Catch-Up Req."</formula1>
    </dataValidation>
    <dataValidation type="list" allowBlank="1" showErrorMessage="1" sqref="D3:G1000 J3:J1000">
      <formula1>"Completed,Not Applicable,Inporcess"</formula1>
    </dataValidation>
    <dataValidation type="list" allowBlank="1" showErrorMessage="1" sqref="L3:L96 L99:L1000">
      <formula1>"In Progress,Delay with Client,Delay Resolved,High,Medium,Low,Awaiting Response"</formula1>
    </dataValidation>
    <dataValidation type="list" allowBlank="1" showErrorMessage="1" sqref="H3:H1000">
      <formula1>"Updates Made,Cross Trained,Not Applicable,Inprocess"</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1" max="11" width="27.75"/>
  </cols>
  <sheetData>
    <row r="1" ht="15.75" customHeight="1">
      <c r="A1" s="1" t="s">
        <v>0</v>
      </c>
      <c r="B1" s="2" t="s">
        <v>1</v>
      </c>
      <c r="C1" s="2" t="s">
        <v>2</v>
      </c>
      <c r="D1" s="2" t="s">
        <v>3</v>
      </c>
      <c r="E1" s="2" t="s">
        <v>4</v>
      </c>
      <c r="F1" s="2" t="s">
        <v>5</v>
      </c>
      <c r="G1" s="2" t="s">
        <v>6</v>
      </c>
      <c r="H1" s="2" t="s">
        <v>7</v>
      </c>
      <c r="I1" s="2" t="s">
        <v>8</v>
      </c>
      <c r="J1" s="2" t="s">
        <v>9</v>
      </c>
      <c r="K1" s="2" t="s">
        <v>10</v>
      </c>
      <c r="L1" s="3" t="s">
        <v>11</v>
      </c>
      <c r="M1" s="2" t="s">
        <v>12</v>
      </c>
      <c r="N1" s="2" t="s">
        <v>13</v>
      </c>
      <c r="O1" s="2" t="s">
        <v>14</v>
      </c>
    </row>
    <row r="2" ht="15.75" customHeight="1">
      <c r="A2" s="4" t="s">
        <v>15</v>
      </c>
      <c r="B2" s="4">
        <v>0.0</v>
      </c>
      <c r="C2" s="4">
        <v>0.0</v>
      </c>
      <c r="D2" s="4" t="s">
        <v>16</v>
      </c>
      <c r="E2" s="4" t="s">
        <v>17</v>
      </c>
      <c r="F2" s="4" t="s">
        <v>18</v>
      </c>
      <c r="G2" s="4" t="s">
        <v>19</v>
      </c>
      <c r="H2" s="4" t="s">
        <v>20</v>
      </c>
      <c r="I2" s="4" t="s">
        <v>21</v>
      </c>
      <c r="J2" s="4" t="s">
        <v>22</v>
      </c>
      <c r="K2" s="4" t="s">
        <v>23</v>
      </c>
      <c r="L2" s="5"/>
      <c r="M2" s="6"/>
      <c r="N2" s="6"/>
      <c r="O2" s="6" t="s">
        <v>24</v>
      </c>
    </row>
    <row r="3" ht="15.75" hidden="1" customHeight="1">
      <c r="A3" s="8">
        <v>46066.0</v>
      </c>
      <c r="B3" s="9" t="s">
        <v>2599</v>
      </c>
      <c r="C3" s="9"/>
      <c r="D3" s="10"/>
      <c r="E3" s="10"/>
      <c r="F3" s="10"/>
      <c r="G3" s="10" t="s">
        <v>26</v>
      </c>
      <c r="H3" s="10" t="s">
        <v>25</v>
      </c>
      <c r="I3" s="10" t="s">
        <v>27</v>
      </c>
      <c r="J3" s="10" t="s">
        <v>25</v>
      </c>
      <c r="K3" s="5" t="s">
        <v>2600</v>
      </c>
      <c r="L3" s="5"/>
      <c r="M3" s="12"/>
      <c r="N3" s="11"/>
      <c r="O3" s="11"/>
    </row>
    <row r="4" ht="15.75" hidden="1" customHeight="1">
      <c r="A4" s="8">
        <v>46067.0</v>
      </c>
      <c r="B4" s="9" t="s">
        <v>2599</v>
      </c>
      <c r="C4" s="9">
        <v>3.65</v>
      </c>
      <c r="D4" s="10"/>
      <c r="E4" s="10"/>
      <c r="F4" s="10"/>
      <c r="G4" s="10" t="s">
        <v>26</v>
      </c>
      <c r="H4" s="10" t="s">
        <v>25</v>
      </c>
      <c r="I4" s="10" t="s">
        <v>27</v>
      </c>
      <c r="J4" s="10" t="s">
        <v>25</v>
      </c>
      <c r="K4" s="5" t="s">
        <v>2601</v>
      </c>
      <c r="L4" s="5"/>
      <c r="M4" s="11" t="s">
        <v>2602</v>
      </c>
      <c r="N4" s="11"/>
      <c r="O4" s="11"/>
    </row>
    <row r="5" ht="15.75" hidden="1" customHeight="1">
      <c r="A5" s="8">
        <v>46069.0</v>
      </c>
      <c r="B5" s="9" t="s">
        <v>2599</v>
      </c>
      <c r="C5" s="9">
        <f>3.65+2</f>
        <v>5.65</v>
      </c>
      <c r="D5" s="10"/>
      <c r="E5" s="10"/>
      <c r="F5" s="10"/>
      <c r="G5" s="10" t="s">
        <v>26</v>
      </c>
      <c r="H5" s="10" t="s">
        <v>25</v>
      </c>
      <c r="I5" s="10" t="s">
        <v>27</v>
      </c>
      <c r="J5" s="10" t="s">
        <v>25</v>
      </c>
      <c r="K5" s="5" t="s">
        <v>2603</v>
      </c>
      <c r="L5" s="5"/>
      <c r="M5" s="11" t="s">
        <v>2604</v>
      </c>
      <c r="N5" s="11"/>
      <c r="O5" s="11"/>
    </row>
    <row r="6" ht="15.75" hidden="1" customHeight="1">
      <c r="A6" s="8">
        <v>46070.0</v>
      </c>
      <c r="B6" s="9" t="s">
        <v>2599</v>
      </c>
      <c r="C6" s="9">
        <f>5.65+6</f>
        <v>11.65</v>
      </c>
      <c r="D6" s="10"/>
      <c r="E6" s="10"/>
      <c r="F6" s="10"/>
      <c r="G6" s="10" t="s">
        <v>26</v>
      </c>
      <c r="H6" s="10" t="s">
        <v>25</v>
      </c>
      <c r="I6" s="10" t="s">
        <v>27</v>
      </c>
      <c r="J6" s="10" t="s">
        <v>25</v>
      </c>
      <c r="K6" s="5" t="s">
        <v>2605</v>
      </c>
      <c r="L6" s="5"/>
      <c r="M6" s="11" t="s">
        <v>2606</v>
      </c>
      <c r="N6" s="11"/>
      <c r="O6" s="11"/>
    </row>
    <row r="7" ht="15.75" hidden="1" customHeight="1">
      <c r="A7" s="8">
        <v>46071.0</v>
      </c>
      <c r="B7" s="9" t="s">
        <v>2599</v>
      </c>
      <c r="C7" s="9">
        <f>11.65+2.83</f>
        <v>14.48</v>
      </c>
      <c r="D7" s="10"/>
      <c r="E7" s="10"/>
      <c r="F7" s="10" t="s">
        <v>26</v>
      </c>
      <c r="G7" s="10" t="s">
        <v>26</v>
      </c>
      <c r="H7" s="10" t="s">
        <v>25</v>
      </c>
      <c r="I7" s="10" t="s">
        <v>27</v>
      </c>
      <c r="J7" s="10" t="s">
        <v>25</v>
      </c>
      <c r="K7" s="5" t="s">
        <v>2607</v>
      </c>
      <c r="L7" s="5"/>
      <c r="M7" s="11" t="s">
        <v>2608</v>
      </c>
      <c r="N7" s="11"/>
      <c r="O7" s="11"/>
    </row>
    <row r="8" ht="15.75" hidden="1" customHeight="1">
      <c r="A8" s="8">
        <v>46072.0</v>
      </c>
      <c r="B8" s="9" t="s">
        <v>2599</v>
      </c>
      <c r="C8" s="9">
        <f>14.48+0.16</f>
        <v>14.64</v>
      </c>
      <c r="D8" s="10"/>
      <c r="E8" s="10"/>
      <c r="F8" s="10" t="s">
        <v>26</v>
      </c>
      <c r="G8" s="10" t="s">
        <v>26</v>
      </c>
      <c r="H8" s="10" t="s">
        <v>25</v>
      </c>
      <c r="I8" s="10" t="s">
        <v>27</v>
      </c>
      <c r="J8" s="10" t="s">
        <v>25</v>
      </c>
      <c r="K8" s="5" t="s">
        <v>2601</v>
      </c>
      <c r="L8" s="5"/>
      <c r="M8" s="11" t="s">
        <v>2609</v>
      </c>
      <c r="O8" s="11"/>
    </row>
    <row r="9" ht="15.75" hidden="1" customHeight="1">
      <c r="A9" s="8">
        <v>46073.0</v>
      </c>
      <c r="B9" s="9" t="s">
        <v>2599</v>
      </c>
      <c r="C9" s="9">
        <v>14.64</v>
      </c>
      <c r="D9" s="10"/>
      <c r="E9" s="10"/>
      <c r="F9" s="10"/>
      <c r="G9" s="10"/>
      <c r="H9" s="10"/>
      <c r="I9" s="10"/>
      <c r="J9" s="10"/>
      <c r="K9" s="5" t="s">
        <v>2610</v>
      </c>
      <c r="L9" s="5"/>
      <c r="M9" s="11"/>
      <c r="N9" s="10" t="s">
        <v>2611</v>
      </c>
      <c r="O9" s="11" t="s">
        <v>2612</v>
      </c>
    </row>
    <row r="10" ht="15.75" hidden="1" customHeight="1">
      <c r="A10" s="8">
        <v>46074.0</v>
      </c>
      <c r="B10" s="9"/>
      <c r="C10" s="9"/>
      <c r="D10" s="10"/>
      <c r="E10" s="10"/>
      <c r="F10" s="10"/>
      <c r="G10" s="10"/>
      <c r="H10" s="10"/>
      <c r="I10" s="10"/>
      <c r="J10" s="10"/>
      <c r="K10" s="11"/>
      <c r="L10" s="5"/>
      <c r="M10" s="11"/>
      <c r="O10" s="11"/>
    </row>
    <row r="11" ht="15.75" hidden="1" customHeight="1">
      <c r="A11" s="8">
        <v>46076.0</v>
      </c>
      <c r="B11" s="9" t="s">
        <v>2599</v>
      </c>
      <c r="C11" s="9">
        <v>14.64</v>
      </c>
      <c r="D11" s="10"/>
      <c r="E11" s="10"/>
      <c r="F11" s="10"/>
      <c r="G11" s="10"/>
      <c r="H11" s="10"/>
      <c r="I11" s="10"/>
      <c r="J11" s="10"/>
      <c r="K11" s="5" t="s">
        <v>2610</v>
      </c>
      <c r="L11" s="5"/>
      <c r="M11" s="11"/>
      <c r="N11" s="10" t="s">
        <v>2611</v>
      </c>
      <c r="O11" s="11" t="s">
        <v>2612</v>
      </c>
    </row>
    <row r="12" ht="15.75" hidden="1" customHeight="1">
      <c r="A12" s="8">
        <v>46077.0</v>
      </c>
      <c r="B12" s="9" t="s">
        <v>2599</v>
      </c>
      <c r="C12" s="9">
        <v>14.64</v>
      </c>
      <c r="D12" s="10"/>
      <c r="E12" s="10"/>
      <c r="F12" s="10"/>
      <c r="G12" s="10"/>
      <c r="H12" s="10"/>
      <c r="I12" s="10"/>
      <c r="J12" s="10"/>
      <c r="K12" s="5" t="s">
        <v>2610</v>
      </c>
      <c r="L12" s="5"/>
      <c r="M12" s="11"/>
      <c r="N12" s="10" t="s">
        <v>2611</v>
      </c>
      <c r="O12" s="11" t="s">
        <v>2612</v>
      </c>
    </row>
    <row r="13" ht="15.75" hidden="1" customHeight="1">
      <c r="A13" s="8">
        <v>46079.0</v>
      </c>
      <c r="B13" s="9" t="s">
        <v>2599</v>
      </c>
      <c r="C13" s="9">
        <v>14.64</v>
      </c>
      <c r="D13" s="10"/>
      <c r="E13" s="10"/>
      <c r="F13" s="10"/>
      <c r="G13" s="10"/>
      <c r="H13" s="10"/>
      <c r="I13" s="10"/>
      <c r="J13" s="10"/>
      <c r="K13" s="5" t="s">
        <v>2610</v>
      </c>
      <c r="L13" s="5"/>
      <c r="M13" s="11"/>
      <c r="N13" s="10" t="s">
        <v>2611</v>
      </c>
      <c r="O13" s="11" t="s">
        <v>2612</v>
      </c>
    </row>
    <row r="14" ht="15.75" hidden="1" customHeight="1">
      <c r="A14" s="8">
        <v>46080.0</v>
      </c>
      <c r="B14" s="9" t="s">
        <v>2599</v>
      </c>
      <c r="C14" s="9">
        <v>14.64</v>
      </c>
      <c r="D14" s="10"/>
      <c r="E14" s="10"/>
      <c r="F14" s="10"/>
      <c r="G14" s="10"/>
      <c r="H14" s="10"/>
      <c r="I14" s="10"/>
      <c r="J14" s="10"/>
      <c r="K14" s="5" t="s">
        <v>2610</v>
      </c>
      <c r="L14" s="5"/>
      <c r="M14" s="11"/>
      <c r="N14" s="10" t="s">
        <v>2611</v>
      </c>
      <c r="O14" s="11"/>
    </row>
    <row r="15" ht="15.75" hidden="1" customHeight="1">
      <c r="A15" s="8">
        <v>46081.0</v>
      </c>
      <c r="B15" s="9" t="s">
        <v>2599</v>
      </c>
      <c r="C15" s="9">
        <v>15.69</v>
      </c>
      <c r="D15" s="10"/>
      <c r="E15" s="10"/>
      <c r="F15" s="10"/>
      <c r="G15" s="10"/>
      <c r="H15" s="10"/>
      <c r="I15" s="10"/>
      <c r="J15" s="10"/>
      <c r="K15" s="5" t="s">
        <v>2610</v>
      </c>
      <c r="L15" s="5"/>
      <c r="M15" s="11"/>
      <c r="N15" s="10" t="s">
        <v>2611</v>
      </c>
      <c r="O15" s="11"/>
    </row>
    <row r="16" ht="15.75" customHeight="1">
      <c r="A16" s="8">
        <v>46083.0</v>
      </c>
      <c r="B16" s="9" t="s">
        <v>2599</v>
      </c>
      <c r="C16" s="9"/>
      <c r="D16" s="10"/>
      <c r="E16" s="10"/>
      <c r="F16" s="10"/>
      <c r="G16" s="10"/>
      <c r="H16" s="10"/>
      <c r="I16" s="10"/>
      <c r="J16" s="10"/>
      <c r="K16" s="5" t="s">
        <v>2610</v>
      </c>
      <c r="L16" s="5"/>
      <c r="M16" s="11"/>
      <c r="N16" s="10" t="s">
        <v>2611</v>
      </c>
      <c r="O16" s="11"/>
    </row>
    <row r="17" ht="15.75" customHeight="1">
      <c r="A17" s="8">
        <v>46084.0</v>
      </c>
      <c r="B17" s="9" t="s">
        <v>2599</v>
      </c>
      <c r="C17" s="9"/>
      <c r="D17" s="10"/>
      <c r="E17" s="10"/>
      <c r="F17" s="10"/>
      <c r="G17" s="10"/>
      <c r="H17" s="10"/>
      <c r="I17" s="10"/>
      <c r="J17" s="10"/>
      <c r="K17" s="5" t="s">
        <v>2610</v>
      </c>
      <c r="L17" s="5"/>
      <c r="M17" s="11"/>
      <c r="N17" s="10" t="s">
        <v>2611</v>
      </c>
      <c r="O17" s="11"/>
    </row>
    <row r="18" ht="15.75" customHeight="1">
      <c r="A18" s="8">
        <v>46085.0</v>
      </c>
      <c r="B18" s="9" t="s">
        <v>2599</v>
      </c>
      <c r="C18" s="9"/>
      <c r="D18" s="10"/>
      <c r="E18" s="10"/>
      <c r="F18" s="10"/>
      <c r="G18" s="10"/>
      <c r="H18" s="10"/>
      <c r="I18" s="10"/>
      <c r="J18" s="10"/>
      <c r="K18" s="5" t="s">
        <v>2610</v>
      </c>
      <c r="L18" s="5"/>
      <c r="M18" s="11"/>
      <c r="N18" s="10" t="s">
        <v>2611</v>
      </c>
      <c r="O18" s="11"/>
    </row>
    <row r="19" ht="15.75" customHeight="1">
      <c r="A19" s="8">
        <v>46086.0</v>
      </c>
      <c r="B19" s="9" t="s">
        <v>2599</v>
      </c>
      <c r="C19" s="9">
        <v>0.05</v>
      </c>
      <c r="D19" s="10"/>
      <c r="E19" s="10"/>
      <c r="F19" s="10"/>
      <c r="G19" s="10"/>
      <c r="H19" s="10"/>
      <c r="I19" s="10"/>
      <c r="J19" s="10"/>
      <c r="K19" s="5" t="s">
        <v>2610</v>
      </c>
      <c r="L19" s="5"/>
      <c r="M19" s="11" t="s">
        <v>2613</v>
      </c>
      <c r="O19" s="11"/>
    </row>
    <row r="20" ht="15.75" customHeight="1">
      <c r="A20" s="8">
        <v>46087.0</v>
      </c>
      <c r="B20" s="9" t="s">
        <v>2599</v>
      </c>
      <c r="C20" s="9"/>
      <c r="D20" s="10"/>
      <c r="E20" s="10"/>
      <c r="F20" s="10"/>
      <c r="G20" s="10"/>
      <c r="H20" s="10"/>
      <c r="I20" s="10"/>
      <c r="J20" s="10"/>
      <c r="K20" s="5" t="s">
        <v>2610</v>
      </c>
      <c r="L20" s="5"/>
      <c r="M20" s="11"/>
      <c r="N20" s="13"/>
      <c r="O20" s="14"/>
    </row>
    <row r="21" ht="15.75" customHeight="1">
      <c r="A21" s="8">
        <v>46088.0</v>
      </c>
      <c r="B21" s="9" t="s">
        <v>2599</v>
      </c>
      <c r="C21" s="9"/>
      <c r="D21" s="10"/>
      <c r="E21" s="10"/>
      <c r="F21" s="10"/>
      <c r="G21" s="10"/>
      <c r="H21" s="10"/>
      <c r="I21" s="10"/>
      <c r="J21" s="10"/>
      <c r="K21" s="5" t="s">
        <v>2610</v>
      </c>
      <c r="L21" s="5"/>
      <c r="M21" s="11"/>
      <c r="N21" s="13"/>
      <c r="O21" s="14"/>
    </row>
    <row r="22" ht="15.75" customHeight="1">
      <c r="A22" s="8">
        <v>46089.0</v>
      </c>
      <c r="B22" s="9" t="s">
        <v>2599</v>
      </c>
      <c r="C22" s="9"/>
      <c r="D22" s="10"/>
      <c r="E22" s="10"/>
      <c r="F22" s="10"/>
      <c r="G22" s="10"/>
      <c r="H22" s="10"/>
      <c r="I22" s="10"/>
      <c r="J22" s="10"/>
      <c r="K22" s="5" t="s">
        <v>2610</v>
      </c>
      <c r="L22" s="5"/>
      <c r="M22" s="11"/>
      <c r="N22" s="13"/>
      <c r="O22" s="14"/>
    </row>
    <row r="23" ht="15.75" customHeight="1">
      <c r="A23" s="8">
        <v>46090.0</v>
      </c>
      <c r="B23" s="9" t="s">
        <v>2599</v>
      </c>
      <c r="C23" s="9"/>
      <c r="D23" s="10"/>
      <c r="E23" s="10"/>
      <c r="F23" s="10"/>
      <c r="G23" s="10"/>
      <c r="H23" s="10"/>
      <c r="I23" s="10"/>
      <c r="J23" s="10"/>
      <c r="K23" s="5" t="s">
        <v>2610</v>
      </c>
      <c r="L23" s="5"/>
      <c r="M23" s="11"/>
      <c r="N23" s="13"/>
      <c r="O23" s="14"/>
    </row>
    <row r="24" ht="15.75" customHeight="1">
      <c r="A24" s="8"/>
      <c r="B24" s="9"/>
      <c r="C24" s="9"/>
      <c r="D24" s="10"/>
      <c r="E24" s="10"/>
      <c r="F24" s="10"/>
      <c r="G24" s="10"/>
      <c r="H24" s="10"/>
      <c r="I24" s="10"/>
      <c r="J24" s="10"/>
      <c r="K24" s="11"/>
      <c r="L24" s="5"/>
      <c r="M24" s="13"/>
      <c r="N24" s="11"/>
      <c r="O24" s="11"/>
    </row>
    <row r="25" ht="15.75" customHeight="1">
      <c r="A25" s="8"/>
      <c r="B25" s="9"/>
      <c r="C25" s="9"/>
      <c r="D25" s="10"/>
      <c r="E25" s="10"/>
      <c r="F25" s="10"/>
      <c r="G25" s="10"/>
      <c r="H25" s="10"/>
      <c r="I25" s="10"/>
      <c r="J25" s="10"/>
      <c r="K25" s="11"/>
      <c r="L25" s="5"/>
      <c r="M25" s="11"/>
      <c r="O25" s="11"/>
    </row>
    <row r="26" ht="15.75" customHeight="1">
      <c r="A26" s="8"/>
      <c r="B26" s="9"/>
      <c r="C26" s="9"/>
      <c r="D26" s="10"/>
      <c r="E26" s="10"/>
      <c r="F26" s="10"/>
      <c r="G26" s="10"/>
      <c r="H26" s="10"/>
      <c r="I26" s="10"/>
      <c r="J26" s="10"/>
      <c r="L26" s="5"/>
      <c r="M26" s="11"/>
      <c r="O26" s="11"/>
    </row>
    <row r="27" ht="15.75" customHeight="1">
      <c r="A27" s="8"/>
      <c r="B27" s="9"/>
      <c r="C27" s="9"/>
      <c r="D27" s="10"/>
      <c r="E27" s="10"/>
      <c r="F27" s="10"/>
      <c r="G27" s="10"/>
      <c r="H27" s="10"/>
      <c r="I27" s="10"/>
      <c r="J27" s="10"/>
      <c r="L27" s="5"/>
      <c r="M27" s="11"/>
      <c r="O27" s="11"/>
    </row>
    <row r="28" ht="15.75" customHeight="1">
      <c r="A28" s="8"/>
      <c r="B28" s="9"/>
      <c r="C28" s="9"/>
      <c r="D28" s="10"/>
      <c r="E28" s="10"/>
      <c r="F28" s="10"/>
      <c r="G28" s="10"/>
      <c r="H28" s="10"/>
      <c r="I28" s="10"/>
      <c r="J28" s="10"/>
      <c r="L28" s="5"/>
      <c r="M28" s="15"/>
      <c r="O28" s="11"/>
    </row>
    <row r="29" ht="15.75" customHeight="1">
      <c r="A29" s="8"/>
      <c r="B29" s="9"/>
      <c r="C29" s="9"/>
      <c r="D29" s="10"/>
      <c r="E29" s="10"/>
      <c r="F29" s="10"/>
      <c r="G29" s="10"/>
      <c r="H29" s="10"/>
      <c r="I29" s="10"/>
      <c r="J29" s="10"/>
      <c r="L29" s="5"/>
      <c r="M29" s="11"/>
      <c r="O29" s="11"/>
    </row>
    <row r="30" ht="15.75" customHeight="1">
      <c r="A30" s="8"/>
      <c r="B30" s="9"/>
      <c r="C30" s="9"/>
      <c r="D30" s="10"/>
      <c r="E30" s="10"/>
      <c r="F30" s="10"/>
      <c r="G30" s="10"/>
      <c r="H30" s="10"/>
      <c r="I30" s="10"/>
      <c r="J30" s="10"/>
      <c r="L30" s="5"/>
      <c r="M30" s="11"/>
      <c r="O30" s="11"/>
    </row>
    <row r="31" ht="15.75" customHeight="1">
      <c r="A31" s="8"/>
      <c r="B31" s="9"/>
      <c r="C31" s="9"/>
      <c r="D31" s="10"/>
      <c r="E31" s="10"/>
      <c r="F31" s="10"/>
      <c r="G31" s="10"/>
      <c r="H31" s="10"/>
      <c r="I31" s="10"/>
      <c r="J31" s="10"/>
      <c r="L31" s="5"/>
      <c r="M31" s="11"/>
      <c r="O31" s="11"/>
    </row>
    <row r="32" ht="15.75" customHeight="1">
      <c r="A32" s="8"/>
      <c r="B32" s="9"/>
      <c r="C32" s="9"/>
      <c r="D32" s="10"/>
      <c r="E32" s="10"/>
      <c r="F32" s="10"/>
      <c r="G32" s="10"/>
      <c r="H32" s="10"/>
      <c r="I32" s="10"/>
      <c r="J32" s="10"/>
      <c r="K32" s="11"/>
      <c r="L32" s="5"/>
      <c r="M32" s="11"/>
      <c r="O32" s="11"/>
    </row>
    <row r="33" ht="15.75" customHeight="1">
      <c r="A33" s="8"/>
      <c r="B33" s="9"/>
      <c r="C33" s="9"/>
      <c r="D33" s="10"/>
      <c r="E33" s="10"/>
      <c r="F33" s="10"/>
      <c r="G33" s="10"/>
      <c r="H33" s="10"/>
      <c r="I33" s="10"/>
      <c r="J33" s="10"/>
      <c r="K33" s="11"/>
      <c r="L33" s="5"/>
      <c r="M33" s="11"/>
      <c r="O33" s="11"/>
    </row>
    <row r="34" ht="15.75" customHeight="1">
      <c r="A34" s="8"/>
      <c r="B34" s="9"/>
      <c r="C34" s="9"/>
      <c r="D34" s="10"/>
      <c r="E34" s="10"/>
      <c r="F34" s="10"/>
      <c r="G34" s="10"/>
      <c r="H34" s="10"/>
      <c r="I34" s="10"/>
      <c r="J34" s="10"/>
      <c r="K34" s="11"/>
      <c r="L34" s="5"/>
      <c r="M34" s="11"/>
      <c r="N34" s="12"/>
      <c r="O34" s="16"/>
    </row>
    <row r="35" ht="15.75" customHeight="1">
      <c r="A35" s="8"/>
      <c r="B35" s="9"/>
      <c r="C35" s="9"/>
      <c r="D35" s="10"/>
      <c r="E35" s="10"/>
      <c r="F35" s="10"/>
      <c r="G35" s="10"/>
      <c r="H35" s="10"/>
      <c r="I35" s="10"/>
      <c r="J35" s="10"/>
      <c r="K35" s="11"/>
      <c r="L35" s="5"/>
      <c r="M35" s="11"/>
      <c r="O35" s="11"/>
    </row>
    <row r="36" ht="15.75" customHeight="1">
      <c r="A36" s="8"/>
      <c r="B36" s="9"/>
      <c r="C36" s="9"/>
      <c r="D36" s="10"/>
      <c r="E36" s="10"/>
      <c r="F36" s="10"/>
      <c r="G36" s="10"/>
      <c r="H36" s="10"/>
      <c r="I36" s="10"/>
      <c r="J36" s="10"/>
      <c r="K36" s="11"/>
      <c r="L36" s="5"/>
      <c r="M36" s="11"/>
      <c r="O36" s="11"/>
    </row>
    <row r="37" ht="15.75" customHeight="1">
      <c r="A37" s="8"/>
      <c r="B37" s="9"/>
      <c r="C37" s="9"/>
      <c r="D37" s="10"/>
      <c r="E37" s="10"/>
      <c r="F37" s="10"/>
      <c r="G37" s="10"/>
      <c r="H37" s="10"/>
      <c r="I37" s="10"/>
      <c r="J37" s="10"/>
      <c r="K37" s="11"/>
      <c r="L37" s="5"/>
      <c r="M37" s="11"/>
      <c r="O37" s="11"/>
    </row>
    <row r="38" ht="15.75" customHeight="1">
      <c r="A38" s="8"/>
      <c r="B38" s="9"/>
      <c r="C38" s="9"/>
      <c r="D38" s="10"/>
      <c r="E38" s="10"/>
      <c r="F38" s="10"/>
      <c r="G38" s="10"/>
      <c r="H38" s="10"/>
      <c r="I38" s="10"/>
      <c r="J38" s="10"/>
      <c r="K38" s="11"/>
      <c r="L38" s="5"/>
      <c r="M38" s="11"/>
      <c r="O38" s="11"/>
    </row>
    <row r="39" ht="15.75" customHeight="1">
      <c r="A39" s="8"/>
      <c r="B39" s="9"/>
      <c r="C39" s="9"/>
      <c r="D39" s="10"/>
      <c r="E39" s="10"/>
      <c r="F39" s="10"/>
      <c r="G39" s="10"/>
      <c r="H39" s="10"/>
      <c r="I39" s="10"/>
      <c r="J39" s="10"/>
      <c r="K39" s="11"/>
      <c r="L39" s="5"/>
      <c r="M39" s="17"/>
      <c r="N39" s="18"/>
      <c r="O39" s="18"/>
    </row>
    <row r="40" ht="15.75" customHeight="1">
      <c r="A40" s="8"/>
      <c r="B40" s="9"/>
      <c r="C40" s="9"/>
      <c r="D40" s="10"/>
      <c r="E40" s="10"/>
      <c r="F40" s="10"/>
      <c r="G40" s="10"/>
      <c r="H40" s="10"/>
      <c r="I40" s="10"/>
      <c r="J40" s="10"/>
      <c r="K40" s="11"/>
      <c r="L40" s="5"/>
      <c r="M40" s="12"/>
      <c r="N40" s="11"/>
      <c r="O40" s="11"/>
    </row>
    <row r="41" ht="15.75" customHeight="1">
      <c r="A41" s="8"/>
      <c r="B41" s="9"/>
      <c r="C41" s="9"/>
      <c r="D41" s="10"/>
      <c r="E41" s="10"/>
      <c r="F41" s="10"/>
      <c r="G41" s="10"/>
      <c r="H41" s="10"/>
      <c r="I41" s="10"/>
      <c r="J41" s="10"/>
      <c r="K41" s="11"/>
      <c r="L41" s="5"/>
      <c r="M41" s="12"/>
      <c r="N41" s="11"/>
      <c r="O41" s="11"/>
    </row>
    <row r="42" ht="15.75" customHeight="1">
      <c r="A42" s="8"/>
      <c r="B42" s="9"/>
      <c r="C42" s="9"/>
      <c r="D42" s="10"/>
      <c r="E42" s="10"/>
      <c r="F42" s="10"/>
      <c r="G42" s="10"/>
      <c r="H42" s="10"/>
      <c r="I42" s="10"/>
      <c r="J42" s="10"/>
      <c r="K42" s="11"/>
      <c r="L42" s="5"/>
      <c r="M42" s="12"/>
      <c r="N42" s="12"/>
      <c r="O42" s="16"/>
    </row>
    <row r="43" ht="15.75" customHeight="1">
      <c r="A43" s="8"/>
      <c r="B43" s="9"/>
      <c r="C43" s="9"/>
      <c r="D43" s="10"/>
      <c r="E43" s="10"/>
      <c r="F43" s="10"/>
      <c r="G43" s="10"/>
      <c r="H43" s="10"/>
      <c r="I43" s="10"/>
      <c r="J43" s="10"/>
      <c r="K43" s="11"/>
      <c r="L43" s="5"/>
      <c r="M43" s="11"/>
      <c r="O43" s="11"/>
    </row>
    <row r="44" ht="15.75" customHeight="1">
      <c r="A44" s="8"/>
      <c r="B44" s="9"/>
      <c r="C44" s="9"/>
      <c r="D44" s="10"/>
      <c r="E44" s="10"/>
      <c r="F44" s="10"/>
      <c r="G44" s="10"/>
      <c r="H44" s="10"/>
      <c r="I44" s="10"/>
      <c r="J44" s="10"/>
      <c r="K44" s="11"/>
      <c r="L44" s="5"/>
      <c r="M44" s="11"/>
      <c r="O44" s="11"/>
    </row>
    <row r="45" ht="15.75" customHeight="1">
      <c r="A45" s="8"/>
      <c r="B45" s="9"/>
      <c r="C45" s="9"/>
      <c r="D45" s="10"/>
      <c r="E45" s="10"/>
      <c r="F45" s="10"/>
      <c r="G45" s="10"/>
      <c r="H45" s="10"/>
      <c r="I45" s="10"/>
      <c r="J45" s="10"/>
      <c r="K45" s="11"/>
      <c r="L45" s="5"/>
      <c r="M45" s="11"/>
      <c r="O45" s="11"/>
    </row>
    <row r="46" ht="15.75" customHeight="1">
      <c r="A46" s="8"/>
      <c r="B46" s="9"/>
      <c r="C46" s="9"/>
      <c r="D46" s="10"/>
      <c r="E46" s="10"/>
      <c r="F46" s="10"/>
      <c r="G46" s="10"/>
      <c r="H46" s="10"/>
      <c r="I46" s="10"/>
      <c r="J46" s="10"/>
      <c r="K46" s="11"/>
      <c r="L46" s="5"/>
      <c r="M46" s="12"/>
      <c r="N46" s="11"/>
      <c r="O46" s="11"/>
    </row>
    <row r="47" ht="15.75" customHeight="1">
      <c r="A47" s="8"/>
      <c r="B47" s="9"/>
      <c r="C47" s="9"/>
      <c r="D47" s="10"/>
      <c r="E47" s="10"/>
      <c r="F47" s="10"/>
      <c r="G47" s="10"/>
      <c r="H47" s="10"/>
      <c r="I47" s="10"/>
      <c r="J47" s="10"/>
      <c r="K47" s="11"/>
      <c r="L47" s="5"/>
      <c r="M47" s="12"/>
      <c r="N47" s="11"/>
      <c r="O47" s="11"/>
    </row>
    <row r="48" ht="15.75" customHeight="1">
      <c r="A48" s="8"/>
      <c r="B48" s="9"/>
      <c r="C48" s="9"/>
      <c r="D48" s="10"/>
      <c r="E48" s="10"/>
      <c r="F48" s="10"/>
      <c r="G48" s="10"/>
      <c r="H48" s="10"/>
      <c r="I48" s="10"/>
      <c r="J48" s="10"/>
      <c r="K48" s="11"/>
      <c r="L48" s="5"/>
      <c r="M48" s="11"/>
      <c r="O48" s="11"/>
    </row>
    <row r="49" ht="15.75" customHeight="1">
      <c r="A49" s="8"/>
      <c r="B49" s="9"/>
      <c r="C49" s="9"/>
      <c r="D49" s="10"/>
      <c r="E49" s="10"/>
      <c r="F49" s="10"/>
      <c r="G49" s="10"/>
      <c r="H49" s="10"/>
      <c r="I49" s="10"/>
      <c r="J49" s="10"/>
      <c r="K49" s="11"/>
      <c r="L49" s="5"/>
      <c r="M49" s="11"/>
      <c r="O49" s="11"/>
    </row>
    <row r="50" ht="15.75" customHeight="1">
      <c r="A50" s="8"/>
      <c r="B50" s="9"/>
      <c r="C50" s="9"/>
      <c r="D50" s="10"/>
      <c r="E50" s="10"/>
      <c r="F50" s="10"/>
      <c r="G50" s="10"/>
      <c r="H50" s="10"/>
      <c r="I50" s="10"/>
      <c r="J50" s="10"/>
      <c r="K50" s="11"/>
      <c r="L50" s="5"/>
      <c r="M50" s="11"/>
      <c r="O50" s="11"/>
    </row>
    <row r="51" ht="15.75" customHeight="1">
      <c r="A51" s="8"/>
      <c r="B51" s="9"/>
      <c r="C51" s="9"/>
      <c r="D51" s="10"/>
      <c r="E51" s="10"/>
      <c r="F51" s="10"/>
      <c r="G51" s="10"/>
      <c r="H51" s="10"/>
      <c r="I51" s="10"/>
      <c r="J51" s="10"/>
      <c r="K51" s="11"/>
      <c r="L51" s="5"/>
      <c r="M51" s="11"/>
      <c r="O51" s="11"/>
    </row>
    <row r="52" ht="15.75" customHeight="1">
      <c r="A52" s="8"/>
      <c r="B52" s="9"/>
      <c r="C52" s="9"/>
      <c r="D52" s="10"/>
      <c r="E52" s="10"/>
      <c r="F52" s="10"/>
      <c r="G52" s="10"/>
      <c r="H52" s="10"/>
      <c r="I52" s="10"/>
      <c r="J52" s="10"/>
      <c r="K52" s="11"/>
      <c r="L52" s="5"/>
      <c r="M52" s="11"/>
      <c r="O52" s="11"/>
    </row>
    <row r="53" ht="15.75" customHeight="1">
      <c r="A53" s="8"/>
      <c r="B53" s="9"/>
      <c r="C53" s="9"/>
      <c r="D53" s="10"/>
      <c r="E53" s="10"/>
      <c r="F53" s="10"/>
      <c r="G53" s="10"/>
      <c r="H53" s="10"/>
      <c r="I53" s="10"/>
      <c r="J53" s="10"/>
      <c r="K53" s="11"/>
      <c r="L53" s="5"/>
      <c r="M53" s="11"/>
      <c r="O53" s="11"/>
    </row>
    <row r="54" ht="15.75" customHeight="1">
      <c r="A54" s="8"/>
      <c r="B54" s="9"/>
      <c r="C54" s="9"/>
      <c r="D54" s="10"/>
      <c r="E54" s="10"/>
      <c r="F54" s="10"/>
      <c r="G54" s="10"/>
      <c r="H54" s="10"/>
      <c r="I54" s="10"/>
      <c r="J54" s="10"/>
      <c r="K54" s="11"/>
      <c r="L54" s="5"/>
      <c r="M54" s="11"/>
      <c r="O54" s="11"/>
    </row>
    <row r="55" ht="15.75" customHeight="1">
      <c r="A55" s="8"/>
      <c r="B55" s="9"/>
      <c r="C55" s="9"/>
      <c r="D55" s="10"/>
      <c r="E55" s="10"/>
      <c r="F55" s="10"/>
      <c r="G55" s="10"/>
      <c r="H55" s="10"/>
      <c r="I55" s="10"/>
      <c r="J55" s="10"/>
      <c r="K55" s="11"/>
      <c r="L55" s="5"/>
      <c r="M55" s="12"/>
      <c r="O55" s="11"/>
    </row>
    <row r="56" ht="15.75" customHeight="1">
      <c r="A56" s="8"/>
      <c r="B56" s="9"/>
      <c r="C56" s="9"/>
      <c r="D56" s="10"/>
      <c r="E56" s="10"/>
      <c r="F56" s="10"/>
      <c r="G56" s="10"/>
      <c r="H56" s="10"/>
      <c r="I56" s="10"/>
      <c r="J56" s="10"/>
      <c r="K56" s="11"/>
      <c r="L56" s="5"/>
      <c r="M56" s="13"/>
      <c r="O56" s="11"/>
    </row>
    <row r="57" ht="15.75" customHeight="1">
      <c r="A57" s="8"/>
      <c r="B57" s="9"/>
      <c r="C57" s="9"/>
      <c r="D57" s="10"/>
      <c r="E57" s="10"/>
      <c r="F57" s="10"/>
      <c r="G57" s="10"/>
      <c r="H57" s="10"/>
      <c r="I57" s="10"/>
      <c r="J57" s="10"/>
      <c r="K57" s="11"/>
      <c r="L57" s="5"/>
      <c r="M57" s="13"/>
      <c r="O57" s="11"/>
    </row>
    <row r="58" ht="15.75" customHeight="1">
      <c r="A58" s="8"/>
      <c r="B58" s="9"/>
      <c r="C58" s="9"/>
      <c r="D58" s="10"/>
      <c r="E58" s="10"/>
      <c r="F58" s="10"/>
      <c r="G58" s="10"/>
      <c r="H58" s="10"/>
      <c r="I58" s="10"/>
      <c r="J58" s="10"/>
      <c r="K58" s="11"/>
      <c r="L58" s="5"/>
      <c r="M58" s="12"/>
      <c r="N58" s="11"/>
      <c r="O58" s="11"/>
    </row>
    <row r="59" ht="15.75" customHeight="1">
      <c r="A59" s="8"/>
      <c r="B59" s="9"/>
      <c r="C59" s="9"/>
      <c r="D59" s="10"/>
      <c r="E59" s="10"/>
      <c r="F59" s="10"/>
      <c r="G59" s="10"/>
      <c r="H59" s="10"/>
      <c r="I59" s="10"/>
      <c r="J59" s="10"/>
      <c r="K59" s="11"/>
      <c r="L59" s="5"/>
      <c r="M59" s="12"/>
      <c r="N59" s="12"/>
      <c r="O59" s="16"/>
    </row>
    <row r="60" ht="15.75" customHeight="1">
      <c r="A60" s="8"/>
      <c r="B60" s="9"/>
      <c r="C60" s="9"/>
      <c r="D60" s="10"/>
      <c r="E60" s="10"/>
      <c r="F60" s="10"/>
      <c r="G60" s="10"/>
      <c r="H60" s="10"/>
      <c r="I60" s="10"/>
      <c r="J60" s="10"/>
      <c r="K60" s="11"/>
      <c r="L60" s="5"/>
      <c r="M60" s="12"/>
      <c r="O60" s="11"/>
    </row>
    <row r="61" ht="15.75" customHeight="1">
      <c r="A61" s="8"/>
      <c r="B61" s="9"/>
      <c r="C61" s="9"/>
      <c r="D61" s="10"/>
      <c r="E61" s="10"/>
      <c r="F61" s="10"/>
      <c r="G61" s="10"/>
      <c r="H61" s="10"/>
      <c r="I61" s="10"/>
      <c r="J61" s="10"/>
      <c r="K61" s="11"/>
      <c r="L61" s="5"/>
      <c r="M61" s="11"/>
      <c r="O61" s="11"/>
    </row>
    <row r="62" ht="15.75" customHeight="1">
      <c r="A62" s="8"/>
      <c r="B62" s="9"/>
      <c r="C62" s="9"/>
      <c r="D62" s="10"/>
      <c r="E62" s="10"/>
      <c r="F62" s="10"/>
      <c r="G62" s="10"/>
      <c r="H62" s="10"/>
      <c r="I62" s="10"/>
      <c r="J62" s="10"/>
      <c r="K62" s="11"/>
      <c r="L62" s="5"/>
      <c r="M62" s="12"/>
      <c r="O62" s="11"/>
    </row>
    <row r="63" ht="15.75" customHeight="1">
      <c r="A63" s="8"/>
      <c r="B63" s="9"/>
      <c r="C63" s="9"/>
      <c r="D63" s="10"/>
      <c r="E63" s="10"/>
      <c r="F63" s="10"/>
      <c r="G63" s="10"/>
      <c r="H63" s="10"/>
      <c r="I63" s="10"/>
      <c r="J63" s="10"/>
      <c r="K63" s="11"/>
      <c r="L63" s="5"/>
      <c r="M63" s="11"/>
      <c r="N63" s="18"/>
      <c r="O63" s="18"/>
    </row>
    <row r="64" ht="15.75" customHeight="1">
      <c r="A64" s="8"/>
      <c r="B64" s="9"/>
      <c r="C64" s="9"/>
      <c r="D64" s="10"/>
      <c r="E64" s="10"/>
      <c r="F64" s="10"/>
      <c r="G64" s="10"/>
      <c r="H64" s="10"/>
      <c r="I64" s="10"/>
      <c r="J64" s="10"/>
      <c r="K64" s="11"/>
      <c r="L64" s="5"/>
      <c r="M64" s="12"/>
      <c r="N64" s="20"/>
      <c r="O64" s="20"/>
    </row>
    <row r="65" ht="15.75" customHeight="1">
      <c r="A65" s="8"/>
      <c r="B65" s="9"/>
      <c r="C65" s="9"/>
      <c r="D65" s="10"/>
      <c r="E65" s="10"/>
      <c r="F65" s="10"/>
      <c r="G65" s="10"/>
      <c r="H65" s="10"/>
      <c r="I65" s="10"/>
      <c r="J65" s="10"/>
      <c r="K65" s="11"/>
      <c r="L65" s="5"/>
      <c r="M65" s="11"/>
      <c r="N65" s="11"/>
      <c r="O65" s="11"/>
    </row>
    <row r="66" ht="15.75" customHeight="1">
      <c r="A66" s="8"/>
      <c r="B66" s="9"/>
      <c r="C66" s="9"/>
      <c r="D66" s="10"/>
      <c r="E66" s="10"/>
      <c r="F66" s="10"/>
      <c r="G66" s="10"/>
      <c r="H66" s="10"/>
      <c r="I66" s="10"/>
      <c r="J66" s="10"/>
      <c r="K66" s="11"/>
      <c r="L66" s="5"/>
      <c r="M66" s="11"/>
      <c r="N66" s="11"/>
      <c r="O66" s="11"/>
    </row>
    <row r="67" ht="15.75" customHeight="1">
      <c r="A67" s="8"/>
      <c r="B67" s="9"/>
      <c r="C67" s="9"/>
      <c r="D67" s="10"/>
      <c r="E67" s="10"/>
      <c r="F67" s="10"/>
      <c r="G67" s="10"/>
      <c r="H67" s="10"/>
      <c r="I67" s="10"/>
      <c r="J67" s="10"/>
      <c r="K67" s="11"/>
      <c r="L67" s="5"/>
      <c r="M67" s="11"/>
      <c r="N67" s="11"/>
      <c r="O67" s="11"/>
    </row>
    <row r="68" ht="15.75" customHeight="1">
      <c r="A68" s="8"/>
      <c r="B68" s="9"/>
      <c r="C68" s="9"/>
      <c r="D68" s="10"/>
      <c r="E68" s="10"/>
      <c r="F68" s="10"/>
      <c r="G68" s="10"/>
      <c r="H68" s="10"/>
      <c r="I68" s="10"/>
      <c r="J68" s="10"/>
      <c r="K68" s="11"/>
      <c r="L68" s="5"/>
      <c r="M68" s="11"/>
      <c r="N68" s="11"/>
      <c r="O68" s="11"/>
    </row>
    <row r="69" ht="15.75" customHeight="1">
      <c r="A69" s="8"/>
      <c r="B69" s="9"/>
      <c r="C69" s="9"/>
      <c r="D69" s="10"/>
      <c r="E69" s="10"/>
      <c r="F69" s="10"/>
      <c r="G69" s="10"/>
      <c r="H69" s="10"/>
      <c r="I69" s="10"/>
      <c r="J69" s="10"/>
      <c r="K69" s="11"/>
      <c r="L69" s="5"/>
      <c r="M69" s="11"/>
      <c r="N69" s="11"/>
      <c r="O69" s="11"/>
    </row>
    <row r="70" ht="15.75" customHeight="1">
      <c r="A70" s="8"/>
      <c r="B70" s="9"/>
      <c r="C70" s="9"/>
      <c r="D70" s="10"/>
      <c r="E70" s="10"/>
      <c r="F70" s="10"/>
      <c r="G70" s="10"/>
      <c r="H70" s="10"/>
      <c r="I70" s="10"/>
      <c r="J70" s="10"/>
      <c r="K70" s="11"/>
      <c r="L70" s="5"/>
      <c r="M70" s="11"/>
      <c r="N70" s="11"/>
      <c r="O70" s="11"/>
    </row>
    <row r="71" ht="15.75" customHeight="1">
      <c r="A71" s="8"/>
      <c r="B71" s="9"/>
      <c r="C71" s="9"/>
      <c r="D71" s="10"/>
      <c r="E71" s="10"/>
      <c r="F71" s="10"/>
      <c r="G71" s="10"/>
      <c r="H71" s="10"/>
      <c r="I71" s="10"/>
      <c r="J71" s="10"/>
      <c r="K71" s="11"/>
      <c r="L71" s="5"/>
      <c r="M71" s="11"/>
      <c r="N71" s="11"/>
      <c r="O71" s="11"/>
    </row>
    <row r="72" ht="15.75" customHeight="1">
      <c r="A72" s="8"/>
      <c r="B72" s="9"/>
      <c r="C72" s="9"/>
      <c r="D72" s="10"/>
      <c r="E72" s="10"/>
      <c r="F72" s="10"/>
      <c r="G72" s="10"/>
      <c r="H72" s="10"/>
      <c r="I72" s="10"/>
      <c r="J72" s="10"/>
      <c r="K72" s="11"/>
      <c r="L72" s="5"/>
      <c r="M72" s="11"/>
      <c r="N72" s="11"/>
      <c r="O72" s="11"/>
    </row>
    <row r="73" ht="15.75" customHeight="1">
      <c r="A73" s="8"/>
      <c r="B73" s="9"/>
      <c r="C73" s="9"/>
      <c r="D73" s="10"/>
      <c r="E73" s="10"/>
      <c r="F73" s="10"/>
      <c r="G73" s="10"/>
      <c r="H73" s="10"/>
      <c r="I73" s="10"/>
      <c r="J73" s="10"/>
      <c r="K73" s="11"/>
      <c r="L73" s="5"/>
      <c r="M73" s="11"/>
      <c r="N73" s="11"/>
      <c r="O73" s="11"/>
    </row>
    <row r="74" ht="15.75" customHeight="1">
      <c r="A74" s="8"/>
      <c r="B74" s="9"/>
      <c r="C74" s="9"/>
      <c r="D74" s="10"/>
      <c r="E74" s="10"/>
      <c r="F74" s="10"/>
      <c r="G74" s="10"/>
      <c r="H74" s="10"/>
      <c r="I74" s="10"/>
      <c r="J74" s="10"/>
      <c r="K74" s="11"/>
      <c r="L74" s="5"/>
      <c r="M74" s="11"/>
      <c r="N74" s="11"/>
      <c r="O74" s="11"/>
    </row>
    <row r="75" ht="15.75" customHeight="1">
      <c r="A75" s="8"/>
      <c r="B75" s="9"/>
      <c r="C75" s="9"/>
      <c r="D75" s="10"/>
      <c r="E75" s="10"/>
      <c r="F75" s="10"/>
      <c r="G75" s="10"/>
      <c r="H75" s="10"/>
      <c r="I75" s="10"/>
      <c r="J75" s="10"/>
      <c r="K75" s="11"/>
      <c r="L75" s="5"/>
      <c r="M75" s="11"/>
      <c r="N75" s="11"/>
      <c r="O75" s="11"/>
    </row>
    <row r="76" ht="15.75" customHeight="1">
      <c r="A76" s="8"/>
      <c r="B76" s="9"/>
      <c r="C76" s="9"/>
      <c r="D76" s="10"/>
      <c r="E76" s="10"/>
      <c r="F76" s="10"/>
      <c r="G76" s="10"/>
      <c r="H76" s="10"/>
      <c r="I76" s="10"/>
      <c r="J76" s="10"/>
      <c r="K76" s="11"/>
      <c r="L76" s="5"/>
      <c r="M76" s="11"/>
      <c r="N76" s="11"/>
      <c r="O76" s="11"/>
    </row>
    <row r="77" ht="15.75" customHeight="1">
      <c r="A77" s="8"/>
      <c r="B77" s="9"/>
      <c r="C77" s="9"/>
      <c r="D77" s="10"/>
      <c r="E77" s="10"/>
      <c r="F77" s="10"/>
      <c r="G77" s="10"/>
      <c r="H77" s="10"/>
      <c r="I77" s="10"/>
      <c r="J77" s="10"/>
      <c r="K77" s="11"/>
      <c r="L77" s="5"/>
      <c r="M77" s="11"/>
      <c r="N77" s="11"/>
      <c r="O77" s="11"/>
    </row>
    <row r="78" ht="15.75" customHeight="1">
      <c r="A78" s="8"/>
      <c r="B78" s="9"/>
      <c r="C78" s="9"/>
      <c r="D78" s="10"/>
      <c r="E78" s="10"/>
      <c r="F78" s="10"/>
      <c r="G78" s="10"/>
      <c r="H78" s="10"/>
      <c r="I78" s="10"/>
      <c r="J78" s="10"/>
      <c r="K78" s="11"/>
      <c r="L78" s="5"/>
      <c r="M78" s="11"/>
      <c r="N78" s="11"/>
      <c r="O78" s="11"/>
    </row>
    <row r="79" ht="15.75" customHeight="1">
      <c r="A79" s="8"/>
      <c r="B79" s="9"/>
      <c r="C79" s="9"/>
      <c r="D79" s="10"/>
      <c r="E79" s="10"/>
      <c r="F79" s="10"/>
      <c r="G79" s="10"/>
      <c r="H79" s="10"/>
      <c r="I79" s="10"/>
      <c r="J79" s="10"/>
      <c r="K79" s="11"/>
      <c r="L79" s="5"/>
      <c r="M79" s="11"/>
      <c r="N79" s="11"/>
      <c r="O79" s="11"/>
    </row>
    <row r="80" ht="15.75" customHeight="1">
      <c r="A80" s="8"/>
      <c r="B80" s="9"/>
      <c r="C80" s="9"/>
      <c r="D80" s="10"/>
      <c r="E80" s="10"/>
      <c r="F80" s="10"/>
      <c r="G80" s="10"/>
      <c r="H80" s="10"/>
      <c r="I80" s="10"/>
      <c r="J80" s="10"/>
      <c r="K80" s="11"/>
      <c r="L80" s="5"/>
      <c r="M80" s="11"/>
      <c r="N80" s="11"/>
      <c r="O80" s="11"/>
    </row>
    <row r="81" ht="15.75" customHeight="1">
      <c r="A81" s="8"/>
      <c r="B81" s="9"/>
      <c r="C81" s="9"/>
      <c r="D81" s="10"/>
      <c r="E81" s="10"/>
      <c r="F81" s="10"/>
      <c r="G81" s="10"/>
      <c r="H81" s="10"/>
      <c r="I81" s="10"/>
      <c r="J81" s="10"/>
      <c r="K81" s="11"/>
      <c r="L81" s="5"/>
      <c r="M81" s="11"/>
      <c r="N81" s="11"/>
      <c r="O81" s="11"/>
    </row>
    <row r="82" ht="15.75" customHeight="1">
      <c r="A82" s="8"/>
      <c r="B82" s="9"/>
      <c r="C82" s="9"/>
      <c r="D82" s="10"/>
      <c r="E82" s="10"/>
      <c r="F82" s="10"/>
      <c r="G82" s="10"/>
      <c r="H82" s="10"/>
      <c r="I82" s="10"/>
      <c r="J82" s="10"/>
      <c r="K82" s="11"/>
      <c r="L82" s="5"/>
      <c r="M82" s="11"/>
      <c r="N82" s="11"/>
      <c r="O82" s="11"/>
    </row>
    <row r="83" ht="15.75" customHeight="1">
      <c r="A83" s="8"/>
      <c r="B83" s="9"/>
      <c r="C83" s="9"/>
      <c r="D83" s="10"/>
      <c r="E83" s="10"/>
      <c r="F83" s="10"/>
      <c r="G83" s="10"/>
      <c r="H83" s="10"/>
      <c r="I83" s="10"/>
      <c r="J83" s="10"/>
      <c r="K83" s="11"/>
      <c r="L83" s="5"/>
      <c r="M83" s="11"/>
      <c r="N83" s="11"/>
      <c r="O83" s="11"/>
    </row>
    <row r="84" ht="15.75" customHeight="1">
      <c r="A84" s="22"/>
      <c r="B84" s="9"/>
      <c r="C84" s="9"/>
      <c r="D84" s="10"/>
      <c r="E84" s="10"/>
      <c r="F84" s="10"/>
      <c r="G84" s="10"/>
      <c r="H84" s="10"/>
      <c r="I84" s="10"/>
      <c r="J84" s="10"/>
      <c r="K84" s="11"/>
      <c r="L84" s="5"/>
      <c r="M84" s="11"/>
      <c r="N84" s="11"/>
      <c r="O84" s="11"/>
    </row>
    <row r="85" ht="15.75" customHeight="1">
      <c r="A85" s="8"/>
      <c r="B85" s="9"/>
      <c r="C85" s="9"/>
      <c r="D85" s="10"/>
      <c r="E85" s="10"/>
      <c r="F85" s="10"/>
      <c r="G85" s="10"/>
      <c r="H85" s="10"/>
      <c r="I85" s="10"/>
      <c r="J85" s="10"/>
      <c r="K85" s="11"/>
      <c r="L85" s="5"/>
      <c r="M85" s="11"/>
      <c r="N85" s="11"/>
      <c r="O85" s="11"/>
    </row>
    <row r="86" ht="15.75" customHeight="1">
      <c r="A86" s="8"/>
      <c r="B86" s="9"/>
      <c r="C86" s="9"/>
      <c r="D86" s="10"/>
      <c r="E86" s="10"/>
      <c r="F86" s="10"/>
      <c r="G86" s="10"/>
      <c r="H86" s="10"/>
      <c r="I86" s="10"/>
      <c r="J86" s="10"/>
      <c r="K86" s="11"/>
      <c r="L86" s="5"/>
      <c r="M86" s="11"/>
      <c r="N86" s="11"/>
      <c r="O86" s="11"/>
    </row>
    <row r="87" ht="15.75" customHeight="1">
      <c r="A87" s="8"/>
      <c r="B87" s="9"/>
      <c r="C87" s="9"/>
      <c r="D87" s="10"/>
      <c r="E87" s="10"/>
      <c r="F87" s="10"/>
      <c r="G87" s="10"/>
      <c r="H87" s="10"/>
      <c r="I87" s="10"/>
      <c r="J87" s="10"/>
      <c r="K87" s="11"/>
      <c r="L87" s="5"/>
      <c r="M87" s="11"/>
      <c r="N87" s="11"/>
      <c r="O87" s="11"/>
    </row>
    <row r="88" ht="15.75" customHeight="1">
      <c r="A88" s="8"/>
      <c r="B88" s="9"/>
      <c r="C88" s="9"/>
      <c r="D88" s="10"/>
      <c r="E88" s="10"/>
      <c r="F88" s="10"/>
      <c r="G88" s="10"/>
      <c r="H88" s="10"/>
      <c r="I88" s="10"/>
      <c r="J88" s="10"/>
      <c r="K88" s="11"/>
      <c r="L88" s="5"/>
      <c r="M88" s="11"/>
      <c r="N88" s="11"/>
      <c r="O88" s="11"/>
    </row>
    <row r="89" ht="15.75" customHeight="1">
      <c r="A89" s="8"/>
      <c r="B89" s="9"/>
      <c r="C89" s="9"/>
      <c r="D89" s="10"/>
      <c r="E89" s="10"/>
      <c r="F89" s="10"/>
      <c r="G89" s="10"/>
      <c r="H89" s="10"/>
      <c r="I89" s="10"/>
      <c r="J89" s="10"/>
      <c r="K89" s="11"/>
      <c r="L89" s="5"/>
      <c r="M89" s="11"/>
      <c r="N89" s="11"/>
      <c r="O89" s="11"/>
    </row>
    <row r="90" ht="15.75" customHeight="1">
      <c r="A90" s="8"/>
      <c r="B90" s="9"/>
      <c r="C90" s="9"/>
      <c r="D90" s="10"/>
      <c r="E90" s="10"/>
      <c r="F90" s="10"/>
      <c r="G90" s="10"/>
      <c r="H90" s="10"/>
      <c r="I90" s="10"/>
      <c r="J90" s="10"/>
      <c r="K90" s="11"/>
      <c r="L90" s="5"/>
      <c r="M90" s="11"/>
      <c r="N90" s="11"/>
      <c r="O90" s="11"/>
    </row>
    <row r="91" ht="15.75" customHeight="1">
      <c r="A91" s="8"/>
      <c r="B91" s="9"/>
      <c r="C91" s="9"/>
      <c r="D91" s="10"/>
      <c r="E91" s="10"/>
      <c r="F91" s="10"/>
      <c r="G91" s="10"/>
      <c r="H91" s="10"/>
      <c r="I91" s="10"/>
      <c r="J91" s="10"/>
      <c r="K91" s="11"/>
      <c r="L91" s="5"/>
      <c r="M91" s="11"/>
      <c r="N91" s="11"/>
      <c r="O91" s="11"/>
    </row>
    <row r="92" ht="15.75" customHeight="1">
      <c r="A92" s="8"/>
      <c r="B92" s="9"/>
      <c r="C92" s="9"/>
      <c r="D92" s="10"/>
      <c r="E92" s="10"/>
      <c r="F92" s="10"/>
      <c r="G92" s="10"/>
      <c r="H92" s="10"/>
      <c r="I92" s="10"/>
      <c r="J92" s="10"/>
      <c r="K92" s="11"/>
      <c r="L92" s="5"/>
      <c r="M92" s="11"/>
      <c r="N92" s="11"/>
      <c r="O92" s="11"/>
    </row>
    <row r="93" ht="15.75" customHeight="1">
      <c r="A93" s="8"/>
      <c r="B93" s="9"/>
      <c r="C93" s="9"/>
      <c r="D93" s="10"/>
      <c r="E93" s="10"/>
      <c r="F93" s="10"/>
      <c r="G93" s="10"/>
      <c r="H93" s="10"/>
      <c r="I93" s="10"/>
      <c r="J93" s="10"/>
      <c r="K93" s="11"/>
      <c r="L93" s="5"/>
      <c r="N93" s="11"/>
      <c r="O93" s="11"/>
    </row>
    <row r="94" ht="15.75" customHeight="1">
      <c r="A94" s="8"/>
      <c r="B94" s="9"/>
      <c r="C94" s="9"/>
      <c r="D94" s="10"/>
      <c r="E94" s="10"/>
      <c r="F94" s="10"/>
      <c r="G94" s="10"/>
      <c r="H94" s="10"/>
      <c r="I94" s="10"/>
      <c r="J94" s="10"/>
      <c r="K94" s="11"/>
      <c r="L94" s="5"/>
      <c r="N94" s="11"/>
      <c r="O94" s="11"/>
    </row>
    <row r="95" ht="15.75" customHeight="1">
      <c r="A95" s="8"/>
      <c r="B95" s="9"/>
      <c r="C95" s="9"/>
      <c r="D95" s="10"/>
      <c r="E95" s="10"/>
      <c r="F95" s="10"/>
      <c r="G95" s="10"/>
      <c r="H95" s="10"/>
      <c r="I95" s="10"/>
      <c r="J95" s="10"/>
      <c r="K95" s="11"/>
      <c r="L95" s="5"/>
      <c r="M95" s="11"/>
      <c r="N95" s="11"/>
      <c r="O95" s="11"/>
    </row>
    <row r="96" ht="15.75" customHeight="1">
      <c r="A96" s="8"/>
      <c r="B96" s="9"/>
      <c r="C96" s="9"/>
      <c r="D96" s="10"/>
      <c r="E96" s="10"/>
      <c r="F96" s="10"/>
      <c r="G96" s="10"/>
      <c r="H96" s="10"/>
      <c r="I96" s="10"/>
      <c r="J96" s="10"/>
      <c r="K96" s="11"/>
      <c r="L96" s="5"/>
      <c r="M96" s="11"/>
      <c r="N96" s="11"/>
      <c r="O96" s="11"/>
    </row>
    <row r="97" ht="15.75" customHeight="1">
      <c r="A97" s="8"/>
      <c r="B97" s="9"/>
      <c r="C97" s="9"/>
      <c r="D97" s="10"/>
      <c r="E97" s="10"/>
      <c r="F97" s="10"/>
      <c r="G97" s="10"/>
      <c r="H97" s="10"/>
      <c r="I97" s="10"/>
      <c r="J97" s="10"/>
      <c r="K97" s="11"/>
      <c r="L97" s="5"/>
      <c r="M97" s="11"/>
      <c r="N97" s="11"/>
      <c r="O97" s="11"/>
    </row>
    <row r="98" ht="15.75" customHeight="1">
      <c r="A98" s="8"/>
      <c r="B98" s="9"/>
      <c r="C98" s="9"/>
      <c r="D98" s="10"/>
      <c r="E98" s="10"/>
      <c r="F98" s="10"/>
      <c r="G98" s="10"/>
      <c r="H98" s="10"/>
      <c r="I98" s="10"/>
      <c r="J98" s="10"/>
      <c r="K98" s="11"/>
      <c r="L98" s="5"/>
      <c r="M98" s="11"/>
      <c r="N98" s="11"/>
      <c r="O98" s="11"/>
    </row>
    <row r="99" ht="15.75" customHeight="1">
      <c r="A99" s="8"/>
      <c r="B99" s="9"/>
      <c r="C99" s="9"/>
      <c r="D99" s="10"/>
      <c r="E99" s="10"/>
      <c r="F99" s="10"/>
      <c r="G99" s="10"/>
      <c r="H99" s="10"/>
      <c r="I99" s="10"/>
      <c r="J99" s="10"/>
      <c r="K99" s="11"/>
      <c r="L99" s="5"/>
      <c r="M99" s="11"/>
      <c r="N99" s="11"/>
      <c r="O99" s="11"/>
    </row>
    <row r="100" ht="15.75" customHeight="1">
      <c r="A100" s="8"/>
      <c r="B100" s="9"/>
      <c r="C100" s="9"/>
      <c r="D100" s="10"/>
      <c r="E100" s="10"/>
      <c r="F100" s="10"/>
      <c r="G100" s="10"/>
      <c r="H100" s="10"/>
      <c r="I100" s="10"/>
      <c r="J100" s="10"/>
      <c r="K100" s="11"/>
      <c r="L100" s="5"/>
      <c r="M100" s="11"/>
      <c r="N100" s="11"/>
      <c r="O100" s="11"/>
    </row>
    <row r="101" ht="15.75" customHeight="1">
      <c r="A101" s="8"/>
      <c r="B101" s="9"/>
      <c r="C101" s="9"/>
      <c r="D101" s="10"/>
      <c r="E101" s="10"/>
      <c r="F101" s="10"/>
      <c r="G101" s="10"/>
      <c r="H101" s="10"/>
      <c r="I101" s="10"/>
      <c r="J101" s="10"/>
      <c r="K101" s="11"/>
      <c r="L101" s="5"/>
      <c r="M101" s="11"/>
      <c r="N101" s="11"/>
      <c r="O101" s="11"/>
    </row>
    <row r="102" ht="15.75" customHeight="1">
      <c r="A102" s="8"/>
      <c r="B102" s="9"/>
      <c r="C102" s="9"/>
      <c r="D102" s="10"/>
      <c r="E102" s="10"/>
      <c r="F102" s="10"/>
      <c r="G102" s="10"/>
      <c r="H102" s="10"/>
      <c r="I102" s="10"/>
      <c r="J102" s="10"/>
      <c r="K102" s="11"/>
      <c r="L102" s="5"/>
      <c r="M102" s="11"/>
      <c r="N102" s="11"/>
      <c r="O102" s="11"/>
    </row>
    <row r="103" ht="15.75" customHeight="1">
      <c r="A103" s="8"/>
      <c r="B103" s="9"/>
      <c r="C103" s="9"/>
      <c r="D103" s="10"/>
      <c r="E103" s="10"/>
      <c r="F103" s="10"/>
      <c r="G103" s="10"/>
      <c r="H103" s="10"/>
      <c r="I103" s="10"/>
      <c r="J103" s="10"/>
      <c r="K103" s="11"/>
      <c r="L103" s="5"/>
      <c r="M103" s="11"/>
      <c r="N103" s="11"/>
      <c r="O103" s="11"/>
    </row>
    <row r="104" ht="15.75" customHeight="1">
      <c r="A104" s="8"/>
      <c r="B104" s="9"/>
      <c r="C104" s="9"/>
      <c r="D104" s="10"/>
      <c r="E104" s="10"/>
      <c r="F104" s="10"/>
      <c r="G104" s="10"/>
      <c r="H104" s="10"/>
      <c r="I104" s="10"/>
      <c r="J104" s="10"/>
      <c r="K104" s="11"/>
      <c r="L104" s="5"/>
      <c r="M104" s="11"/>
      <c r="N104" s="11"/>
      <c r="O104" s="11"/>
    </row>
    <row r="105" ht="15.75" customHeight="1">
      <c r="A105" s="8"/>
      <c r="B105" s="9"/>
      <c r="C105" s="9"/>
      <c r="D105" s="10"/>
      <c r="E105" s="10"/>
      <c r="F105" s="10"/>
      <c r="G105" s="10"/>
      <c r="H105" s="10"/>
      <c r="I105" s="10"/>
      <c r="J105" s="10"/>
      <c r="K105" s="11"/>
      <c r="L105" s="5"/>
      <c r="M105" s="11"/>
      <c r="N105" s="11"/>
      <c r="O105" s="11"/>
    </row>
    <row r="106" ht="15.75" customHeight="1">
      <c r="A106" s="8"/>
      <c r="B106" s="9"/>
      <c r="C106" s="9"/>
      <c r="D106" s="10"/>
      <c r="E106" s="10"/>
      <c r="F106" s="10"/>
      <c r="G106" s="10"/>
      <c r="H106" s="10"/>
      <c r="I106" s="10"/>
      <c r="J106" s="10"/>
      <c r="K106" s="11"/>
      <c r="L106" s="5"/>
      <c r="M106" s="11"/>
      <c r="N106" s="11"/>
      <c r="O106" s="11"/>
    </row>
    <row r="107" ht="15.75" customHeight="1">
      <c r="A107" s="8"/>
      <c r="B107" s="9"/>
      <c r="C107" s="9"/>
      <c r="D107" s="10"/>
      <c r="E107" s="10"/>
      <c r="F107" s="10"/>
      <c r="G107" s="10"/>
      <c r="H107" s="10"/>
      <c r="I107" s="10"/>
      <c r="J107" s="10"/>
      <c r="K107" s="11"/>
      <c r="L107" s="5"/>
      <c r="M107" s="11"/>
      <c r="N107" s="11"/>
      <c r="O107" s="11"/>
    </row>
    <row r="108" ht="15.75" customHeight="1">
      <c r="A108" s="8"/>
      <c r="B108" s="9"/>
      <c r="C108" s="9"/>
      <c r="D108" s="10"/>
      <c r="E108" s="10"/>
      <c r="F108" s="10"/>
      <c r="G108" s="10"/>
      <c r="H108" s="10"/>
      <c r="I108" s="10"/>
      <c r="J108" s="10"/>
      <c r="K108" s="23"/>
      <c r="L108" s="5"/>
      <c r="M108" s="11"/>
      <c r="N108" s="11"/>
      <c r="O108" s="11"/>
    </row>
    <row r="109" ht="15.75" customHeight="1">
      <c r="A109" s="8"/>
      <c r="B109" s="9"/>
      <c r="C109" s="9"/>
      <c r="D109" s="10"/>
      <c r="E109" s="10"/>
      <c r="F109" s="10"/>
      <c r="G109" s="10"/>
      <c r="H109" s="10"/>
      <c r="I109" s="10"/>
      <c r="J109" s="10"/>
      <c r="K109" s="23"/>
      <c r="L109" s="5"/>
      <c r="M109" s="11"/>
      <c r="N109" s="11"/>
      <c r="O109" s="11"/>
    </row>
    <row r="110" ht="15.75" customHeight="1">
      <c r="A110" s="8"/>
      <c r="B110" s="9"/>
      <c r="C110" s="9"/>
      <c r="D110" s="10"/>
      <c r="E110" s="10"/>
      <c r="F110" s="10"/>
      <c r="G110" s="10"/>
      <c r="H110" s="10"/>
      <c r="I110" s="10"/>
      <c r="J110" s="10"/>
      <c r="K110" s="23"/>
      <c r="L110" s="5"/>
      <c r="M110" s="11"/>
      <c r="N110" s="11"/>
      <c r="O110" s="11"/>
    </row>
    <row r="111" ht="15.75" customHeight="1">
      <c r="A111" s="8"/>
      <c r="B111" s="9"/>
      <c r="C111" s="9"/>
      <c r="D111" s="10"/>
      <c r="E111" s="10"/>
      <c r="F111" s="10"/>
      <c r="G111" s="10"/>
      <c r="H111" s="10"/>
      <c r="I111" s="10"/>
      <c r="J111" s="10"/>
      <c r="K111" s="23"/>
      <c r="L111" s="5"/>
      <c r="M111" s="11"/>
      <c r="N111" s="11"/>
      <c r="O111" s="11"/>
    </row>
    <row r="112" ht="15.75" customHeight="1">
      <c r="A112" s="8"/>
      <c r="B112" s="9"/>
      <c r="C112" s="9"/>
      <c r="D112" s="10"/>
      <c r="E112" s="10"/>
      <c r="F112" s="10"/>
      <c r="G112" s="10"/>
      <c r="H112" s="10"/>
      <c r="I112" s="10"/>
      <c r="J112" s="10"/>
      <c r="K112" s="23"/>
      <c r="L112" s="5"/>
      <c r="M112" s="11"/>
      <c r="N112" s="11"/>
      <c r="O112" s="11"/>
    </row>
    <row r="113" ht="15.75" customHeight="1">
      <c r="A113" s="8"/>
      <c r="B113" s="9"/>
      <c r="C113" s="9"/>
      <c r="D113" s="10"/>
      <c r="E113" s="10"/>
      <c r="F113" s="10"/>
      <c r="G113" s="10"/>
      <c r="H113" s="10"/>
      <c r="I113" s="10"/>
      <c r="J113" s="10"/>
      <c r="K113" s="23"/>
      <c r="L113" s="5"/>
      <c r="M113" s="11"/>
      <c r="N113" s="11"/>
      <c r="O113" s="11"/>
    </row>
    <row r="114" ht="15.75" customHeight="1">
      <c r="A114" s="8"/>
      <c r="B114" s="9"/>
      <c r="C114" s="9"/>
      <c r="D114" s="10"/>
      <c r="E114" s="10"/>
      <c r="F114" s="10"/>
      <c r="G114" s="10"/>
      <c r="H114" s="10"/>
      <c r="I114" s="10"/>
      <c r="J114" s="10"/>
      <c r="K114" s="23"/>
      <c r="L114" s="5"/>
      <c r="M114" s="11"/>
      <c r="N114" s="11"/>
      <c r="O114" s="11"/>
    </row>
    <row r="115" ht="15.75" customHeight="1">
      <c r="A115" s="8"/>
      <c r="B115" s="9"/>
      <c r="C115" s="9"/>
      <c r="D115" s="10"/>
      <c r="E115" s="10"/>
      <c r="F115" s="10"/>
      <c r="G115" s="10"/>
      <c r="H115" s="10"/>
      <c r="I115" s="10"/>
      <c r="J115" s="10"/>
      <c r="K115" s="23"/>
      <c r="L115" s="5"/>
      <c r="M115" s="11"/>
      <c r="N115" s="11"/>
      <c r="O115" s="11"/>
    </row>
    <row r="116" ht="15.75" customHeight="1">
      <c r="A116" s="8"/>
      <c r="B116" s="9"/>
      <c r="C116" s="9"/>
      <c r="D116" s="10"/>
      <c r="E116" s="10"/>
      <c r="F116" s="10"/>
      <c r="G116" s="10"/>
      <c r="H116" s="10"/>
      <c r="I116" s="10"/>
      <c r="J116" s="10"/>
      <c r="K116" s="23"/>
      <c r="L116" s="5"/>
      <c r="M116" s="11"/>
      <c r="N116" s="11"/>
      <c r="O116" s="11"/>
    </row>
    <row r="117" ht="15.75" customHeight="1">
      <c r="A117" s="8"/>
      <c r="B117" s="9"/>
      <c r="C117" s="9"/>
      <c r="D117" s="10"/>
      <c r="E117" s="10"/>
      <c r="F117" s="10"/>
      <c r="G117" s="10"/>
      <c r="H117" s="10"/>
      <c r="I117" s="10"/>
      <c r="J117" s="10"/>
      <c r="K117" s="23"/>
      <c r="L117" s="5"/>
      <c r="M117" s="11"/>
      <c r="N117" s="11"/>
      <c r="O117" s="11"/>
    </row>
    <row r="118" ht="15.75" customHeight="1">
      <c r="A118" s="8"/>
      <c r="B118" s="9"/>
      <c r="C118" s="9"/>
      <c r="D118" s="10"/>
      <c r="E118" s="10"/>
      <c r="F118" s="10"/>
      <c r="G118" s="10"/>
      <c r="H118" s="10"/>
      <c r="I118" s="10"/>
      <c r="J118" s="10"/>
      <c r="K118" s="23"/>
      <c r="L118" s="5"/>
      <c r="M118" s="11"/>
      <c r="N118" s="11"/>
      <c r="O118" s="11"/>
    </row>
    <row r="119" ht="15.75" customHeight="1">
      <c r="A119" s="8"/>
      <c r="B119" s="9"/>
      <c r="C119" s="9"/>
      <c r="D119" s="10"/>
      <c r="E119" s="10"/>
      <c r="F119" s="10"/>
      <c r="G119" s="10"/>
      <c r="H119" s="10"/>
      <c r="I119" s="10"/>
      <c r="J119" s="10"/>
      <c r="K119" s="23"/>
      <c r="L119" s="5"/>
      <c r="M119" s="11"/>
      <c r="N119" s="11"/>
      <c r="O119" s="11"/>
    </row>
    <row r="120" ht="15.75" customHeight="1">
      <c r="A120" s="8"/>
      <c r="B120" s="9"/>
      <c r="C120" s="9"/>
      <c r="D120" s="10"/>
      <c r="E120" s="10"/>
      <c r="F120" s="10"/>
      <c r="G120" s="10"/>
      <c r="H120" s="10"/>
      <c r="I120" s="10"/>
      <c r="J120" s="10"/>
      <c r="K120" s="23"/>
      <c r="L120" s="5"/>
      <c r="M120" s="11"/>
      <c r="N120" s="11"/>
      <c r="O120" s="11"/>
    </row>
    <row r="121" ht="15.75" customHeight="1">
      <c r="A121" s="8"/>
      <c r="B121" s="9"/>
      <c r="C121" s="9"/>
      <c r="D121" s="10"/>
      <c r="E121" s="10"/>
      <c r="F121" s="10"/>
      <c r="G121" s="10"/>
      <c r="H121" s="10"/>
      <c r="I121" s="10"/>
      <c r="J121" s="10"/>
      <c r="K121" s="23"/>
      <c r="L121" s="5"/>
      <c r="M121" s="11"/>
      <c r="N121" s="11"/>
      <c r="O121" s="11"/>
    </row>
    <row r="122" ht="15.75" customHeight="1">
      <c r="A122" s="8"/>
      <c r="B122" s="9"/>
      <c r="C122" s="9"/>
      <c r="D122" s="10"/>
      <c r="E122" s="10"/>
      <c r="F122" s="10"/>
      <c r="G122" s="10"/>
      <c r="H122" s="10"/>
      <c r="I122" s="10"/>
      <c r="J122" s="10"/>
      <c r="K122" s="23"/>
      <c r="L122" s="5"/>
      <c r="M122" s="11"/>
      <c r="N122" s="11"/>
      <c r="O122" s="11"/>
    </row>
    <row r="123" ht="15.75" customHeight="1">
      <c r="A123" s="8"/>
      <c r="B123" s="9"/>
      <c r="C123" s="9"/>
      <c r="D123" s="10"/>
      <c r="E123" s="10"/>
      <c r="F123" s="10"/>
      <c r="G123" s="10"/>
      <c r="H123" s="10"/>
      <c r="I123" s="10"/>
      <c r="J123" s="10"/>
      <c r="K123" s="23"/>
      <c r="L123" s="5"/>
      <c r="M123" s="11"/>
      <c r="N123" s="11"/>
      <c r="O123" s="11"/>
    </row>
    <row r="124" ht="15.75" customHeight="1">
      <c r="A124" s="8"/>
      <c r="B124" s="9"/>
      <c r="C124" s="9"/>
      <c r="D124" s="10"/>
      <c r="E124" s="10"/>
      <c r="F124" s="10"/>
      <c r="G124" s="10"/>
      <c r="H124" s="10"/>
      <c r="I124" s="10"/>
      <c r="J124" s="10"/>
      <c r="K124" s="23"/>
      <c r="L124" s="5"/>
      <c r="M124" s="23"/>
      <c r="N124" s="11"/>
      <c r="O124" s="11"/>
    </row>
    <row r="125" ht="15.75" customHeight="1">
      <c r="A125" s="8"/>
      <c r="B125" s="9"/>
      <c r="C125" s="9"/>
      <c r="D125" s="10"/>
      <c r="E125" s="10"/>
      <c r="F125" s="10"/>
      <c r="G125" s="10"/>
      <c r="H125" s="10"/>
      <c r="I125" s="10"/>
      <c r="J125" s="10"/>
      <c r="K125" s="23"/>
      <c r="L125" s="5"/>
      <c r="M125" s="23"/>
      <c r="N125" s="11"/>
      <c r="O125" s="11"/>
    </row>
    <row r="126" ht="15.75" customHeight="1">
      <c r="A126" s="8"/>
      <c r="B126" s="9"/>
      <c r="C126" s="9"/>
      <c r="D126" s="10"/>
      <c r="E126" s="10"/>
      <c r="F126" s="10"/>
      <c r="G126" s="10"/>
      <c r="H126" s="10"/>
      <c r="I126" s="10"/>
      <c r="J126" s="10"/>
      <c r="K126" s="23"/>
      <c r="L126" s="5"/>
      <c r="M126" s="11"/>
      <c r="N126" s="11"/>
      <c r="O126" s="11"/>
    </row>
    <row r="127" ht="15.75" customHeight="1">
      <c r="A127" s="8"/>
      <c r="B127" s="9"/>
      <c r="C127" s="9"/>
      <c r="D127" s="10"/>
      <c r="E127" s="10"/>
      <c r="F127" s="10"/>
      <c r="G127" s="10"/>
      <c r="H127" s="10"/>
      <c r="I127" s="10"/>
      <c r="J127" s="10"/>
      <c r="K127" s="23"/>
      <c r="L127" s="5"/>
      <c r="M127" s="11"/>
      <c r="N127" s="11"/>
      <c r="O127" s="11"/>
    </row>
    <row r="128" ht="15.75" customHeight="1">
      <c r="A128" s="8"/>
      <c r="B128" s="9"/>
      <c r="C128" s="9"/>
      <c r="D128" s="10"/>
      <c r="E128" s="10"/>
      <c r="F128" s="10"/>
      <c r="G128" s="10"/>
      <c r="H128" s="10"/>
      <c r="I128" s="10"/>
      <c r="J128" s="10"/>
      <c r="K128" s="23"/>
      <c r="L128" s="5"/>
      <c r="M128" s="11"/>
      <c r="N128" s="11"/>
      <c r="O128" s="11"/>
    </row>
    <row r="129" ht="15.75" customHeight="1">
      <c r="A129" s="8"/>
      <c r="B129" s="9"/>
      <c r="C129" s="9"/>
      <c r="D129" s="10"/>
      <c r="E129" s="10"/>
      <c r="F129" s="10"/>
      <c r="G129" s="10"/>
      <c r="H129" s="10"/>
      <c r="I129" s="10"/>
      <c r="J129" s="10"/>
      <c r="K129" s="23"/>
      <c r="L129" s="5"/>
      <c r="M129" s="11"/>
      <c r="N129" s="11"/>
      <c r="O129" s="11"/>
    </row>
    <row r="130" ht="15.75" customHeight="1">
      <c r="A130" s="8"/>
      <c r="B130" s="9"/>
      <c r="C130" s="9"/>
      <c r="D130" s="10"/>
      <c r="E130" s="10"/>
      <c r="F130" s="10"/>
      <c r="G130" s="10"/>
      <c r="H130" s="10"/>
      <c r="I130" s="10"/>
      <c r="J130" s="10"/>
      <c r="K130" s="23"/>
      <c r="L130" s="5"/>
      <c r="M130" s="11"/>
      <c r="N130" s="11"/>
      <c r="O130" s="11"/>
    </row>
    <row r="131" ht="15.75" customHeight="1">
      <c r="A131" s="8"/>
      <c r="B131" s="9"/>
      <c r="C131" s="9"/>
      <c r="D131" s="10"/>
      <c r="E131" s="10"/>
      <c r="F131" s="10"/>
      <c r="G131" s="10"/>
      <c r="H131" s="10"/>
      <c r="I131" s="10"/>
      <c r="J131" s="10"/>
      <c r="K131" s="23"/>
      <c r="L131" s="5"/>
      <c r="M131" s="11"/>
      <c r="N131" s="11"/>
      <c r="O131" s="11"/>
    </row>
    <row r="132" ht="15.75" customHeight="1">
      <c r="A132" s="8"/>
      <c r="B132" s="9"/>
      <c r="C132" s="9"/>
      <c r="D132" s="10"/>
      <c r="E132" s="10"/>
      <c r="F132" s="10"/>
      <c r="G132" s="10"/>
      <c r="H132" s="10"/>
      <c r="I132" s="10"/>
      <c r="J132" s="10"/>
      <c r="K132" s="23"/>
      <c r="L132" s="5"/>
      <c r="M132" s="11"/>
      <c r="N132" s="11"/>
      <c r="O132" s="11"/>
    </row>
    <row r="133" ht="15.75" customHeight="1">
      <c r="A133" s="8"/>
      <c r="B133" s="9"/>
      <c r="C133" s="9"/>
      <c r="D133" s="10"/>
      <c r="E133" s="10"/>
      <c r="F133" s="10"/>
      <c r="G133" s="10"/>
      <c r="H133" s="10"/>
      <c r="I133" s="10"/>
      <c r="J133" s="10"/>
      <c r="K133" s="23"/>
      <c r="L133" s="5"/>
      <c r="M133" s="11"/>
      <c r="N133" s="11"/>
      <c r="O133" s="11"/>
    </row>
    <row r="134" ht="15.75" customHeight="1">
      <c r="A134" s="8"/>
      <c r="B134" s="9"/>
      <c r="C134" s="9"/>
      <c r="D134" s="10"/>
      <c r="E134" s="10"/>
      <c r="F134" s="10"/>
      <c r="G134" s="10"/>
      <c r="H134" s="10"/>
      <c r="I134" s="10"/>
      <c r="J134" s="10"/>
      <c r="K134" s="23"/>
      <c r="L134" s="5"/>
      <c r="M134" s="11"/>
      <c r="N134" s="11"/>
      <c r="O134" s="11"/>
    </row>
    <row r="135" ht="15.75" customHeight="1">
      <c r="A135" s="8"/>
      <c r="B135" s="9"/>
      <c r="C135" s="9"/>
      <c r="D135" s="10"/>
      <c r="E135" s="10"/>
      <c r="F135" s="10"/>
      <c r="G135" s="10"/>
      <c r="H135" s="10"/>
      <c r="I135" s="10"/>
      <c r="J135" s="10"/>
      <c r="K135" s="23"/>
      <c r="L135" s="5"/>
      <c r="M135" s="11"/>
      <c r="N135" s="11"/>
      <c r="O135" s="11"/>
    </row>
    <row r="136" ht="15.75" customHeight="1">
      <c r="A136" s="8"/>
      <c r="B136" s="9"/>
      <c r="C136" s="9"/>
      <c r="D136" s="10"/>
      <c r="E136" s="10"/>
      <c r="F136" s="10"/>
      <c r="G136" s="10"/>
      <c r="H136" s="10"/>
      <c r="I136" s="10"/>
      <c r="J136" s="10"/>
      <c r="K136" s="23"/>
      <c r="L136" s="5"/>
      <c r="M136" s="11"/>
      <c r="N136" s="11"/>
      <c r="O136" s="11"/>
    </row>
    <row r="137" ht="15.75" customHeight="1">
      <c r="A137" s="8"/>
      <c r="B137" s="9"/>
      <c r="C137" s="9"/>
      <c r="D137" s="10"/>
      <c r="E137" s="10"/>
      <c r="F137" s="10"/>
      <c r="G137" s="10"/>
      <c r="H137" s="10"/>
      <c r="I137" s="10"/>
      <c r="J137" s="10"/>
      <c r="K137" s="23"/>
      <c r="L137" s="5"/>
      <c r="M137" s="11"/>
      <c r="N137" s="11"/>
      <c r="O137" s="11"/>
    </row>
    <row r="138" ht="15.75" customHeight="1">
      <c r="A138" s="8"/>
      <c r="B138" s="9"/>
      <c r="C138" s="9"/>
      <c r="D138" s="10"/>
      <c r="E138" s="10"/>
      <c r="F138" s="10"/>
      <c r="G138" s="10"/>
      <c r="H138" s="10"/>
      <c r="I138" s="10"/>
      <c r="J138" s="10"/>
      <c r="K138" s="23"/>
      <c r="L138" s="5"/>
      <c r="M138" s="11"/>
      <c r="N138" s="11"/>
      <c r="O138" s="11"/>
    </row>
    <row r="139" ht="15.75" customHeight="1">
      <c r="A139" s="8"/>
      <c r="B139" s="9"/>
      <c r="C139" s="9"/>
      <c r="D139" s="10"/>
      <c r="E139" s="10"/>
      <c r="F139" s="10"/>
      <c r="G139" s="10"/>
      <c r="H139" s="10"/>
      <c r="I139" s="10"/>
      <c r="J139" s="10"/>
      <c r="K139" s="23"/>
      <c r="L139" s="5"/>
      <c r="M139" s="11"/>
      <c r="N139" s="11"/>
      <c r="O139" s="11"/>
    </row>
    <row r="140" ht="15.75" customHeight="1">
      <c r="A140" s="8"/>
      <c r="B140" s="9"/>
      <c r="C140" s="9"/>
      <c r="D140" s="10"/>
      <c r="E140" s="10"/>
      <c r="F140" s="10"/>
      <c r="G140" s="10"/>
      <c r="H140" s="10"/>
      <c r="I140" s="10"/>
      <c r="J140" s="10"/>
      <c r="K140" s="23"/>
      <c r="L140" s="5"/>
      <c r="M140" s="11"/>
      <c r="N140" s="11"/>
      <c r="O140" s="11"/>
    </row>
    <row r="141" ht="15.75" customHeight="1">
      <c r="A141" s="8"/>
      <c r="B141" s="9"/>
      <c r="C141" s="9"/>
      <c r="D141" s="10"/>
      <c r="E141" s="10"/>
      <c r="F141" s="10"/>
      <c r="G141" s="10"/>
      <c r="H141" s="10"/>
      <c r="I141" s="10"/>
      <c r="J141" s="10"/>
      <c r="K141" s="23"/>
      <c r="L141" s="5"/>
      <c r="M141" s="11"/>
      <c r="N141" s="11"/>
      <c r="O141" s="11"/>
    </row>
    <row r="142" ht="15.75" customHeight="1">
      <c r="A142" s="8"/>
      <c r="B142" s="9"/>
      <c r="C142" s="9"/>
      <c r="D142" s="10"/>
      <c r="E142" s="10"/>
      <c r="F142" s="10"/>
      <c r="G142" s="10"/>
      <c r="H142" s="10"/>
      <c r="I142" s="10"/>
      <c r="J142" s="10"/>
      <c r="K142" s="23"/>
      <c r="L142" s="5"/>
      <c r="M142" s="11"/>
      <c r="N142" s="11"/>
      <c r="O142" s="11"/>
    </row>
    <row r="143" ht="15.75" customHeight="1">
      <c r="A143" s="8"/>
      <c r="B143" s="9"/>
      <c r="C143" s="9"/>
      <c r="D143" s="10"/>
      <c r="E143" s="10"/>
      <c r="F143" s="10"/>
      <c r="G143" s="10"/>
      <c r="H143" s="10"/>
      <c r="I143" s="10"/>
      <c r="J143" s="10"/>
      <c r="K143" s="23"/>
      <c r="L143" s="5"/>
      <c r="M143" s="11"/>
      <c r="N143" s="11"/>
      <c r="O143" s="11"/>
    </row>
    <row r="144" ht="15.75" customHeight="1">
      <c r="A144" s="8"/>
      <c r="B144" s="9"/>
      <c r="C144" s="9"/>
      <c r="D144" s="10"/>
      <c r="E144" s="10"/>
      <c r="F144" s="10"/>
      <c r="G144" s="10"/>
      <c r="H144" s="10"/>
      <c r="I144" s="10"/>
      <c r="J144" s="10"/>
      <c r="K144" s="23"/>
      <c r="L144" s="5"/>
      <c r="M144" s="11"/>
      <c r="N144" s="11"/>
      <c r="O144" s="11"/>
    </row>
    <row r="145" ht="15.75" customHeight="1">
      <c r="A145" s="8"/>
      <c r="B145" s="9"/>
      <c r="C145" s="9"/>
      <c r="D145" s="10"/>
      <c r="E145" s="10"/>
      <c r="F145" s="10"/>
      <c r="G145" s="10"/>
      <c r="H145" s="10"/>
      <c r="I145" s="10"/>
      <c r="J145" s="10"/>
      <c r="K145" s="23"/>
      <c r="L145" s="5"/>
      <c r="M145" s="11"/>
      <c r="N145" s="11"/>
      <c r="O145" s="11"/>
    </row>
    <row r="146" ht="15.75" customHeight="1">
      <c r="A146" s="8"/>
      <c r="B146" s="9"/>
      <c r="C146" s="9"/>
      <c r="D146" s="10"/>
      <c r="E146" s="10"/>
      <c r="F146" s="10"/>
      <c r="G146" s="10"/>
      <c r="H146" s="10"/>
      <c r="I146" s="10"/>
      <c r="J146" s="10"/>
      <c r="K146" s="23"/>
      <c r="L146" s="5"/>
      <c r="M146" s="11"/>
      <c r="N146" s="11"/>
      <c r="O146" s="11"/>
    </row>
    <row r="147" ht="15.75" customHeight="1">
      <c r="A147" s="8"/>
      <c r="B147" s="9"/>
      <c r="C147" s="9"/>
      <c r="D147" s="10"/>
      <c r="E147" s="10"/>
      <c r="F147" s="10"/>
      <c r="G147" s="10"/>
      <c r="H147" s="10"/>
      <c r="I147" s="10"/>
      <c r="J147" s="10"/>
      <c r="K147" s="23"/>
      <c r="L147" s="5"/>
      <c r="M147" s="11"/>
      <c r="N147" s="11"/>
      <c r="O147" s="11"/>
    </row>
    <row r="148" ht="15.75" customHeight="1">
      <c r="A148" s="8"/>
      <c r="B148" s="9"/>
      <c r="C148" s="9"/>
      <c r="D148" s="10"/>
      <c r="E148" s="10"/>
      <c r="F148" s="10"/>
      <c r="G148" s="10"/>
      <c r="H148" s="10"/>
      <c r="I148" s="10"/>
      <c r="J148" s="10"/>
      <c r="K148" s="23"/>
      <c r="L148" s="5"/>
      <c r="M148" s="11"/>
      <c r="N148" s="11"/>
      <c r="O148" s="11"/>
    </row>
    <row r="149" ht="15.75" customHeight="1">
      <c r="A149" s="8"/>
      <c r="B149" s="9"/>
      <c r="C149" s="9"/>
      <c r="D149" s="10"/>
      <c r="E149" s="10"/>
      <c r="F149" s="10"/>
      <c r="G149" s="10"/>
      <c r="H149" s="10"/>
      <c r="I149" s="10"/>
      <c r="J149" s="10"/>
      <c r="K149" s="23"/>
      <c r="L149" s="5"/>
      <c r="M149" s="11"/>
      <c r="N149" s="11"/>
      <c r="O149" s="11"/>
    </row>
    <row r="150" ht="15.75" customHeight="1">
      <c r="A150" s="8"/>
      <c r="B150" s="9"/>
      <c r="C150" s="9"/>
      <c r="D150" s="10"/>
      <c r="E150" s="10"/>
      <c r="F150" s="10"/>
      <c r="G150" s="10"/>
      <c r="H150" s="10"/>
      <c r="I150" s="10"/>
      <c r="J150" s="10"/>
      <c r="K150" s="23"/>
      <c r="L150" s="5"/>
      <c r="M150" s="11"/>
      <c r="N150" s="11"/>
      <c r="O150" s="11"/>
    </row>
    <row r="151" ht="15.75" customHeight="1">
      <c r="A151" s="8"/>
      <c r="B151" s="9"/>
      <c r="C151" s="9"/>
      <c r="D151" s="10"/>
      <c r="E151" s="10"/>
      <c r="F151" s="10"/>
      <c r="G151" s="10"/>
      <c r="H151" s="10"/>
      <c r="I151" s="10"/>
      <c r="J151" s="10"/>
      <c r="K151" s="23"/>
      <c r="L151" s="5"/>
      <c r="M151" s="11"/>
      <c r="N151" s="11"/>
      <c r="O151" s="11"/>
    </row>
    <row r="152" ht="15.75" customHeight="1">
      <c r="A152" s="8"/>
      <c r="B152" s="9"/>
      <c r="C152" s="9"/>
      <c r="D152" s="10"/>
      <c r="E152" s="10"/>
      <c r="F152" s="10"/>
      <c r="G152" s="10"/>
      <c r="H152" s="10"/>
      <c r="I152" s="10"/>
      <c r="J152" s="10"/>
      <c r="K152" s="23"/>
      <c r="L152" s="5"/>
      <c r="M152" s="11"/>
      <c r="N152" s="11"/>
      <c r="O152" s="11"/>
    </row>
    <row r="153" ht="15.75" customHeight="1">
      <c r="A153" s="8"/>
      <c r="B153" s="9"/>
      <c r="C153" s="9"/>
      <c r="D153" s="10"/>
      <c r="E153" s="10"/>
      <c r="F153" s="10"/>
      <c r="G153" s="10"/>
      <c r="H153" s="10"/>
      <c r="I153" s="10"/>
      <c r="J153" s="10"/>
      <c r="K153" s="23"/>
      <c r="L153" s="5"/>
      <c r="M153" s="11"/>
      <c r="N153" s="11"/>
      <c r="O153" s="11"/>
    </row>
    <row r="154" ht="15.75" customHeight="1">
      <c r="A154" s="8"/>
      <c r="B154" s="9"/>
      <c r="C154" s="9"/>
      <c r="D154" s="10"/>
      <c r="E154" s="10"/>
      <c r="F154" s="10"/>
      <c r="G154" s="10"/>
      <c r="H154" s="10"/>
      <c r="I154" s="10"/>
      <c r="J154" s="10"/>
      <c r="K154" s="23"/>
      <c r="L154" s="5"/>
      <c r="M154" s="11"/>
      <c r="N154" s="11"/>
      <c r="O154" s="11"/>
    </row>
    <row r="155" ht="15.75" customHeight="1">
      <c r="A155" s="8"/>
      <c r="B155" s="9"/>
      <c r="C155" s="9"/>
      <c r="D155" s="10"/>
      <c r="E155" s="10"/>
      <c r="F155" s="10"/>
      <c r="G155" s="10"/>
      <c r="H155" s="10"/>
      <c r="I155" s="10"/>
      <c r="J155" s="10"/>
      <c r="K155" s="23"/>
      <c r="L155" s="5"/>
      <c r="M155" s="11"/>
      <c r="N155" s="11"/>
      <c r="O155" s="11"/>
    </row>
    <row r="156" ht="15.75" customHeight="1">
      <c r="A156" s="8"/>
      <c r="B156" s="9"/>
      <c r="C156" s="9"/>
      <c r="D156" s="10"/>
      <c r="E156" s="10"/>
      <c r="F156" s="10"/>
      <c r="G156" s="10"/>
      <c r="H156" s="10"/>
      <c r="I156" s="10"/>
      <c r="J156" s="10"/>
      <c r="K156" s="23"/>
      <c r="L156" s="5"/>
      <c r="M156" s="11"/>
      <c r="N156" s="11"/>
      <c r="O156" s="11"/>
    </row>
    <row r="157" ht="15.75" customHeight="1">
      <c r="A157" s="8"/>
      <c r="B157" s="9"/>
      <c r="C157" s="9"/>
      <c r="D157" s="10"/>
      <c r="E157" s="10"/>
      <c r="F157" s="10"/>
      <c r="G157" s="10"/>
      <c r="H157" s="10"/>
      <c r="I157" s="10"/>
      <c r="J157" s="10"/>
      <c r="K157" s="23"/>
      <c r="L157" s="5"/>
      <c r="M157" s="11"/>
      <c r="N157" s="11"/>
      <c r="O157" s="11"/>
    </row>
    <row r="158" ht="15.75" customHeight="1">
      <c r="A158" s="8"/>
      <c r="B158" s="9"/>
      <c r="C158" s="9"/>
      <c r="D158" s="10"/>
      <c r="E158" s="10"/>
      <c r="F158" s="10"/>
      <c r="G158" s="10"/>
      <c r="H158" s="10"/>
      <c r="I158" s="10"/>
      <c r="J158" s="10"/>
      <c r="K158" s="23"/>
      <c r="L158" s="5"/>
      <c r="M158" s="11"/>
      <c r="N158" s="11"/>
      <c r="O158" s="11"/>
    </row>
    <row r="159" ht="15.75" customHeight="1">
      <c r="A159" s="8"/>
      <c r="B159" s="9"/>
      <c r="C159" s="9"/>
      <c r="D159" s="10"/>
      <c r="E159" s="10"/>
      <c r="F159" s="10"/>
      <c r="G159" s="10"/>
      <c r="H159" s="10"/>
      <c r="I159" s="10"/>
      <c r="J159" s="10"/>
      <c r="K159" s="23"/>
      <c r="L159" s="5"/>
      <c r="M159" s="11"/>
      <c r="N159" s="11"/>
      <c r="O159" s="11"/>
    </row>
    <row r="160" ht="15.75" customHeight="1">
      <c r="A160" s="8"/>
      <c r="B160" s="9"/>
      <c r="C160" s="9"/>
      <c r="D160" s="10"/>
      <c r="E160" s="10"/>
      <c r="F160" s="10"/>
      <c r="G160" s="10"/>
      <c r="H160" s="10"/>
      <c r="I160" s="10"/>
      <c r="J160" s="10"/>
      <c r="K160" s="23"/>
      <c r="L160" s="5"/>
      <c r="M160" s="11"/>
      <c r="N160" s="11"/>
      <c r="O160" s="11"/>
    </row>
    <row r="161" ht="15.75" customHeight="1">
      <c r="A161" s="8"/>
      <c r="B161" s="9"/>
      <c r="C161" s="9"/>
      <c r="D161" s="10"/>
      <c r="E161" s="10"/>
      <c r="F161" s="10"/>
      <c r="G161" s="10"/>
      <c r="H161" s="10"/>
      <c r="I161" s="10"/>
      <c r="J161" s="10"/>
      <c r="K161" s="23"/>
      <c r="L161" s="5"/>
      <c r="M161" s="11"/>
      <c r="N161" s="11"/>
      <c r="O161" s="11"/>
    </row>
    <row r="162" ht="15.75" customHeight="1">
      <c r="A162" s="8"/>
      <c r="B162" s="9"/>
      <c r="C162" s="9"/>
      <c r="D162" s="10"/>
      <c r="E162" s="10"/>
      <c r="F162" s="10"/>
      <c r="G162" s="10"/>
      <c r="H162" s="10"/>
      <c r="I162" s="10"/>
      <c r="J162" s="10"/>
      <c r="K162" s="23"/>
      <c r="L162" s="5"/>
      <c r="M162" s="11"/>
      <c r="N162" s="11"/>
      <c r="O162" s="11"/>
    </row>
    <row r="163" ht="15.75" customHeight="1">
      <c r="A163" s="8"/>
      <c r="B163" s="9"/>
      <c r="C163" s="9"/>
      <c r="D163" s="10"/>
      <c r="E163" s="10"/>
      <c r="F163" s="10"/>
      <c r="G163" s="10"/>
      <c r="H163" s="10"/>
      <c r="I163" s="10"/>
      <c r="J163" s="10"/>
      <c r="K163" s="23"/>
      <c r="L163" s="5"/>
      <c r="M163" s="11"/>
      <c r="N163" s="11"/>
      <c r="O163" s="11"/>
    </row>
    <row r="164" ht="15.75" customHeight="1">
      <c r="A164" s="8"/>
      <c r="B164" s="9"/>
      <c r="C164" s="9"/>
      <c r="D164" s="10"/>
      <c r="E164" s="10"/>
      <c r="F164" s="10"/>
      <c r="G164" s="10"/>
      <c r="H164" s="10"/>
      <c r="I164" s="10"/>
      <c r="J164" s="10"/>
      <c r="K164" s="23"/>
      <c r="L164" s="5"/>
      <c r="M164" s="11"/>
      <c r="N164" s="11"/>
      <c r="O164" s="11"/>
    </row>
    <row r="165" ht="15.75" customHeight="1">
      <c r="A165" s="8"/>
      <c r="B165" s="9"/>
      <c r="C165" s="9"/>
      <c r="D165" s="10"/>
      <c r="E165" s="10"/>
      <c r="F165" s="10"/>
      <c r="G165" s="10"/>
      <c r="H165" s="10"/>
      <c r="I165" s="10"/>
      <c r="J165" s="10"/>
      <c r="K165" s="23"/>
      <c r="L165" s="5"/>
      <c r="M165" s="11"/>
      <c r="N165" s="11"/>
      <c r="O165" s="11"/>
    </row>
    <row r="166" ht="15.75" customHeight="1">
      <c r="A166" s="8"/>
      <c r="B166" s="9"/>
      <c r="C166" s="9"/>
      <c r="D166" s="10"/>
      <c r="E166" s="10"/>
      <c r="F166" s="10"/>
      <c r="G166" s="10"/>
      <c r="H166" s="10"/>
      <c r="I166" s="10"/>
      <c r="J166" s="10"/>
      <c r="K166" s="23"/>
      <c r="L166" s="5"/>
      <c r="M166" s="11"/>
      <c r="N166" s="11"/>
      <c r="O166" s="11"/>
    </row>
    <row r="167" ht="15.75" customHeight="1">
      <c r="A167" s="8"/>
      <c r="B167" s="9"/>
      <c r="C167" s="9"/>
      <c r="D167" s="10"/>
      <c r="E167" s="10"/>
      <c r="F167" s="10"/>
      <c r="G167" s="10"/>
      <c r="H167" s="10"/>
      <c r="I167" s="10"/>
      <c r="J167" s="10"/>
      <c r="K167" s="23"/>
      <c r="L167" s="5"/>
      <c r="M167" s="11"/>
      <c r="N167" s="11"/>
      <c r="O167" s="11"/>
    </row>
    <row r="168" ht="15.75" customHeight="1">
      <c r="A168" s="8"/>
      <c r="B168" s="9"/>
      <c r="C168" s="9"/>
      <c r="D168" s="10"/>
      <c r="E168" s="10"/>
      <c r="F168" s="10"/>
      <c r="G168" s="10"/>
      <c r="H168" s="10"/>
      <c r="I168" s="10"/>
      <c r="J168" s="10"/>
      <c r="K168" s="23"/>
      <c r="L168" s="5"/>
      <c r="M168" s="11"/>
      <c r="N168" s="11"/>
      <c r="O168" s="11"/>
    </row>
    <row r="169" ht="15.75" customHeight="1">
      <c r="A169" s="8"/>
      <c r="B169" s="9"/>
      <c r="C169" s="9"/>
      <c r="D169" s="10"/>
      <c r="E169" s="10"/>
      <c r="F169" s="10"/>
      <c r="G169" s="10"/>
      <c r="H169" s="10"/>
      <c r="I169" s="10"/>
      <c r="J169" s="10"/>
      <c r="K169" s="23"/>
      <c r="L169" s="5"/>
      <c r="M169" s="11"/>
      <c r="N169" s="11"/>
      <c r="O169" s="11"/>
    </row>
    <row r="170" ht="15.75" customHeight="1">
      <c r="A170" s="8"/>
      <c r="B170" s="9"/>
      <c r="C170" s="9"/>
      <c r="D170" s="10"/>
      <c r="E170" s="10"/>
      <c r="F170" s="10"/>
      <c r="G170" s="10"/>
      <c r="H170" s="10"/>
      <c r="I170" s="10"/>
      <c r="J170" s="10"/>
      <c r="K170" s="23"/>
      <c r="L170" s="5"/>
      <c r="M170" s="11"/>
      <c r="N170" s="11"/>
      <c r="O170" s="11"/>
    </row>
    <row r="171" ht="15.75" customHeight="1">
      <c r="A171" s="8"/>
      <c r="B171" s="9"/>
      <c r="C171" s="9"/>
      <c r="D171" s="10"/>
      <c r="E171" s="10"/>
      <c r="F171" s="10"/>
      <c r="G171" s="10"/>
      <c r="H171" s="10"/>
      <c r="I171" s="10"/>
      <c r="J171" s="10"/>
      <c r="K171" s="23"/>
      <c r="L171" s="5"/>
      <c r="M171" s="11"/>
      <c r="N171" s="11"/>
      <c r="O171" s="11"/>
    </row>
    <row r="172" ht="15.75" customHeight="1">
      <c r="A172" s="8"/>
      <c r="B172" s="9"/>
      <c r="C172" s="9"/>
      <c r="D172" s="10"/>
      <c r="E172" s="10"/>
      <c r="F172" s="10"/>
      <c r="G172" s="10"/>
      <c r="H172" s="10"/>
      <c r="I172" s="10"/>
      <c r="J172" s="10"/>
      <c r="K172" s="23"/>
      <c r="L172" s="5"/>
      <c r="M172" s="11"/>
      <c r="N172" s="11"/>
      <c r="O172" s="11"/>
    </row>
    <row r="173" ht="15.75" customHeight="1">
      <c r="A173" s="8"/>
      <c r="B173" s="9"/>
      <c r="C173" s="9"/>
      <c r="D173" s="10"/>
      <c r="E173" s="10"/>
      <c r="F173" s="10"/>
      <c r="G173" s="10"/>
      <c r="H173" s="10"/>
      <c r="I173" s="10"/>
      <c r="J173" s="10"/>
      <c r="K173" s="23"/>
      <c r="L173" s="5"/>
      <c r="M173" s="11"/>
      <c r="N173" s="11"/>
      <c r="O173" s="11"/>
    </row>
    <row r="174" ht="15.75" customHeight="1">
      <c r="A174" s="8"/>
      <c r="B174" s="9"/>
      <c r="C174" s="9"/>
      <c r="D174" s="10"/>
      <c r="E174" s="10"/>
      <c r="F174" s="10"/>
      <c r="G174" s="10"/>
      <c r="H174" s="10"/>
      <c r="I174" s="10"/>
      <c r="J174" s="10"/>
      <c r="K174" s="23"/>
      <c r="L174" s="5"/>
      <c r="M174" s="11"/>
      <c r="N174" s="11"/>
      <c r="O174" s="11"/>
    </row>
    <row r="175" ht="15.75" customHeight="1">
      <c r="A175" s="8"/>
      <c r="B175" s="9"/>
      <c r="C175" s="9"/>
      <c r="D175" s="10"/>
      <c r="E175" s="10"/>
      <c r="F175" s="10"/>
      <c r="G175" s="10"/>
      <c r="H175" s="10"/>
      <c r="I175" s="10"/>
      <c r="J175" s="10"/>
      <c r="K175" s="23"/>
      <c r="L175" s="5"/>
      <c r="M175" s="11"/>
      <c r="N175" s="11"/>
      <c r="O175" s="11"/>
    </row>
    <row r="176" ht="15.75" customHeight="1">
      <c r="A176" s="8"/>
      <c r="B176" s="9"/>
      <c r="C176" s="9"/>
      <c r="D176" s="10"/>
      <c r="E176" s="10"/>
      <c r="F176" s="10"/>
      <c r="G176" s="10"/>
      <c r="H176" s="10"/>
      <c r="I176" s="10"/>
      <c r="J176" s="10"/>
      <c r="K176" s="23"/>
      <c r="L176" s="5"/>
      <c r="M176" s="11"/>
      <c r="N176" s="11"/>
      <c r="O176" s="11"/>
    </row>
    <row r="177" ht="15.75" customHeight="1">
      <c r="A177" s="8"/>
      <c r="B177" s="9"/>
      <c r="C177" s="9"/>
      <c r="D177" s="10"/>
      <c r="E177" s="10"/>
      <c r="F177" s="10"/>
      <c r="G177" s="10"/>
      <c r="H177" s="10"/>
      <c r="I177" s="10"/>
      <c r="J177" s="10"/>
      <c r="K177" s="23"/>
      <c r="L177" s="5"/>
      <c r="M177" s="11"/>
      <c r="N177" s="11"/>
      <c r="O177" s="11"/>
    </row>
    <row r="178" ht="15.75" customHeight="1">
      <c r="A178" s="8"/>
      <c r="B178" s="9"/>
      <c r="C178" s="9"/>
      <c r="D178" s="10"/>
      <c r="E178" s="10"/>
      <c r="F178" s="10"/>
      <c r="G178" s="10"/>
      <c r="H178" s="10"/>
      <c r="I178" s="10"/>
      <c r="J178" s="10"/>
      <c r="K178" s="23"/>
      <c r="L178" s="5"/>
      <c r="M178" s="11"/>
      <c r="N178" s="11"/>
      <c r="O178" s="11"/>
    </row>
    <row r="179" ht="15.75" customHeight="1">
      <c r="A179" s="8"/>
      <c r="B179" s="9"/>
      <c r="C179" s="9"/>
      <c r="D179" s="10"/>
      <c r="E179" s="10"/>
      <c r="F179" s="10"/>
      <c r="G179" s="10"/>
      <c r="H179" s="10"/>
      <c r="I179" s="10"/>
      <c r="J179" s="10"/>
      <c r="K179" s="23"/>
      <c r="L179" s="5"/>
      <c r="M179" s="11"/>
      <c r="N179" s="11"/>
      <c r="O179" s="11"/>
    </row>
    <row r="180" ht="15.75" customHeight="1">
      <c r="A180" s="8"/>
      <c r="B180" s="9"/>
      <c r="C180" s="9"/>
      <c r="D180" s="10"/>
      <c r="E180" s="10"/>
      <c r="F180" s="10"/>
      <c r="G180" s="10"/>
      <c r="H180" s="10"/>
      <c r="I180" s="10"/>
      <c r="J180" s="10"/>
      <c r="K180" s="23"/>
      <c r="L180" s="5"/>
      <c r="M180" s="11"/>
      <c r="N180" s="11"/>
      <c r="O180" s="11"/>
    </row>
    <row r="181" ht="15.75" customHeight="1">
      <c r="A181" s="8"/>
      <c r="B181" s="9"/>
      <c r="C181" s="9"/>
      <c r="D181" s="10"/>
      <c r="E181" s="10"/>
      <c r="F181" s="10"/>
      <c r="G181" s="10"/>
      <c r="H181" s="10"/>
      <c r="I181" s="10"/>
      <c r="J181" s="10"/>
      <c r="K181" s="23"/>
      <c r="L181" s="5"/>
      <c r="M181" s="11"/>
      <c r="N181" s="11"/>
      <c r="O181" s="11"/>
    </row>
    <row r="182" ht="15.75" customHeight="1">
      <c r="A182" s="8"/>
      <c r="B182" s="9"/>
      <c r="C182" s="9"/>
      <c r="D182" s="10"/>
      <c r="E182" s="10"/>
      <c r="F182" s="10"/>
      <c r="G182" s="10"/>
      <c r="H182" s="10"/>
      <c r="I182" s="10"/>
      <c r="J182" s="10"/>
      <c r="K182" s="23"/>
      <c r="L182" s="5"/>
      <c r="M182" s="11"/>
      <c r="N182" s="11"/>
      <c r="O182" s="11"/>
    </row>
    <row r="183" ht="15.75" customHeight="1">
      <c r="A183" s="8"/>
      <c r="B183" s="9"/>
      <c r="C183" s="9"/>
      <c r="D183" s="10"/>
      <c r="E183" s="10"/>
      <c r="F183" s="10"/>
      <c r="G183" s="10"/>
      <c r="H183" s="10"/>
      <c r="I183" s="10"/>
      <c r="J183" s="10"/>
      <c r="K183" s="23"/>
      <c r="L183" s="5"/>
      <c r="M183" s="11"/>
      <c r="N183" s="11"/>
      <c r="O183" s="11"/>
    </row>
    <row r="184" ht="15.75" customHeight="1">
      <c r="A184" s="8"/>
      <c r="B184" s="9"/>
      <c r="C184" s="9"/>
      <c r="D184" s="10"/>
      <c r="E184" s="10"/>
      <c r="F184" s="10"/>
      <c r="G184" s="10"/>
      <c r="H184" s="10"/>
      <c r="I184" s="10"/>
      <c r="J184" s="10"/>
      <c r="K184" s="23"/>
      <c r="L184" s="5"/>
      <c r="M184" s="11"/>
      <c r="N184" s="11"/>
      <c r="O184" s="11"/>
    </row>
    <row r="185" ht="15.75" customHeight="1">
      <c r="A185" s="8"/>
      <c r="B185" s="9"/>
      <c r="C185" s="9"/>
      <c r="D185" s="10"/>
      <c r="E185" s="10"/>
      <c r="F185" s="10"/>
      <c r="G185" s="10"/>
      <c r="H185" s="10"/>
      <c r="I185" s="10"/>
      <c r="J185" s="10"/>
      <c r="K185" s="23"/>
      <c r="L185" s="5"/>
      <c r="M185" s="11"/>
      <c r="N185" s="11"/>
      <c r="O185" s="11"/>
    </row>
    <row r="186" ht="15.75" customHeight="1">
      <c r="A186" s="8"/>
      <c r="B186" s="9"/>
      <c r="C186" s="9"/>
      <c r="D186" s="10"/>
      <c r="E186" s="10"/>
      <c r="F186" s="10"/>
      <c r="G186" s="10"/>
      <c r="H186" s="10"/>
      <c r="I186" s="10"/>
      <c r="J186" s="10"/>
      <c r="K186" s="23"/>
      <c r="L186" s="5"/>
      <c r="M186" s="11"/>
      <c r="N186" s="11"/>
      <c r="O186" s="11"/>
    </row>
    <row r="187" ht="15.75" customHeight="1">
      <c r="A187" s="8"/>
      <c r="B187" s="9"/>
      <c r="C187" s="9"/>
      <c r="D187" s="10"/>
      <c r="E187" s="10"/>
      <c r="F187" s="10"/>
      <c r="G187" s="10"/>
      <c r="H187" s="10"/>
      <c r="I187" s="10"/>
      <c r="J187" s="10"/>
      <c r="K187" s="23"/>
      <c r="L187" s="5"/>
      <c r="M187" s="11"/>
      <c r="N187" s="11"/>
      <c r="O187" s="11"/>
    </row>
    <row r="188" ht="15.75" customHeight="1">
      <c r="A188" s="8"/>
      <c r="B188" s="9"/>
      <c r="C188" s="9"/>
      <c r="D188" s="10"/>
      <c r="E188" s="10"/>
      <c r="F188" s="10"/>
      <c r="G188" s="10"/>
      <c r="H188" s="10"/>
      <c r="I188" s="10"/>
      <c r="J188" s="10"/>
      <c r="K188" s="23"/>
      <c r="L188" s="5"/>
      <c r="M188" s="11"/>
      <c r="N188" s="11"/>
      <c r="O188" s="11"/>
    </row>
    <row r="189" ht="15.75" customHeight="1">
      <c r="A189" s="8"/>
      <c r="B189" s="9"/>
      <c r="C189" s="9"/>
      <c r="D189" s="10"/>
      <c r="E189" s="10"/>
      <c r="F189" s="10"/>
      <c r="G189" s="10"/>
      <c r="H189" s="10"/>
      <c r="I189" s="10"/>
      <c r="J189" s="10"/>
      <c r="K189" s="23"/>
      <c r="L189" s="5"/>
      <c r="M189" s="11"/>
      <c r="N189" s="11"/>
      <c r="O189" s="11"/>
    </row>
    <row r="190" ht="15.75" customHeight="1">
      <c r="A190" s="8"/>
      <c r="B190" s="9"/>
      <c r="C190" s="9"/>
      <c r="D190" s="10"/>
      <c r="E190" s="10"/>
      <c r="F190" s="10"/>
      <c r="G190" s="10"/>
      <c r="H190" s="10"/>
      <c r="I190" s="10"/>
      <c r="J190" s="10"/>
      <c r="K190" s="23"/>
      <c r="L190" s="5"/>
      <c r="M190" s="11"/>
      <c r="N190" s="11"/>
      <c r="O190" s="11"/>
    </row>
    <row r="191" ht="15.75" customHeight="1">
      <c r="A191" s="8"/>
      <c r="B191" s="9"/>
      <c r="C191" s="9"/>
      <c r="D191" s="10"/>
      <c r="E191" s="10"/>
      <c r="F191" s="10"/>
      <c r="G191" s="10"/>
      <c r="H191" s="10"/>
      <c r="I191" s="10"/>
      <c r="J191" s="10"/>
      <c r="K191" s="23"/>
      <c r="L191" s="5"/>
      <c r="M191" s="11"/>
      <c r="N191" s="11"/>
      <c r="O191" s="11"/>
    </row>
    <row r="192" ht="15.75" customHeight="1">
      <c r="A192" s="8"/>
      <c r="B192" s="9"/>
      <c r="C192" s="9"/>
      <c r="D192" s="10"/>
      <c r="E192" s="10"/>
      <c r="F192" s="10"/>
      <c r="G192" s="10"/>
      <c r="H192" s="10"/>
      <c r="I192" s="10"/>
      <c r="J192" s="10"/>
      <c r="K192" s="23"/>
      <c r="L192" s="5"/>
      <c r="M192" s="11"/>
      <c r="N192" s="11"/>
      <c r="O192" s="11"/>
    </row>
    <row r="193" ht="15.75" customHeight="1">
      <c r="A193" s="8"/>
      <c r="B193" s="9"/>
      <c r="C193" s="9"/>
      <c r="D193" s="10"/>
      <c r="E193" s="10"/>
      <c r="F193" s="10"/>
      <c r="G193" s="10"/>
      <c r="H193" s="10"/>
      <c r="I193" s="10"/>
      <c r="J193" s="10"/>
      <c r="K193" s="23"/>
      <c r="L193" s="5"/>
      <c r="M193" s="11"/>
      <c r="N193" s="11"/>
      <c r="O193" s="11"/>
    </row>
    <row r="194" ht="15.75" customHeight="1">
      <c r="A194" s="8"/>
      <c r="B194" s="9"/>
      <c r="C194" s="9"/>
      <c r="D194" s="10"/>
      <c r="E194" s="10"/>
      <c r="F194" s="10"/>
      <c r="G194" s="10"/>
      <c r="H194" s="10"/>
      <c r="I194" s="10"/>
      <c r="J194" s="10"/>
      <c r="K194" s="23"/>
      <c r="L194" s="5"/>
      <c r="M194" s="11"/>
      <c r="N194" s="11"/>
      <c r="O194" s="11"/>
    </row>
    <row r="195" ht="15.75" customHeight="1">
      <c r="A195" s="8"/>
      <c r="B195" s="9"/>
      <c r="C195" s="9"/>
      <c r="D195" s="10"/>
      <c r="E195" s="10"/>
      <c r="F195" s="10"/>
      <c r="G195" s="10"/>
      <c r="H195" s="10"/>
      <c r="I195" s="10"/>
      <c r="J195" s="10"/>
      <c r="K195" s="23"/>
      <c r="L195" s="5"/>
      <c r="M195" s="11"/>
      <c r="N195" s="11"/>
      <c r="O195" s="11"/>
    </row>
    <row r="196" ht="15.75" customHeight="1">
      <c r="A196" s="8"/>
      <c r="B196" s="9"/>
      <c r="C196" s="9"/>
      <c r="D196" s="10"/>
      <c r="E196" s="10"/>
      <c r="F196" s="10"/>
      <c r="G196" s="10"/>
      <c r="H196" s="10"/>
      <c r="I196" s="10"/>
      <c r="J196" s="10"/>
      <c r="K196" s="11"/>
      <c r="L196" s="5"/>
      <c r="M196" s="11"/>
      <c r="N196" s="11"/>
      <c r="O196" s="11"/>
    </row>
    <row r="197" ht="15.75" customHeight="1">
      <c r="A197" s="8"/>
      <c r="B197" s="9"/>
      <c r="C197" s="9"/>
      <c r="D197" s="10"/>
      <c r="E197" s="10"/>
      <c r="F197" s="10"/>
      <c r="G197" s="10"/>
      <c r="H197" s="10"/>
      <c r="I197" s="10"/>
      <c r="J197" s="10"/>
      <c r="K197" s="11"/>
      <c r="L197" s="5"/>
      <c r="M197" s="11"/>
      <c r="N197" s="11"/>
      <c r="O197" s="11"/>
    </row>
    <row r="198" ht="15.75" customHeight="1">
      <c r="A198" s="8"/>
      <c r="B198" s="9"/>
      <c r="C198" s="9"/>
      <c r="D198" s="10"/>
      <c r="E198" s="10"/>
      <c r="F198" s="10"/>
      <c r="G198" s="10"/>
      <c r="H198" s="10"/>
      <c r="I198" s="10"/>
      <c r="J198" s="10"/>
      <c r="K198" s="11"/>
      <c r="L198" s="5"/>
      <c r="M198" s="11"/>
      <c r="N198" s="11"/>
      <c r="O198" s="11"/>
    </row>
    <row r="199" ht="15.75" customHeight="1">
      <c r="A199" s="8"/>
      <c r="B199" s="9"/>
      <c r="C199" s="9"/>
      <c r="D199" s="10"/>
      <c r="E199" s="10"/>
      <c r="F199" s="10"/>
      <c r="G199" s="10"/>
      <c r="H199" s="10"/>
      <c r="I199" s="10"/>
      <c r="J199" s="10"/>
      <c r="K199" s="23"/>
      <c r="L199" s="5"/>
      <c r="M199" s="11"/>
      <c r="N199" s="11"/>
      <c r="O199" s="11"/>
    </row>
    <row r="200" ht="15.75" customHeight="1">
      <c r="A200" s="8"/>
      <c r="B200" s="9"/>
      <c r="C200" s="9"/>
      <c r="D200" s="10"/>
      <c r="E200" s="10"/>
      <c r="F200" s="10"/>
      <c r="G200" s="10"/>
      <c r="H200" s="10"/>
      <c r="I200" s="10"/>
      <c r="J200" s="10"/>
      <c r="K200" s="23"/>
      <c r="L200" s="5"/>
      <c r="M200" s="11"/>
      <c r="N200" s="11"/>
      <c r="O200" s="11"/>
    </row>
    <row r="201" ht="15.75" customHeight="1">
      <c r="A201" s="8"/>
      <c r="B201" s="9"/>
      <c r="C201" s="9"/>
      <c r="D201" s="10"/>
      <c r="E201" s="10"/>
      <c r="F201" s="10"/>
      <c r="G201" s="10"/>
      <c r="H201" s="10"/>
      <c r="I201" s="10"/>
      <c r="J201" s="10"/>
      <c r="K201" s="23"/>
      <c r="L201" s="5"/>
      <c r="M201" s="11"/>
      <c r="N201" s="11"/>
      <c r="O201" s="11"/>
    </row>
    <row r="202" ht="15.75" customHeight="1">
      <c r="A202" s="8"/>
      <c r="B202" s="9"/>
      <c r="C202" s="9"/>
      <c r="D202" s="10"/>
      <c r="E202" s="10"/>
      <c r="F202" s="10"/>
      <c r="G202" s="10"/>
      <c r="H202" s="10"/>
      <c r="I202" s="10"/>
      <c r="J202" s="10"/>
      <c r="K202" s="23"/>
      <c r="L202" s="5"/>
      <c r="M202" s="11"/>
      <c r="N202" s="25"/>
      <c r="O202" s="11"/>
    </row>
    <row r="203" ht="15.75" customHeight="1">
      <c r="A203" s="8"/>
      <c r="B203" s="9"/>
      <c r="C203" s="9"/>
      <c r="D203" s="10"/>
      <c r="E203" s="10"/>
      <c r="F203" s="10"/>
      <c r="G203" s="10"/>
      <c r="H203" s="10"/>
      <c r="I203" s="10"/>
      <c r="J203" s="10"/>
      <c r="K203" s="23"/>
      <c r="L203" s="5"/>
      <c r="M203" s="11"/>
      <c r="N203" s="25"/>
      <c r="O203" s="11"/>
    </row>
    <row r="204" ht="15.75" customHeight="1">
      <c r="A204" s="8"/>
      <c r="B204" s="9"/>
      <c r="C204" s="9"/>
      <c r="D204" s="10"/>
      <c r="E204" s="10"/>
      <c r="F204" s="10"/>
      <c r="G204" s="10"/>
      <c r="H204" s="10"/>
      <c r="I204" s="10"/>
      <c r="J204" s="10"/>
      <c r="K204" s="23"/>
      <c r="L204" s="5"/>
      <c r="M204" s="11"/>
      <c r="N204" s="11"/>
      <c r="O204" s="11"/>
    </row>
    <row r="205" ht="15.75" customHeight="1">
      <c r="A205" s="8"/>
      <c r="B205" s="9"/>
      <c r="C205" s="9"/>
      <c r="D205" s="10"/>
      <c r="E205" s="10"/>
      <c r="F205" s="10"/>
      <c r="G205" s="10"/>
      <c r="H205" s="10"/>
      <c r="I205" s="10"/>
      <c r="J205" s="10"/>
      <c r="K205" s="23"/>
      <c r="L205" s="5"/>
      <c r="M205" s="11"/>
      <c r="N205" s="11"/>
      <c r="O205" s="11"/>
    </row>
    <row r="206" ht="15.75" customHeight="1">
      <c r="A206" s="8"/>
      <c r="B206" s="9"/>
      <c r="C206" s="9"/>
      <c r="D206" s="10"/>
      <c r="E206" s="10"/>
      <c r="F206" s="10"/>
      <c r="G206" s="10"/>
      <c r="H206" s="10"/>
      <c r="I206" s="10"/>
      <c r="J206" s="10"/>
      <c r="K206" s="23"/>
      <c r="L206" s="5"/>
      <c r="M206" s="11"/>
      <c r="N206" s="11"/>
      <c r="O206" s="11"/>
    </row>
    <row r="207" ht="15.75" customHeight="1">
      <c r="A207" s="8"/>
      <c r="B207" s="9"/>
      <c r="C207" s="9"/>
      <c r="D207" s="10"/>
      <c r="E207" s="10"/>
      <c r="F207" s="10"/>
      <c r="G207" s="10"/>
      <c r="H207" s="10"/>
      <c r="I207" s="10"/>
      <c r="J207" s="10"/>
      <c r="K207" s="23"/>
      <c r="L207" s="5"/>
      <c r="M207" s="11"/>
      <c r="N207" s="11"/>
      <c r="O207" s="11"/>
    </row>
    <row r="208" ht="15.75" customHeight="1">
      <c r="A208" s="8"/>
      <c r="B208" s="9"/>
      <c r="C208" s="9"/>
      <c r="D208" s="10"/>
      <c r="E208" s="10"/>
      <c r="F208" s="10"/>
      <c r="G208" s="10"/>
      <c r="H208" s="10"/>
      <c r="I208" s="10"/>
      <c r="J208" s="10"/>
      <c r="K208" s="23"/>
      <c r="L208" s="5"/>
      <c r="M208" s="11"/>
      <c r="N208" s="11"/>
      <c r="O208" s="11"/>
    </row>
    <row r="209" ht="15.75" customHeight="1">
      <c r="A209" s="8"/>
      <c r="B209" s="9"/>
      <c r="C209" s="9"/>
      <c r="D209" s="10"/>
      <c r="E209" s="10"/>
      <c r="F209" s="10"/>
      <c r="G209" s="10"/>
      <c r="H209" s="10"/>
      <c r="I209" s="10"/>
      <c r="J209" s="10"/>
      <c r="K209" s="23"/>
      <c r="L209" s="5"/>
      <c r="M209" s="11"/>
      <c r="N209" s="11"/>
      <c r="O209" s="11"/>
    </row>
    <row r="210" ht="15.75" customHeight="1">
      <c r="A210" s="8"/>
      <c r="B210" s="9"/>
      <c r="C210" s="9"/>
      <c r="D210" s="10"/>
      <c r="E210" s="10"/>
      <c r="F210" s="10"/>
      <c r="G210" s="10"/>
      <c r="H210" s="10"/>
      <c r="I210" s="10"/>
      <c r="J210" s="10"/>
      <c r="K210" s="23"/>
      <c r="L210" s="5"/>
      <c r="M210" s="11"/>
      <c r="N210" s="11"/>
      <c r="O210" s="11"/>
    </row>
    <row r="211" ht="15.75" customHeight="1">
      <c r="A211" s="8"/>
      <c r="B211" s="9"/>
      <c r="C211" s="9"/>
      <c r="D211" s="10"/>
      <c r="E211" s="10"/>
      <c r="F211" s="10"/>
      <c r="G211" s="10"/>
      <c r="H211" s="10"/>
      <c r="I211" s="10"/>
      <c r="J211" s="10"/>
      <c r="K211" s="23"/>
      <c r="L211" s="5"/>
      <c r="M211" s="11"/>
      <c r="N211" s="11"/>
      <c r="O211" s="11"/>
    </row>
    <row r="212" ht="15.75" customHeight="1">
      <c r="A212" s="8"/>
      <c r="B212" s="9"/>
      <c r="C212" s="9"/>
      <c r="D212" s="10"/>
      <c r="E212" s="10"/>
      <c r="F212" s="10"/>
      <c r="G212" s="10"/>
      <c r="H212" s="10"/>
      <c r="I212" s="10"/>
      <c r="J212" s="10"/>
      <c r="K212" s="23"/>
      <c r="L212" s="5"/>
      <c r="M212" s="11"/>
      <c r="N212" s="11"/>
      <c r="O212" s="11"/>
    </row>
    <row r="213" ht="15.75" customHeight="1">
      <c r="A213" s="8"/>
      <c r="B213" s="9"/>
      <c r="C213" s="9"/>
      <c r="D213" s="10"/>
      <c r="E213" s="10"/>
      <c r="F213" s="10"/>
      <c r="G213" s="10"/>
      <c r="H213" s="10"/>
      <c r="I213" s="10"/>
      <c r="J213" s="10"/>
      <c r="K213" s="23"/>
      <c r="L213" s="5"/>
      <c r="M213" s="11"/>
      <c r="N213" s="11"/>
      <c r="O213" s="11"/>
    </row>
    <row r="214" ht="15.75" customHeight="1">
      <c r="A214" s="8"/>
      <c r="B214" s="9"/>
      <c r="C214" s="9"/>
      <c r="D214" s="10"/>
      <c r="E214" s="10"/>
      <c r="F214" s="10"/>
      <c r="G214" s="10"/>
      <c r="H214" s="10"/>
      <c r="I214" s="10"/>
      <c r="J214" s="10"/>
      <c r="K214" s="23"/>
      <c r="L214" s="5"/>
      <c r="M214" s="11"/>
      <c r="N214" s="11"/>
      <c r="O214" s="11"/>
    </row>
    <row r="215" ht="15.75" customHeight="1">
      <c r="A215" s="8"/>
      <c r="B215" s="9"/>
      <c r="C215" s="9"/>
      <c r="D215" s="10"/>
      <c r="E215" s="10"/>
      <c r="F215" s="10"/>
      <c r="G215" s="10"/>
      <c r="H215" s="10"/>
      <c r="I215" s="10"/>
      <c r="J215" s="10"/>
      <c r="K215" s="23"/>
      <c r="L215" s="5"/>
      <c r="M215" s="11"/>
      <c r="N215" s="11"/>
      <c r="O215" s="11"/>
    </row>
    <row r="216" ht="15.75" customHeight="1">
      <c r="A216" s="8"/>
      <c r="B216" s="9"/>
      <c r="C216" s="9"/>
      <c r="D216" s="10"/>
      <c r="E216" s="10"/>
      <c r="F216" s="10"/>
      <c r="G216" s="10"/>
      <c r="H216" s="10"/>
      <c r="I216" s="10"/>
      <c r="J216" s="10"/>
      <c r="K216" s="23"/>
      <c r="L216" s="5"/>
      <c r="M216" s="11"/>
      <c r="N216" s="11"/>
      <c r="O216" s="11"/>
    </row>
    <row r="217" ht="15.75" customHeight="1">
      <c r="A217" s="8"/>
      <c r="B217" s="9"/>
      <c r="C217" s="9"/>
      <c r="D217" s="10"/>
      <c r="E217" s="10"/>
      <c r="F217" s="10"/>
      <c r="G217" s="10"/>
      <c r="H217" s="10"/>
      <c r="I217" s="10"/>
      <c r="J217" s="10"/>
      <c r="K217" s="23"/>
      <c r="L217" s="5"/>
      <c r="M217" s="11"/>
      <c r="N217" s="11"/>
      <c r="O217" s="11"/>
    </row>
    <row r="218" ht="15.75" customHeight="1">
      <c r="A218" s="8"/>
      <c r="B218" s="9"/>
      <c r="C218" s="9"/>
      <c r="D218" s="10"/>
      <c r="E218" s="10"/>
      <c r="F218" s="10"/>
      <c r="G218" s="10"/>
      <c r="H218" s="10"/>
      <c r="I218" s="10"/>
      <c r="J218" s="10"/>
      <c r="K218" s="23"/>
      <c r="L218" s="5"/>
      <c r="M218" s="11"/>
      <c r="N218" s="11"/>
      <c r="O218" s="11"/>
    </row>
    <row r="219" ht="15.75" customHeight="1">
      <c r="A219" s="8"/>
      <c r="B219" s="9"/>
      <c r="C219" s="9"/>
      <c r="D219" s="10"/>
      <c r="E219" s="10"/>
      <c r="F219" s="10"/>
      <c r="G219" s="10"/>
      <c r="H219" s="10"/>
      <c r="I219" s="10"/>
      <c r="J219" s="10"/>
      <c r="K219" s="23"/>
      <c r="L219" s="5"/>
      <c r="M219" s="11"/>
      <c r="N219" s="11"/>
      <c r="O219" s="11"/>
    </row>
    <row r="220" ht="15.75" customHeight="1">
      <c r="A220" s="8"/>
      <c r="B220" s="9"/>
      <c r="C220" s="9"/>
      <c r="D220" s="10"/>
      <c r="E220" s="10"/>
      <c r="F220" s="10"/>
      <c r="G220" s="10"/>
      <c r="H220" s="10"/>
      <c r="I220" s="10"/>
      <c r="J220" s="10"/>
      <c r="K220" s="23"/>
      <c r="L220" s="5"/>
      <c r="M220" s="11"/>
      <c r="N220" s="11"/>
      <c r="O220" s="11"/>
    </row>
    <row r="221" ht="15.75" customHeight="1">
      <c r="A221" s="8"/>
      <c r="B221" s="9"/>
      <c r="C221" s="9"/>
      <c r="D221" s="10"/>
      <c r="E221" s="10"/>
      <c r="F221" s="10"/>
      <c r="G221" s="10"/>
      <c r="H221" s="10"/>
      <c r="I221" s="10"/>
      <c r="J221" s="10"/>
      <c r="K221" s="23"/>
      <c r="L221" s="5"/>
      <c r="M221" s="11"/>
      <c r="N221" s="11"/>
      <c r="O221" s="11"/>
    </row>
    <row r="222" ht="15.75" customHeight="1">
      <c r="A222" s="8"/>
      <c r="B222" s="9"/>
      <c r="C222" s="9"/>
      <c r="D222" s="10"/>
      <c r="E222" s="10"/>
      <c r="F222" s="10"/>
      <c r="G222" s="10"/>
      <c r="H222" s="10"/>
      <c r="I222" s="10"/>
      <c r="J222" s="10"/>
      <c r="K222" s="23"/>
      <c r="L222" s="5"/>
      <c r="M222" s="11"/>
      <c r="N222" s="11"/>
      <c r="O222" s="11"/>
    </row>
    <row r="223" ht="15.75" customHeight="1">
      <c r="A223" s="8"/>
      <c r="B223" s="9"/>
      <c r="C223" s="9"/>
      <c r="D223" s="10"/>
      <c r="E223" s="10"/>
      <c r="F223" s="10"/>
      <c r="G223" s="10"/>
      <c r="H223" s="10"/>
      <c r="I223" s="10"/>
      <c r="J223" s="10"/>
      <c r="K223" s="23"/>
      <c r="L223" s="5"/>
      <c r="M223" s="11"/>
      <c r="N223" s="11"/>
      <c r="O223" s="11"/>
    </row>
    <row r="224" ht="15.75" customHeight="1">
      <c r="D224" s="27"/>
      <c r="E224" s="27"/>
      <c r="F224" s="27"/>
      <c r="G224" s="27"/>
      <c r="H224" s="27"/>
      <c r="I224" s="27"/>
      <c r="J224" s="27"/>
      <c r="L224" s="27"/>
    </row>
    <row r="225" ht="15.75" customHeight="1">
      <c r="D225" s="27"/>
      <c r="E225" s="27"/>
      <c r="F225" s="27"/>
      <c r="G225" s="27"/>
      <c r="H225" s="27"/>
      <c r="I225" s="27"/>
      <c r="J225" s="27"/>
      <c r="L225" s="27"/>
    </row>
    <row r="226" ht="15.75" customHeight="1">
      <c r="D226" s="27"/>
      <c r="E226" s="27"/>
      <c r="F226" s="27"/>
      <c r="G226" s="27"/>
      <c r="H226" s="27"/>
      <c r="I226" s="27"/>
      <c r="J226" s="27"/>
      <c r="L226" s="27"/>
    </row>
    <row r="227" ht="15.75" customHeight="1">
      <c r="D227" s="27"/>
      <c r="E227" s="27"/>
      <c r="F227" s="27"/>
      <c r="G227" s="27"/>
      <c r="H227" s="27"/>
      <c r="I227" s="27"/>
      <c r="J227" s="27"/>
      <c r="L227" s="27"/>
    </row>
    <row r="228" ht="15.75" customHeight="1">
      <c r="D228" s="27"/>
      <c r="E228" s="27"/>
      <c r="F228" s="27"/>
      <c r="G228" s="27"/>
      <c r="H228" s="27"/>
      <c r="I228" s="27"/>
      <c r="J228" s="27"/>
      <c r="L228" s="27"/>
    </row>
    <row r="229" ht="15.75" customHeight="1">
      <c r="D229" s="27"/>
      <c r="E229" s="27"/>
      <c r="F229" s="27"/>
      <c r="G229" s="27"/>
      <c r="H229" s="27"/>
      <c r="I229" s="27"/>
      <c r="J229" s="27"/>
      <c r="L229" s="27"/>
    </row>
    <row r="230" ht="15.75" customHeight="1">
      <c r="D230" s="27"/>
      <c r="E230" s="27"/>
      <c r="F230" s="27"/>
      <c r="G230" s="27"/>
      <c r="H230" s="27"/>
      <c r="I230" s="27"/>
      <c r="J230" s="27"/>
      <c r="L230" s="27"/>
    </row>
    <row r="231" ht="15.75" customHeight="1">
      <c r="D231" s="27"/>
      <c r="E231" s="27"/>
      <c r="F231" s="27"/>
      <c r="G231" s="27"/>
      <c r="H231" s="27"/>
      <c r="I231" s="27"/>
      <c r="J231" s="27"/>
      <c r="L231" s="27"/>
    </row>
    <row r="232" ht="15.75" customHeight="1">
      <c r="D232" s="27"/>
      <c r="E232" s="27"/>
      <c r="F232" s="27"/>
      <c r="G232" s="27"/>
      <c r="H232" s="27"/>
      <c r="I232" s="27"/>
      <c r="J232" s="27"/>
      <c r="L232" s="27"/>
    </row>
    <row r="233" ht="15.75" customHeight="1">
      <c r="D233" s="27"/>
      <c r="E233" s="27"/>
      <c r="F233" s="27"/>
      <c r="G233" s="27"/>
      <c r="H233" s="27"/>
      <c r="I233" s="27"/>
      <c r="J233" s="27"/>
      <c r="L233" s="27"/>
    </row>
    <row r="234" ht="15.75" customHeight="1"/>
    <row r="235" ht="15.75" customHeight="1">
      <c r="D235" s="27"/>
      <c r="E235" s="27"/>
      <c r="F235" s="27"/>
      <c r="G235" s="27"/>
      <c r="H235" s="27"/>
      <c r="I235" s="27"/>
      <c r="J235" s="27"/>
      <c r="L235" s="27"/>
    </row>
    <row r="236" ht="15.75" customHeight="1">
      <c r="D236" s="27"/>
      <c r="E236" s="27"/>
      <c r="F236" s="27"/>
      <c r="G236" s="27"/>
      <c r="H236" s="27"/>
      <c r="I236" s="27"/>
      <c r="J236" s="27"/>
      <c r="L236" s="27"/>
    </row>
    <row r="237" ht="15.75" customHeight="1">
      <c r="D237" s="27"/>
      <c r="E237" s="27"/>
      <c r="F237" s="27"/>
      <c r="G237" s="27"/>
      <c r="H237" s="27"/>
      <c r="I237" s="27"/>
      <c r="J237" s="27"/>
      <c r="L237" s="27"/>
    </row>
    <row r="238" ht="15.75" customHeight="1">
      <c r="D238" s="27"/>
      <c r="E238" s="27"/>
      <c r="F238" s="27"/>
      <c r="G238" s="27"/>
      <c r="H238" s="27"/>
      <c r="I238" s="27"/>
      <c r="J238" s="27"/>
      <c r="L238" s="27"/>
    </row>
    <row r="239" ht="15.75" customHeight="1">
      <c r="D239" s="27"/>
      <c r="E239" s="27"/>
      <c r="F239" s="27"/>
      <c r="G239" s="27"/>
      <c r="H239" s="27"/>
      <c r="I239" s="27"/>
      <c r="J239" s="27"/>
      <c r="L239" s="27"/>
    </row>
    <row r="240" ht="15.75" customHeight="1">
      <c r="D240" s="27"/>
      <c r="E240" s="27"/>
      <c r="F240" s="27"/>
      <c r="G240" s="27"/>
      <c r="H240" s="27"/>
      <c r="I240" s="27"/>
      <c r="J240" s="27"/>
      <c r="L240" s="27"/>
    </row>
    <row r="241" ht="15.75" customHeight="1">
      <c r="D241" s="27"/>
      <c r="E241" s="27"/>
      <c r="F241" s="27"/>
      <c r="G241" s="27"/>
      <c r="H241" s="27"/>
      <c r="I241" s="27"/>
      <c r="J241" s="27"/>
      <c r="L241" s="27"/>
    </row>
    <row r="242" ht="15.75" customHeight="1">
      <c r="D242" s="27"/>
      <c r="E242" s="27"/>
      <c r="F242" s="27"/>
      <c r="G242" s="27"/>
      <c r="H242" s="27"/>
      <c r="I242" s="27"/>
      <c r="J242" s="27"/>
      <c r="L242" s="27"/>
    </row>
    <row r="243" ht="15.75" customHeight="1">
      <c r="D243" s="27"/>
      <c r="E243" s="27"/>
      <c r="F243" s="27"/>
      <c r="G243" s="27"/>
      <c r="H243" s="27"/>
      <c r="I243" s="27"/>
      <c r="J243" s="27"/>
      <c r="L243" s="27"/>
    </row>
    <row r="244" ht="15.75" customHeight="1">
      <c r="D244" s="27"/>
      <c r="E244" s="27"/>
      <c r="F244" s="27"/>
      <c r="G244" s="27"/>
      <c r="H244" s="27"/>
      <c r="I244" s="27"/>
      <c r="J244" s="27"/>
      <c r="L244" s="27"/>
    </row>
    <row r="245" ht="15.75" customHeight="1">
      <c r="D245" s="27"/>
      <c r="E245" s="27"/>
      <c r="F245" s="27"/>
      <c r="G245" s="27"/>
      <c r="H245" s="27"/>
      <c r="I245" s="27"/>
      <c r="J245" s="27"/>
      <c r="L245" s="27"/>
    </row>
    <row r="246" ht="15.75" customHeight="1">
      <c r="D246" s="27"/>
      <c r="E246" s="27"/>
      <c r="F246" s="27"/>
      <c r="G246" s="27"/>
      <c r="H246" s="27"/>
      <c r="I246" s="27"/>
      <c r="J246" s="27"/>
      <c r="L246" s="27"/>
    </row>
    <row r="247" ht="15.75" customHeight="1">
      <c r="D247" s="27"/>
      <c r="E247" s="27"/>
      <c r="F247" s="27"/>
      <c r="G247" s="27"/>
      <c r="H247" s="27"/>
      <c r="I247" s="27"/>
      <c r="J247" s="27"/>
      <c r="L247" s="27"/>
    </row>
    <row r="248" ht="15.75" customHeight="1">
      <c r="D248" s="27"/>
      <c r="E248" s="27"/>
      <c r="F248" s="27"/>
      <c r="G248" s="27"/>
      <c r="H248" s="27"/>
      <c r="I248" s="27"/>
      <c r="J248" s="27"/>
      <c r="L248" s="27"/>
    </row>
    <row r="249" ht="15.75" customHeight="1">
      <c r="D249" s="27"/>
      <c r="E249" s="27"/>
      <c r="F249" s="27"/>
      <c r="G249" s="27"/>
      <c r="H249" s="27"/>
      <c r="I249" s="27"/>
      <c r="J249" s="27"/>
      <c r="L249" s="27"/>
    </row>
    <row r="250" ht="15.75" customHeight="1">
      <c r="D250" s="27"/>
      <c r="E250" s="27"/>
      <c r="F250" s="27"/>
      <c r="G250" s="27"/>
      <c r="H250" s="27"/>
      <c r="I250" s="27"/>
      <c r="J250" s="27"/>
      <c r="L250" s="27"/>
    </row>
    <row r="251" ht="15.75" customHeight="1">
      <c r="D251" s="27"/>
      <c r="E251" s="27"/>
      <c r="F251" s="27"/>
      <c r="G251" s="27"/>
      <c r="H251" s="27"/>
      <c r="I251" s="27"/>
      <c r="J251" s="27"/>
      <c r="L251" s="27"/>
    </row>
    <row r="252" ht="15.75" customHeight="1">
      <c r="D252" s="27"/>
      <c r="E252" s="27"/>
      <c r="F252" s="27"/>
      <c r="G252" s="27"/>
      <c r="H252" s="27"/>
      <c r="I252" s="27"/>
      <c r="J252" s="27"/>
      <c r="L252" s="27"/>
    </row>
    <row r="253" ht="15.75" customHeight="1">
      <c r="D253" s="27"/>
      <c r="E253" s="27"/>
      <c r="F253" s="27"/>
      <c r="G253" s="27"/>
      <c r="H253" s="27"/>
      <c r="I253" s="27"/>
      <c r="J253" s="27"/>
      <c r="L253" s="27"/>
    </row>
    <row r="254" ht="15.75" customHeight="1">
      <c r="D254" s="27"/>
      <c r="E254" s="27"/>
      <c r="F254" s="27"/>
      <c r="G254" s="27"/>
      <c r="H254" s="27"/>
      <c r="I254" s="27"/>
      <c r="J254" s="27"/>
      <c r="L254" s="27"/>
    </row>
    <row r="255" ht="15.75" customHeight="1">
      <c r="D255" s="27"/>
      <c r="E255" s="27"/>
      <c r="F255" s="27"/>
      <c r="G255" s="27"/>
      <c r="H255" s="27"/>
      <c r="I255" s="27"/>
      <c r="J255" s="27"/>
      <c r="L255" s="27"/>
    </row>
    <row r="256" ht="15.75" customHeight="1">
      <c r="D256" s="27"/>
      <c r="E256" s="27"/>
      <c r="F256" s="27"/>
      <c r="G256" s="27"/>
      <c r="H256" s="27"/>
      <c r="I256" s="27"/>
      <c r="J256" s="27"/>
      <c r="L256" s="27"/>
    </row>
    <row r="257" ht="15.75" customHeight="1">
      <c r="D257" s="27"/>
      <c r="E257" s="27"/>
      <c r="F257" s="27"/>
      <c r="G257" s="27"/>
      <c r="H257" s="27"/>
      <c r="I257" s="27"/>
      <c r="J257" s="27"/>
      <c r="L257" s="27"/>
    </row>
    <row r="258" ht="15.75" customHeight="1"/>
    <row r="259" ht="15.75" customHeight="1">
      <c r="D259" s="27"/>
      <c r="E259" s="27"/>
      <c r="F259" s="27"/>
      <c r="G259" s="27"/>
      <c r="H259" s="27"/>
      <c r="I259" s="27"/>
      <c r="J259" s="27"/>
      <c r="L259" s="27"/>
    </row>
    <row r="260" ht="15.75" customHeight="1">
      <c r="D260" s="27"/>
      <c r="E260" s="27"/>
      <c r="F260" s="27"/>
      <c r="G260" s="27"/>
      <c r="H260" s="27"/>
      <c r="I260" s="27"/>
      <c r="J260" s="27"/>
      <c r="L260" s="27"/>
    </row>
    <row r="261" ht="15.75" customHeight="1">
      <c r="D261" s="27"/>
      <c r="E261" s="27"/>
      <c r="F261" s="27"/>
      <c r="G261" s="27"/>
      <c r="H261" s="27"/>
      <c r="I261" s="27"/>
      <c r="J261" s="27"/>
      <c r="L261" s="27"/>
    </row>
    <row r="262" ht="15.75" customHeight="1">
      <c r="D262" s="27"/>
      <c r="E262" s="27"/>
      <c r="F262" s="27"/>
      <c r="G262" s="27"/>
      <c r="H262" s="27"/>
      <c r="I262" s="27"/>
      <c r="J262" s="27"/>
      <c r="L262" s="27"/>
    </row>
    <row r="263" ht="15.75" customHeight="1">
      <c r="D263" s="27"/>
      <c r="E263" s="27"/>
      <c r="F263" s="27"/>
      <c r="G263" s="27"/>
      <c r="H263" s="27"/>
      <c r="I263" s="27"/>
      <c r="J263" s="27"/>
      <c r="L263" s="27"/>
    </row>
    <row r="264" ht="15.75" customHeight="1">
      <c r="D264" s="27"/>
      <c r="E264" s="27"/>
      <c r="F264" s="27"/>
      <c r="G264" s="27"/>
      <c r="H264" s="27"/>
      <c r="I264" s="27"/>
      <c r="J264" s="27"/>
      <c r="L264" s="27"/>
    </row>
    <row r="265" ht="15.75" customHeight="1">
      <c r="D265" s="27"/>
      <c r="E265" s="27"/>
      <c r="F265" s="27"/>
      <c r="G265" s="27"/>
      <c r="H265" s="27"/>
      <c r="I265" s="27"/>
      <c r="J265" s="27"/>
      <c r="L265" s="27"/>
    </row>
    <row r="266" ht="15.75" customHeight="1">
      <c r="D266" s="27"/>
      <c r="E266" s="27"/>
      <c r="F266" s="27"/>
      <c r="G266" s="27"/>
      <c r="H266" s="27"/>
      <c r="I266" s="27"/>
      <c r="J266" s="27"/>
      <c r="L266" s="27"/>
    </row>
    <row r="267" ht="15.75" customHeight="1">
      <c r="D267" s="27"/>
      <c r="E267" s="27"/>
      <c r="F267" s="27"/>
      <c r="G267" s="27"/>
      <c r="H267" s="27"/>
      <c r="I267" s="27"/>
      <c r="J267" s="27"/>
      <c r="L267" s="27"/>
    </row>
    <row r="268" ht="15.75" customHeight="1">
      <c r="D268" s="27"/>
      <c r="E268" s="27"/>
      <c r="F268" s="27"/>
      <c r="G268" s="27"/>
      <c r="H268" s="27"/>
      <c r="I268" s="27"/>
      <c r="J268" s="27"/>
      <c r="L268" s="27"/>
    </row>
    <row r="269" ht="15.75" customHeight="1">
      <c r="D269" s="27"/>
      <c r="E269" s="27"/>
      <c r="F269" s="27"/>
      <c r="G269" s="27"/>
      <c r="H269" s="27"/>
      <c r="I269" s="27"/>
      <c r="J269" s="27"/>
      <c r="L269" s="27"/>
    </row>
    <row r="270" ht="15.75" customHeight="1">
      <c r="D270" s="27"/>
      <c r="E270" s="27"/>
      <c r="F270" s="27"/>
      <c r="G270" s="27"/>
      <c r="H270" s="27"/>
      <c r="I270" s="27"/>
      <c r="J270" s="27"/>
      <c r="L270" s="27"/>
    </row>
    <row r="271" ht="15.75" customHeight="1">
      <c r="D271" s="27"/>
      <c r="E271" s="27"/>
      <c r="F271" s="27"/>
      <c r="G271" s="27"/>
      <c r="H271" s="27"/>
      <c r="I271" s="27"/>
      <c r="J271" s="27"/>
      <c r="L271" s="27"/>
    </row>
    <row r="272" ht="15.75" customHeight="1">
      <c r="D272" s="27"/>
      <c r="E272" s="27"/>
      <c r="F272" s="27"/>
      <c r="G272" s="27"/>
      <c r="H272" s="27"/>
      <c r="I272" s="27"/>
      <c r="J272" s="27"/>
      <c r="L272" s="27"/>
    </row>
    <row r="273" ht="15.75" customHeight="1">
      <c r="D273" s="27"/>
      <c r="E273" s="27"/>
      <c r="F273" s="27"/>
      <c r="G273" s="27"/>
      <c r="H273" s="27"/>
      <c r="I273" s="27"/>
      <c r="J273" s="27"/>
      <c r="L273" s="27"/>
    </row>
    <row r="274" ht="15.75" customHeight="1">
      <c r="D274" s="27"/>
      <c r="E274" s="27"/>
      <c r="F274" s="27"/>
      <c r="G274" s="27"/>
      <c r="H274" s="27"/>
      <c r="I274" s="27"/>
      <c r="J274" s="27"/>
      <c r="L274" s="27"/>
    </row>
    <row r="275" ht="15.75" customHeight="1">
      <c r="D275" s="27"/>
      <c r="E275" s="27"/>
      <c r="F275" s="27"/>
      <c r="G275" s="27"/>
      <c r="H275" s="27"/>
      <c r="I275" s="27"/>
      <c r="J275" s="27"/>
      <c r="L275" s="27"/>
    </row>
    <row r="276" ht="15.75" customHeight="1">
      <c r="D276" s="27"/>
      <c r="E276" s="27"/>
      <c r="F276" s="27"/>
      <c r="G276" s="27"/>
      <c r="H276" s="27"/>
      <c r="I276" s="27"/>
      <c r="J276" s="27"/>
      <c r="L276" s="27"/>
    </row>
    <row r="277" ht="15.75" customHeight="1">
      <c r="D277" s="27"/>
      <c r="E277" s="27"/>
      <c r="F277" s="27"/>
      <c r="G277" s="27"/>
      <c r="H277" s="27"/>
      <c r="I277" s="27"/>
      <c r="J277" s="27"/>
      <c r="L277" s="27"/>
    </row>
    <row r="278" ht="15.75" customHeight="1"/>
    <row r="279" ht="15.75" customHeight="1">
      <c r="D279" s="27"/>
      <c r="E279" s="27"/>
      <c r="F279" s="27"/>
      <c r="G279" s="27"/>
      <c r="H279" s="27"/>
      <c r="I279" s="27"/>
      <c r="J279" s="27"/>
      <c r="L279" s="27"/>
    </row>
    <row r="280" ht="15.75" customHeight="1">
      <c r="D280" s="27"/>
      <c r="E280" s="27"/>
      <c r="F280" s="27"/>
      <c r="G280" s="27"/>
      <c r="H280" s="27"/>
      <c r="I280" s="27"/>
      <c r="J280" s="27"/>
      <c r="L280" s="27"/>
    </row>
    <row r="281" ht="15.75" customHeight="1">
      <c r="D281" s="27"/>
      <c r="E281" s="27"/>
      <c r="F281" s="27"/>
      <c r="G281" s="27"/>
      <c r="H281" s="27"/>
      <c r="I281" s="27"/>
      <c r="J281" s="27"/>
      <c r="L281" s="27"/>
    </row>
    <row r="282" ht="15.75" customHeight="1">
      <c r="D282" s="27"/>
      <c r="E282" s="27"/>
      <c r="F282" s="27"/>
      <c r="G282" s="27"/>
      <c r="H282" s="27"/>
      <c r="I282" s="27"/>
      <c r="J282" s="27"/>
      <c r="L282" s="27"/>
    </row>
    <row r="283" ht="15.75" customHeight="1">
      <c r="D283" s="27"/>
      <c r="E283" s="27"/>
      <c r="F283" s="27"/>
      <c r="G283" s="27"/>
      <c r="H283" s="27"/>
      <c r="I283" s="27"/>
      <c r="J283" s="27"/>
      <c r="L283" s="27"/>
    </row>
    <row r="284" ht="15.75" customHeight="1">
      <c r="D284" s="27"/>
      <c r="E284" s="27"/>
      <c r="F284" s="27"/>
      <c r="G284" s="27"/>
      <c r="H284" s="27"/>
      <c r="I284" s="27"/>
      <c r="J284" s="27"/>
      <c r="L284" s="27"/>
    </row>
    <row r="285" ht="15.75" customHeight="1">
      <c r="D285" s="27"/>
      <c r="E285" s="27"/>
      <c r="F285" s="27"/>
      <c r="G285" s="27"/>
      <c r="H285" s="27"/>
      <c r="I285" s="27"/>
      <c r="J285" s="27"/>
      <c r="L285" s="27"/>
    </row>
    <row r="286" ht="15.75" customHeight="1">
      <c r="D286" s="27"/>
      <c r="E286" s="27"/>
      <c r="F286" s="27"/>
      <c r="G286" s="27"/>
      <c r="H286" s="27"/>
      <c r="I286" s="27"/>
      <c r="J286" s="27"/>
      <c r="L286" s="27"/>
    </row>
    <row r="287" ht="15.75" customHeight="1">
      <c r="D287" s="27"/>
      <c r="E287" s="27"/>
      <c r="F287" s="27"/>
      <c r="G287" s="27"/>
      <c r="H287" s="27"/>
      <c r="I287" s="27"/>
      <c r="J287" s="27"/>
      <c r="L287" s="27"/>
    </row>
    <row r="288" ht="15.75" customHeight="1">
      <c r="D288" s="27"/>
      <c r="E288" s="27"/>
      <c r="F288" s="27"/>
      <c r="G288" s="27"/>
      <c r="H288" s="27"/>
      <c r="I288" s="27"/>
      <c r="J288" s="27"/>
      <c r="L288" s="27"/>
    </row>
    <row r="289" ht="15.75" customHeight="1">
      <c r="D289" s="27"/>
      <c r="E289" s="27"/>
      <c r="F289" s="27"/>
      <c r="G289" s="27"/>
      <c r="H289" s="27"/>
      <c r="I289" s="27"/>
      <c r="J289" s="27"/>
      <c r="L289" s="27"/>
    </row>
    <row r="290" ht="15.75" customHeight="1">
      <c r="D290" s="27"/>
      <c r="E290" s="27"/>
      <c r="F290" s="27"/>
      <c r="G290" s="27"/>
      <c r="H290" s="27"/>
      <c r="I290" s="27"/>
      <c r="J290" s="27"/>
      <c r="L290" s="27"/>
    </row>
    <row r="291" ht="15.75" customHeight="1">
      <c r="D291" s="27"/>
      <c r="E291" s="27"/>
      <c r="F291" s="27"/>
      <c r="G291" s="27"/>
      <c r="H291" s="27"/>
      <c r="I291" s="27"/>
      <c r="J291" s="27"/>
      <c r="L291" s="27"/>
    </row>
    <row r="292" ht="15.75" customHeight="1">
      <c r="D292" s="27"/>
      <c r="E292" s="27"/>
      <c r="F292" s="27"/>
      <c r="G292" s="27"/>
      <c r="H292" s="27"/>
      <c r="I292" s="27"/>
      <c r="J292" s="27"/>
      <c r="L292" s="27"/>
    </row>
    <row r="293" ht="15.75" customHeight="1">
      <c r="D293" s="27"/>
      <c r="E293" s="27"/>
      <c r="F293" s="27"/>
      <c r="G293" s="27"/>
      <c r="H293" s="27"/>
      <c r="I293" s="27"/>
      <c r="J293" s="27"/>
      <c r="L293" s="27"/>
    </row>
    <row r="294" ht="15.75" customHeight="1">
      <c r="D294" s="27"/>
      <c r="E294" s="27"/>
      <c r="F294" s="27"/>
      <c r="G294" s="27"/>
      <c r="H294" s="27"/>
      <c r="I294" s="27"/>
      <c r="J294" s="27"/>
      <c r="L294" s="27"/>
    </row>
    <row r="295" ht="15.75" customHeight="1">
      <c r="D295" s="27"/>
      <c r="E295" s="27"/>
      <c r="F295" s="27"/>
      <c r="G295" s="27"/>
      <c r="H295" s="27"/>
      <c r="I295" s="27"/>
      <c r="J295" s="27"/>
      <c r="L295" s="27"/>
    </row>
    <row r="296" ht="15.75" customHeight="1">
      <c r="D296" s="27"/>
      <c r="E296" s="27"/>
      <c r="F296" s="27"/>
      <c r="G296" s="27"/>
      <c r="H296" s="27"/>
      <c r="I296" s="27"/>
      <c r="J296" s="27"/>
      <c r="L296" s="27"/>
    </row>
    <row r="297" ht="15.75" customHeight="1">
      <c r="D297" s="27"/>
      <c r="E297" s="27"/>
      <c r="F297" s="27"/>
      <c r="G297" s="27"/>
      <c r="H297" s="27"/>
      <c r="I297" s="27"/>
      <c r="J297" s="27"/>
      <c r="L297" s="27"/>
    </row>
    <row r="298" ht="15.75" customHeight="1">
      <c r="D298" s="27"/>
      <c r="E298" s="27"/>
      <c r="F298" s="27"/>
      <c r="G298" s="27"/>
      <c r="H298" s="27"/>
      <c r="I298" s="27"/>
      <c r="J298" s="27"/>
      <c r="L298" s="27"/>
    </row>
    <row r="299" ht="15.75" customHeight="1">
      <c r="D299" s="27"/>
      <c r="E299" s="27"/>
      <c r="F299" s="27"/>
      <c r="G299" s="27"/>
      <c r="H299" s="27"/>
      <c r="I299" s="27"/>
      <c r="J299" s="27"/>
      <c r="L299" s="27"/>
    </row>
    <row r="300" ht="15.75" customHeight="1">
      <c r="D300" s="27"/>
      <c r="E300" s="27"/>
      <c r="F300" s="27"/>
      <c r="G300" s="27"/>
      <c r="H300" s="27"/>
      <c r="I300" s="27"/>
      <c r="J300" s="27"/>
      <c r="L300" s="27"/>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L3:L65 L67:L233 L235:L257 L259:L277 L279:L300">
      <formula1>"In Progress,Delay with Client,Delay Resolved,High,Medium,Low,Awaiting Response,Completed,Temp. Hold"</formula1>
    </dataValidation>
    <dataValidation type="list" allowBlank="1" showErrorMessage="1" sqref="H3:H233 H235:H257 H259:H277 H279:H300">
      <formula1>"Updates Made,Cross Trained,Not Applicable"</formula1>
    </dataValidation>
    <dataValidation type="list" allowBlank="1" showErrorMessage="1" sqref="I3:I233 I235:I257 I259:I277 I279:I300">
      <formula1>"CL/PR Reviewed,Catch-Up Req."</formula1>
    </dataValidation>
    <dataValidation type="list" allowBlank="1" showErrorMessage="1" sqref="L66">
      <formula1>"In Progress,Delay with Client,Delay Resolved,High,Medium,Low,Awaiting Response,Completed,Temp. Hold,Posted query"</formula1>
    </dataValidation>
    <dataValidation type="list" allowBlank="1" showErrorMessage="1" sqref="D3:G233 J3:J233 D235:G257 J235:J257 D259:G277 J259:J277 D279:G300 J279:J300">
      <formula1>"Completed,Not Applicable,Inprocess"</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0"/>
    <col customWidth="1" min="2" max="2" width="9.75"/>
    <col customWidth="1" min="3" max="3" width="12.63"/>
    <col customWidth="1" min="4" max="4" width="113.13"/>
    <col customWidth="1" min="5" max="5" width="12.63"/>
    <col customWidth="1" min="6" max="6" width="56.0"/>
    <col customWidth="1" min="7" max="7" width="15.63"/>
  </cols>
  <sheetData>
    <row r="1" ht="15.75" customHeight="1">
      <c r="A1" s="91" t="s">
        <v>2614</v>
      </c>
      <c r="B1" s="92" t="s">
        <v>1021</v>
      </c>
      <c r="C1" s="92" t="s">
        <v>1023</v>
      </c>
      <c r="D1" s="93" t="s">
        <v>1026</v>
      </c>
      <c r="E1" s="92" t="s">
        <v>2615</v>
      </c>
      <c r="F1" s="92" t="s">
        <v>1027</v>
      </c>
      <c r="G1" s="94" t="s">
        <v>1029</v>
      </c>
      <c r="H1" s="95" t="s">
        <v>1030</v>
      </c>
    </row>
    <row r="2" ht="15.75" customHeight="1">
      <c r="A2" s="59">
        <v>1.0</v>
      </c>
      <c r="B2" s="58">
        <v>46070.0</v>
      </c>
      <c r="C2" s="59" t="s">
        <v>2616</v>
      </c>
      <c r="D2" s="60" t="s">
        <v>2617</v>
      </c>
      <c r="E2" s="59"/>
      <c r="F2" s="59"/>
      <c r="G2" s="59"/>
      <c r="H2" s="59"/>
    </row>
    <row r="3" ht="15.75" customHeight="1">
      <c r="A3" s="59">
        <v>2.0</v>
      </c>
      <c r="B3" s="58">
        <v>46071.0</v>
      </c>
      <c r="C3" s="59" t="s">
        <v>2616</v>
      </c>
      <c r="D3" s="60" t="s">
        <v>2618</v>
      </c>
      <c r="E3" s="59"/>
      <c r="F3" s="59"/>
      <c r="G3" s="59"/>
      <c r="H3" s="59"/>
    </row>
    <row r="4" ht="15.75" customHeight="1">
      <c r="A4" s="59">
        <v>3.0</v>
      </c>
      <c r="B4" s="58">
        <v>46086.0</v>
      </c>
      <c r="C4" s="59" t="s">
        <v>2616</v>
      </c>
      <c r="D4" s="60"/>
      <c r="E4" s="59"/>
      <c r="F4" s="59" t="s">
        <v>2619</v>
      </c>
      <c r="G4" s="59"/>
      <c r="H4" s="59"/>
    </row>
    <row r="5" ht="15.75" customHeight="1">
      <c r="A5" s="59">
        <v>4.0</v>
      </c>
      <c r="B5" s="58">
        <v>46088.0</v>
      </c>
      <c r="C5" s="59" t="s">
        <v>2616</v>
      </c>
      <c r="D5" s="60"/>
      <c r="E5" s="59"/>
      <c r="F5" s="59" t="s">
        <v>2620</v>
      </c>
      <c r="G5" s="59"/>
      <c r="H5" s="59"/>
    </row>
    <row r="6" ht="15.75" customHeight="1">
      <c r="A6" s="59"/>
      <c r="B6" s="58"/>
      <c r="C6" s="59"/>
      <c r="D6" s="60"/>
      <c r="E6" s="59"/>
      <c r="F6" s="59"/>
      <c r="G6" s="59"/>
      <c r="H6" s="59"/>
    </row>
    <row r="7" ht="15.75" customHeight="1">
      <c r="A7" s="59"/>
      <c r="B7" s="58"/>
      <c r="C7" s="59"/>
      <c r="D7" s="60"/>
      <c r="E7" s="59"/>
      <c r="F7" s="59"/>
      <c r="G7" s="59"/>
      <c r="H7" s="59"/>
    </row>
    <row r="8" ht="15.75" customHeight="1">
      <c r="A8" s="59"/>
      <c r="B8" s="58"/>
      <c r="C8" s="59"/>
      <c r="D8" s="60"/>
      <c r="E8" s="59"/>
      <c r="F8" s="59"/>
      <c r="G8" s="59"/>
      <c r="H8" s="59"/>
    </row>
    <row r="9" ht="15.75" customHeight="1">
      <c r="A9" s="59"/>
      <c r="B9" s="58"/>
      <c r="C9" s="59"/>
      <c r="D9" s="60"/>
      <c r="E9" s="59"/>
      <c r="F9" s="59"/>
      <c r="G9" s="59"/>
      <c r="H9" s="59"/>
    </row>
    <row r="10" ht="15.75" customHeight="1">
      <c r="A10" s="59"/>
      <c r="B10" s="58"/>
      <c r="C10" s="59"/>
      <c r="D10" s="60"/>
      <c r="E10" s="59"/>
      <c r="F10" s="59"/>
      <c r="G10" s="59"/>
      <c r="H10" s="59"/>
    </row>
    <row r="11" ht="15.75" customHeight="1">
      <c r="A11" s="59"/>
      <c r="B11" s="58"/>
      <c r="C11" s="59"/>
      <c r="D11" s="60"/>
      <c r="E11" s="59"/>
      <c r="F11" s="59"/>
      <c r="G11" s="59"/>
      <c r="H11" s="59"/>
    </row>
    <row r="12" ht="15.75" customHeight="1">
      <c r="A12" s="59"/>
      <c r="B12" s="58"/>
      <c r="C12" s="59"/>
      <c r="D12" s="60"/>
      <c r="E12" s="59"/>
      <c r="F12" s="59"/>
      <c r="G12" s="59"/>
      <c r="H12" s="59"/>
    </row>
    <row r="13" ht="15.75" customHeight="1">
      <c r="A13" s="59"/>
      <c r="B13" s="58"/>
      <c r="C13" s="59"/>
      <c r="D13" s="60"/>
      <c r="E13" s="59"/>
      <c r="F13" s="59"/>
      <c r="G13" s="59"/>
      <c r="H13" s="59"/>
    </row>
    <row r="14" ht="15.75" customHeight="1">
      <c r="A14" s="59"/>
      <c r="B14" s="58"/>
      <c r="C14" s="59"/>
      <c r="D14" s="60"/>
      <c r="E14" s="59"/>
      <c r="F14" s="59"/>
      <c r="G14" s="59"/>
      <c r="H14" s="59"/>
    </row>
    <row r="15" ht="15.75" customHeight="1">
      <c r="A15" s="59"/>
      <c r="B15" s="58"/>
      <c r="C15" s="59"/>
      <c r="D15" s="60"/>
      <c r="E15" s="59"/>
      <c r="F15" s="59"/>
      <c r="G15" s="59"/>
      <c r="H15" s="59"/>
    </row>
    <row r="16" ht="15.75" customHeight="1">
      <c r="A16" s="59"/>
      <c r="B16" s="58"/>
      <c r="C16" s="59"/>
      <c r="D16" s="60"/>
      <c r="E16" s="59"/>
      <c r="F16" s="59"/>
      <c r="G16" s="59"/>
      <c r="H16" s="59"/>
    </row>
    <row r="17" ht="15.75" customHeight="1">
      <c r="A17" s="59"/>
      <c r="B17" s="58"/>
      <c r="C17" s="59"/>
      <c r="D17" s="60"/>
      <c r="E17" s="59"/>
      <c r="F17" s="59"/>
      <c r="G17" s="59"/>
      <c r="H17" s="59"/>
    </row>
    <row r="18" ht="15.75" customHeight="1">
      <c r="A18" s="59"/>
      <c r="B18" s="58"/>
      <c r="C18" s="59"/>
      <c r="D18" s="60"/>
      <c r="E18" s="59"/>
      <c r="F18" s="59"/>
      <c r="G18" s="59"/>
      <c r="H18" s="59"/>
    </row>
    <row r="19" ht="15.75" customHeight="1">
      <c r="A19" s="59"/>
      <c r="B19" s="58"/>
      <c r="C19" s="59"/>
      <c r="D19" s="60"/>
      <c r="E19" s="59"/>
      <c r="F19" s="59"/>
      <c r="G19" s="59"/>
      <c r="H19" s="59"/>
    </row>
    <row r="20" ht="15.75" customHeight="1">
      <c r="A20" s="59"/>
      <c r="B20" s="58"/>
      <c r="C20" s="59"/>
      <c r="D20" s="60"/>
      <c r="E20" s="59"/>
      <c r="F20" s="59"/>
      <c r="G20" s="59"/>
      <c r="H20" s="59"/>
    </row>
    <row r="21" ht="15.75" customHeight="1">
      <c r="A21" s="59"/>
      <c r="B21" s="58"/>
      <c r="C21" s="59"/>
      <c r="D21" s="60"/>
      <c r="E21" s="59"/>
      <c r="F21" s="59"/>
      <c r="G21" s="59"/>
      <c r="H21" s="59"/>
    </row>
    <row r="22" ht="15.75" customHeight="1">
      <c r="A22" s="59"/>
      <c r="B22" s="58"/>
      <c r="C22" s="59"/>
      <c r="D22" s="60"/>
      <c r="E22" s="59"/>
      <c r="F22" s="59"/>
      <c r="G22" s="59"/>
      <c r="H22" s="59"/>
    </row>
    <row r="23" ht="15.75" customHeight="1">
      <c r="A23" s="59"/>
      <c r="B23" s="58"/>
      <c r="C23" s="59"/>
      <c r="D23" s="60"/>
      <c r="E23" s="59"/>
      <c r="F23" s="59"/>
      <c r="G23" s="59"/>
      <c r="H23" s="59"/>
    </row>
    <row r="24" ht="15.75" customHeight="1">
      <c r="A24" s="59"/>
      <c r="B24" s="58"/>
      <c r="C24" s="59"/>
      <c r="D24" s="60"/>
      <c r="E24" s="59"/>
      <c r="F24" s="59"/>
      <c r="G24" s="59"/>
      <c r="H24" s="59"/>
    </row>
    <row r="25" ht="15.75" customHeight="1">
      <c r="A25" s="59"/>
      <c r="B25" s="59"/>
      <c r="C25" s="59"/>
      <c r="D25" s="60"/>
      <c r="E25" s="59"/>
      <c r="F25" s="59"/>
      <c r="G25" s="59"/>
      <c r="H25" s="59"/>
    </row>
    <row r="26" ht="15.75" customHeight="1">
      <c r="A26" s="59"/>
      <c r="B26" s="58"/>
      <c r="C26" s="59"/>
      <c r="D26" s="60"/>
      <c r="E26" s="59"/>
      <c r="F26" s="59"/>
      <c r="G26" s="59"/>
      <c r="H26" s="59"/>
    </row>
    <row r="27" ht="15.75" customHeight="1">
      <c r="A27" s="59"/>
      <c r="B27" s="58"/>
      <c r="C27" s="59"/>
      <c r="D27" s="60"/>
      <c r="E27" s="59"/>
      <c r="F27" s="59"/>
      <c r="G27" s="59"/>
      <c r="H27" s="59"/>
    </row>
    <row r="28" ht="15.75" customHeight="1">
      <c r="A28" s="59"/>
      <c r="B28" s="58"/>
      <c r="C28" s="59"/>
      <c r="D28" s="60"/>
      <c r="E28" s="59"/>
      <c r="F28" s="59"/>
      <c r="G28" s="59"/>
      <c r="H28" s="59"/>
    </row>
    <row r="29" ht="15.75" customHeight="1">
      <c r="A29" s="59"/>
      <c r="B29" s="58"/>
      <c r="C29" s="59"/>
      <c r="D29" s="60"/>
      <c r="E29" s="59"/>
      <c r="F29" s="59"/>
      <c r="G29" s="59"/>
      <c r="H29" s="59"/>
    </row>
    <row r="30" ht="15.75" customHeight="1">
      <c r="A30" s="59"/>
      <c r="B30" s="58"/>
      <c r="C30" s="59"/>
      <c r="D30" s="60"/>
      <c r="E30" s="59"/>
      <c r="F30" s="59"/>
      <c r="G30" s="59"/>
      <c r="H30" s="59"/>
    </row>
    <row r="31" ht="15.75" customHeight="1">
      <c r="A31" s="59"/>
      <c r="B31" s="58"/>
      <c r="C31" s="59"/>
      <c r="D31" s="60"/>
      <c r="E31" s="59"/>
      <c r="F31" s="60"/>
      <c r="G31" s="59"/>
      <c r="H31" s="58"/>
    </row>
    <row r="32" ht="15.75" customHeight="1">
      <c r="A32" s="59"/>
      <c r="B32" s="58"/>
      <c r="C32" s="59"/>
      <c r="D32" s="60"/>
      <c r="E32" s="59"/>
      <c r="F32" s="59"/>
      <c r="G32" s="59"/>
      <c r="H32" s="59"/>
    </row>
    <row r="33" ht="15.75" customHeight="1">
      <c r="A33" s="59"/>
      <c r="B33" s="58"/>
      <c r="C33" s="59"/>
      <c r="D33" s="60"/>
      <c r="E33" s="59"/>
      <c r="F33" s="59"/>
      <c r="G33" s="59"/>
      <c r="H33" s="59"/>
    </row>
    <row r="34" ht="15.75" customHeight="1">
      <c r="A34" s="59"/>
      <c r="B34" s="58"/>
      <c r="C34" s="59"/>
      <c r="D34" s="60"/>
      <c r="E34" s="59"/>
      <c r="F34" s="59"/>
      <c r="G34" s="59"/>
      <c r="H34" s="59"/>
    </row>
    <row r="35" ht="15.75" customHeight="1">
      <c r="A35" s="59"/>
      <c r="B35" s="58"/>
      <c r="C35" s="59"/>
      <c r="D35" s="60"/>
      <c r="E35" s="59"/>
      <c r="F35" s="59"/>
      <c r="G35" s="59"/>
      <c r="H35" s="59"/>
    </row>
    <row r="36" ht="15.75" customHeight="1">
      <c r="A36" s="59"/>
      <c r="B36" s="58"/>
      <c r="C36" s="59"/>
      <c r="D36" s="60"/>
      <c r="E36" s="59"/>
      <c r="F36" s="59"/>
      <c r="G36" s="59"/>
      <c r="H36" s="59"/>
    </row>
    <row r="37" ht="15.75" customHeight="1">
      <c r="A37" s="59"/>
      <c r="B37" s="58"/>
      <c r="C37" s="59"/>
      <c r="D37" s="60"/>
      <c r="E37" s="59"/>
      <c r="F37" s="59"/>
      <c r="G37" s="59"/>
      <c r="H37" s="59"/>
    </row>
    <row r="38" ht="15.75" customHeight="1">
      <c r="A38" s="59"/>
      <c r="B38" s="58"/>
      <c r="C38" s="59"/>
      <c r="D38" s="60"/>
      <c r="E38" s="59"/>
      <c r="F38" s="59"/>
      <c r="G38" s="59"/>
      <c r="H38" s="59"/>
    </row>
    <row r="39" ht="15.75" customHeight="1">
      <c r="A39" s="59"/>
      <c r="B39" s="58"/>
      <c r="C39" s="59"/>
      <c r="D39" s="60"/>
      <c r="E39" s="59"/>
      <c r="F39" s="60"/>
      <c r="G39" s="59"/>
      <c r="H39" s="58"/>
    </row>
    <row r="40" ht="15.75" customHeight="1">
      <c r="A40" s="59"/>
      <c r="B40" s="58"/>
      <c r="C40" s="59"/>
      <c r="D40" s="60"/>
      <c r="E40" s="59"/>
      <c r="F40" s="59"/>
      <c r="G40" s="59"/>
      <c r="H40" s="59"/>
    </row>
    <row r="41" ht="15.75" customHeight="1">
      <c r="A41" s="59"/>
      <c r="B41" s="58"/>
      <c r="C41" s="59"/>
      <c r="D41" s="60"/>
      <c r="E41" s="59"/>
      <c r="F41" s="59"/>
      <c r="G41" s="59"/>
      <c r="H41" s="59"/>
    </row>
    <row r="42" ht="15.75" customHeight="1">
      <c r="A42" s="59"/>
      <c r="B42" s="58"/>
      <c r="C42" s="59"/>
      <c r="D42" s="60"/>
      <c r="E42" s="59"/>
      <c r="F42" s="59"/>
      <c r="G42" s="59"/>
      <c r="H42" s="59"/>
    </row>
    <row r="43" ht="15.75" customHeight="1">
      <c r="A43" s="59"/>
      <c r="B43" s="58"/>
      <c r="C43" s="59"/>
      <c r="D43" s="60"/>
      <c r="E43" s="59"/>
      <c r="F43" s="59"/>
      <c r="G43" s="59"/>
      <c r="H43" s="59"/>
    </row>
    <row r="44" ht="15.75" customHeight="1">
      <c r="A44" s="59"/>
      <c r="B44" s="58"/>
      <c r="C44" s="59"/>
      <c r="D44" s="60"/>
      <c r="E44" s="59"/>
      <c r="F44" s="59"/>
      <c r="G44" s="59"/>
      <c r="H44" s="58"/>
    </row>
    <row r="45" ht="15.75" customHeight="1">
      <c r="A45" s="59"/>
      <c r="B45" s="58"/>
      <c r="C45" s="59"/>
      <c r="D45" s="60"/>
      <c r="E45" s="59"/>
      <c r="F45" s="59"/>
      <c r="G45" s="59"/>
      <c r="H45" s="59"/>
    </row>
    <row r="46" ht="15.75" customHeight="1">
      <c r="A46" s="59"/>
      <c r="B46" s="58"/>
      <c r="C46" s="59"/>
      <c r="D46" s="60"/>
      <c r="E46" s="59"/>
      <c r="F46" s="60"/>
      <c r="G46" s="59"/>
      <c r="H46" s="58"/>
    </row>
    <row r="47" ht="15.75" customHeight="1">
      <c r="A47" s="59"/>
      <c r="B47" s="58"/>
      <c r="C47" s="59"/>
      <c r="D47" s="60"/>
      <c r="E47" s="59"/>
      <c r="F47" s="60"/>
      <c r="G47" s="59"/>
      <c r="H47" s="58"/>
    </row>
    <row r="48" ht="15.75" customHeight="1">
      <c r="A48" s="59"/>
      <c r="B48" s="58"/>
      <c r="C48" s="59"/>
      <c r="D48" s="60"/>
      <c r="E48" s="59"/>
      <c r="F48" s="59"/>
      <c r="G48" s="59"/>
      <c r="H48" s="59"/>
    </row>
    <row r="49" ht="15.75" customHeight="1">
      <c r="A49" s="59"/>
      <c r="B49" s="59"/>
      <c r="C49" s="59"/>
      <c r="D49" s="60"/>
      <c r="E49" s="59"/>
      <c r="F49" s="59"/>
      <c r="G49" s="59"/>
      <c r="H49" s="59"/>
    </row>
    <row r="50" ht="15.75" customHeight="1">
      <c r="A50" s="59"/>
      <c r="B50" s="58"/>
      <c r="C50" s="59"/>
      <c r="D50" s="60"/>
      <c r="E50" s="59"/>
      <c r="F50" s="59"/>
      <c r="G50" s="59"/>
      <c r="H50" s="59"/>
    </row>
    <row r="51" ht="15.75" customHeight="1">
      <c r="A51" s="59"/>
      <c r="B51" s="58"/>
      <c r="C51" s="59"/>
      <c r="D51" s="60"/>
      <c r="E51" s="59"/>
      <c r="F51" s="59"/>
      <c r="G51" s="59"/>
      <c r="H51" s="59"/>
    </row>
    <row r="52" ht="15.75" customHeight="1">
      <c r="A52" s="59"/>
      <c r="B52" s="58"/>
      <c r="C52" s="59"/>
      <c r="D52" s="60"/>
      <c r="E52" s="59"/>
      <c r="F52" s="59"/>
      <c r="G52" s="59"/>
      <c r="H52" s="59"/>
    </row>
    <row r="53" ht="15.75" customHeight="1">
      <c r="A53" s="59"/>
      <c r="B53" s="58"/>
      <c r="C53" s="59"/>
      <c r="D53" s="60"/>
      <c r="E53" s="59"/>
      <c r="F53" s="59"/>
      <c r="G53" s="59"/>
      <c r="H53" s="59"/>
    </row>
    <row r="54" ht="15.75" customHeight="1">
      <c r="A54" s="59"/>
      <c r="B54" s="58"/>
      <c r="C54" s="59"/>
      <c r="D54" s="60"/>
      <c r="E54" s="59"/>
      <c r="F54" s="59"/>
      <c r="G54" s="59"/>
      <c r="H54" s="59"/>
    </row>
    <row r="55" ht="15.75" customHeight="1">
      <c r="A55" s="59"/>
      <c r="B55" s="58"/>
      <c r="C55" s="59"/>
      <c r="D55" s="60"/>
      <c r="E55" s="59"/>
      <c r="F55" s="60"/>
      <c r="G55" s="59"/>
      <c r="H55" s="59"/>
    </row>
    <row r="56" ht="15.75" customHeight="1">
      <c r="A56" s="59"/>
      <c r="B56" s="58"/>
      <c r="C56" s="59"/>
      <c r="D56" s="60"/>
      <c r="E56" s="59"/>
      <c r="F56" s="59"/>
      <c r="G56" s="59"/>
      <c r="H56" s="59"/>
    </row>
    <row r="57" ht="15.75" customHeight="1">
      <c r="A57" s="59"/>
      <c r="B57" s="59"/>
      <c r="C57" s="59"/>
      <c r="D57" s="60"/>
      <c r="E57" s="59"/>
      <c r="F57" s="59"/>
      <c r="G57" s="59"/>
      <c r="H57" s="59"/>
    </row>
    <row r="58" ht="15.75" customHeight="1">
      <c r="A58" s="59"/>
      <c r="B58" s="59"/>
      <c r="C58" s="59"/>
      <c r="D58" s="60"/>
      <c r="E58" s="59"/>
      <c r="F58" s="59"/>
      <c r="G58" s="59"/>
      <c r="H58" s="59"/>
    </row>
    <row r="59" ht="15.75" customHeight="1">
      <c r="A59" s="59"/>
      <c r="B59" s="59"/>
      <c r="C59" s="59"/>
      <c r="D59" s="60"/>
      <c r="E59" s="59"/>
      <c r="F59" s="59"/>
      <c r="G59" s="59"/>
      <c r="H59" s="59"/>
    </row>
    <row r="60" ht="15.75" customHeight="1">
      <c r="A60" s="59"/>
      <c r="B60" s="59"/>
      <c r="C60" s="59"/>
      <c r="D60" s="60"/>
      <c r="E60" s="59"/>
      <c r="F60" s="59"/>
      <c r="G60" s="59"/>
      <c r="H60" s="59"/>
    </row>
    <row r="61" ht="15.75" customHeight="1">
      <c r="A61" s="59"/>
      <c r="B61" s="59"/>
      <c r="C61" s="59"/>
      <c r="D61" s="60"/>
      <c r="E61" s="59"/>
      <c r="F61" s="59"/>
      <c r="G61" s="59"/>
      <c r="H61" s="59"/>
    </row>
    <row r="62" ht="15.75" customHeight="1">
      <c r="A62" s="59"/>
      <c r="B62" s="59"/>
      <c r="C62" s="59"/>
      <c r="D62" s="60"/>
      <c r="E62" s="59"/>
      <c r="F62" s="59"/>
      <c r="G62" s="59"/>
      <c r="H62" s="59"/>
    </row>
    <row r="63" ht="15.75" customHeight="1">
      <c r="A63" s="59"/>
      <c r="B63" s="59"/>
      <c r="C63" s="59"/>
      <c r="D63" s="60"/>
      <c r="E63" s="59"/>
      <c r="F63" s="59"/>
      <c r="G63" s="59"/>
      <c r="H63" s="59"/>
    </row>
    <row r="64" ht="15.75" customHeight="1">
      <c r="A64" s="59"/>
      <c r="B64" s="59"/>
      <c r="C64" s="59"/>
      <c r="D64" s="60"/>
      <c r="E64" s="59"/>
      <c r="F64" s="59"/>
      <c r="G64" s="59"/>
      <c r="H64" s="59"/>
    </row>
    <row r="65" ht="15.75" customHeight="1">
      <c r="A65" s="59"/>
      <c r="B65" s="59"/>
      <c r="C65" s="59"/>
      <c r="D65" s="60"/>
      <c r="E65" s="59"/>
      <c r="F65" s="59"/>
      <c r="G65" s="59"/>
      <c r="H65" s="59"/>
    </row>
    <row r="66" ht="15.75" customHeight="1">
      <c r="A66" s="59"/>
      <c r="B66" s="59"/>
      <c r="C66" s="59"/>
      <c r="D66" s="60"/>
      <c r="E66" s="59"/>
      <c r="F66" s="59"/>
      <c r="G66" s="59"/>
      <c r="H66" s="59"/>
    </row>
    <row r="67" ht="15.75" customHeight="1">
      <c r="A67" s="59"/>
      <c r="B67" s="59"/>
      <c r="C67" s="59"/>
      <c r="D67" s="60"/>
      <c r="E67" s="59"/>
      <c r="F67" s="59"/>
      <c r="G67" s="59"/>
      <c r="H67" s="59"/>
    </row>
    <row r="68" ht="15.75" customHeight="1">
      <c r="A68" s="59"/>
      <c r="B68" s="59"/>
      <c r="C68" s="59"/>
      <c r="D68" s="60"/>
      <c r="E68" s="59"/>
      <c r="F68" s="59"/>
      <c r="G68" s="59"/>
      <c r="H68" s="59"/>
    </row>
    <row r="69" ht="15.75" customHeight="1">
      <c r="A69" s="59"/>
      <c r="B69" s="59"/>
      <c r="C69" s="59"/>
      <c r="D69" s="60"/>
      <c r="E69" s="59"/>
      <c r="F69" s="59"/>
      <c r="G69" s="59"/>
      <c r="H69" s="59"/>
    </row>
    <row r="70" ht="15.75" customHeight="1">
      <c r="A70" s="59"/>
      <c r="B70" s="59"/>
      <c r="C70" s="59"/>
      <c r="D70" s="60"/>
      <c r="E70" s="59"/>
      <c r="F70" s="59"/>
      <c r="G70" s="59"/>
      <c r="H70" s="59"/>
    </row>
    <row r="71" ht="15.75" customHeight="1">
      <c r="A71" s="59"/>
      <c r="B71" s="59"/>
      <c r="C71" s="59"/>
      <c r="D71" s="60"/>
      <c r="E71" s="59"/>
      <c r="F71" s="59"/>
      <c r="G71" s="59"/>
      <c r="H71" s="59"/>
    </row>
    <row r="72" ht="15.75" customHeight="1">
      <c r="A72" s="59"/>
      <c r="B72" s="59"/>
      <c r="C72" s="59"/>
      <c r="D72" s="60"/>
      <c r="E72" s="59"/>
      <c r="F72" s="59"/>
      <c r="G72" s="59"/>
      <c r="H72" s="59"/>
    </row>
    <row r="73" ht="15.75" customHeight="1">
      <c r="D73" s="11"/>
    </row>
    <row r="74" ht="15.75" customHeight="1">
      <c r="D74" s="11"/>
    </row>
    <row r="75" ht="15.75" customHeight="1">
      <c r="D75" s="11"/>
    </row>
    <row r="76" ht="15.75" customHeight="1">
      <c r="D76" s="11"/>
    </row>
    <row r="77" ht="15.75" customHeight="1">
      <c r="D77" s="11"/>
    </row>
    <row r="78" ht="15.75" customHeight="1">
      <c r="D78" s="11"/>
    </row>
    <row r="79" ht="15.75" customHeight="1">
      <c r="D79" s="11"/>
    </row>
    <row r="80" ht="15.75" customHeight="1">
      <c r="D80" s="11"/>
    </row>
    <row r="81" ht="15.75" customHeight="1">
      <c r="D81" s="11"/>
    </row>
    <row r="82" ht="15.75" customHeight="1">
      <c r="D82" s="11"/>
    </row>
    <row r="83" ht="15.75" customHeight="1">
      <c r="D83" s="11"/>
    </row>
    <row r="84" ht="15.75" customHeight="1">
      <c r="D84" s="11"/>
    </row>
    <row r="85" ht="15.75" customHeight="1">
      <c r="D85" s="11"/>
    </row>
    <row r="86" ht="15.75" customHeight="1">
      <c r="D86" s="11"/>
    </row>
    <row r="87" ht="15.75" customHeight="1">
      <c r="D87" s="11"/>
    </row>
    <row r="88" ht="15.75" customHeight="1">
      <c r="D88" s="11"/>
    </row>
    <row r="89" ht="15.75" customHeight="1">
      <c r="D89" s="11"/>
    </row>
    <row r="90" ht="15.75" customHeight="1">
      <c r="D90" s="11"/>
    </row>
    <row r="91" ht="15.75" customHeight="1">
      <c r="D91" s="11"/>
    </row>
    <row r="92" ht="15.75" customHeight="1">
      <c r="D92" s="11"/>
    </row>
    <row r="93" ht="15.75" customHeight="1">
      <c r="D93" s="11"/>
    </row>
    <row r="94" ht="15.75" customHeight="1">
      <c r="D94" s="11"/>
    </row>
    <row r="95" ht="15.75" customHeight="1">
      <c r="D95" s="11"/>
    </row>
    <row r="96" ht="15.75" customHeight="1">
      <c r="D96" s="11"/>
    </row>
    <row r="97" ht="15.75" customHeight="1">
      <c r="D97" s="11"/>
    </row>
    <row r="98" ht="15.75" customHeight="1">
      <c r="D98" s="11"/>
    </row>
    <row r="99" ht="15.75" customHeight="1">
      <c r="D99" s="11"/>
    </row>
    <row r="100" ht="15.75" customHeight="1">
      <c r="D100" s="11"/>
    </row>
    <row r="101" ht="15.75" customHeight="1">
      <c r="D101" s="11"/>
    </row>
    <row r="102" ht="15.75" customHeight="1">
      <c r="D102" s="11"/>
    </row>
    <row r="103" ht="15.75" customHeight="1">
      <c r="D103" s="11"/>
    </row>
    <row r="104" ht="15.75" customHeight="1">
      <c r="D104" s="11"/>
    </row>
    <row r="105" ht="15.75" customHeight="1">
      <c r="D105" s="11"/>
    </row>
    <row r="106" ht="15.75" customHeight="1">
      <c r="D106" s="11"/>
    </row>
    <row r="107" ht="15.75" customHeight="1">
      <c r="D107" s="11"/>
    </row>
    <row r="108" ht="15.75" customHeight="1">
      <c r="D108" s="11"/>
    </row>
    <row r="109" ht="15.75" customHeight="1">
      <c r="D109" s="11"/>
    </row>
    <row r="110" ht="15.75" customHeight="1">
      <c r="D110" s="11"/>
    </row>
    <row r="111" ht="15.75" customHeight="1">
      <c r="D111" s="11"/>
    </row>
    <row r="112" ht="15.75" customHeight="1">
      <c r="D112" s="11"/>
    </row>
    <row r="113" ht="15.75" customHeight="1">
      <c r="D113" s="11"/>
    </row>
    <row r="114" ht="15.75" customHeight="1">
      <c r="D114" s="11"/>
    </row>
    <row r="115" ht="15.75" customHeight="1">
      <c r="D115" s="11"/>
    </row>
    <row r="116" ht="15.75" customHeight="1">
      <c r="D116" s="11"/>
    </row>
    <row r="117" ht="15.75" customHeight="1">
      <c r="D117" s="11"/>
    </row>
    <row r="118" ht="15.75" customHeight="1">
      <c r="D118" s="11"/>
    </row>
    <row r="119" ht="15.75" customHeight="1">
      <c r="D119" s="11"/>
    </row>
    <row r="120" ht="15.75" customHeight="1">
      <c r="D120" s="11"/>
    </row>
    <row r="121" ht="15.75" customHeight="1">
      <c r="D121" s="11"/>
    </row>
    <row r="122" ht="15.75" customHeight="1">
      <c r="D122" s="11"/>
    </row>
    <row r="123" ht="15.75" customHeight="1">
      <c r="D123" s="11"/>
    </row>
    <row r="124" ht="15.75" customHeight="1">
      <c r="D124" s="11"/>
    </row>
    <row r="125" ht="15.75" customHeight="1">
      <c r="D125" s="11"/>
    </row>
    <row r="126" ht="15.75" customHeight="1">
      <c r="D126" s="11"/>
    </row>
    <row r="127" ht="15.75" customHeight="1">
      <c r="D127" s="11"/>
    </row>
    <row r="128" ht="15.75" customHeight="1">
      <c r="D128" s="11"/>
    </row>
    <row r="129" ht="15.75" customHeight="1">
      <c r="D129" s="11"/>
    </row>
    <row r="130" ht="15.75" customHeight="1">
      <c r="D130" s="11"/>
    </row>
    <row r="131" ht="15.75" customHeight="1">
      <c r="D131" s="11"/>
    </row>
    <row r="132" ht="15.75" customHeight="1">
      <c r="D132" s="11"/>
    </row>
    <row r="133" ht="15.75" customHeight="1">
      <c r="D133" s="11"/>
    </row>
    <row r="134" ht="15.75" customHeight="1">
      <c r="D134" s="11"/>
    </row>
    <row r="135" ht="15.75" customHeight="1">
      <c r="D135" s="11"/>
    </row>
    <row r="136" ht="15.75" customHeight="1">
      <c r="D136" s="11"/>
    </row>
    <row r="137" ht="15.75" customHeight="1">
      <c r="D137" s="11"/>
    </row>
    <row r="138" ht="15.75" customHeight="1">
      <c r="D138" s="11"/>
    </row>
    <row r="139" ht="15.75" customHeight="1">
      <c r="D139" s="11"/>
    </row>
    <row r="140" ht="15.75" customHeight="1">
      <c r="D140" s="11"/>
    </row>
    <row r="141" ht="15.75" customHeight="1">
      <c r="D141" s="11"/>
    </row>
    <row r="142" ht="15.75" customHeight="1">
      <c r="D142" s="11"/>
    </row>
    <row r="143" ht="15.75" customHeight="1">
      <c r="D143" s="11"/>
    </row>
    <row r="144" ht="15.75" customHeight="1">
      <c r="D144" s="11"/>
    </row>
    <row r="145" ht="15.75" customHeight="1">
      <c r="D145" s="11"/>
    </row>
    <row r="146" ht="15.75" customHeight="1">
      <c r="D146" s="11"/>
    </row>
    <row r="147" ht="15.75" customHeight="1">
      <c r="D147" s="11"/>
    </row>
    <row r="148" ht="15.75" customHeight="1">
      <c r="D148" s="11"/>
    </row>
    <row r="149" ht="15.75" customHeight="1">
      <c r="D149" s="11"/>
    </row>
    <row r="150" ht="15.75" customHeight="1">
      <c r="D150" s="11"/>
    </row>
    <row r="151" ht="15.75" customHeight="1">
      <c r="D151" s="11"/>
    </row>
    <row r="152" ht="15.75" customHeight="1">
      <c r="D152" s="11"/>
    </row>
    <row r="153" ht="15.75" customHeight="1">
      <c r="D153" s="11"/>
    </row>
    <row r="154" ht="15.75" customHeight="1">
      <c r="D154" s="11"/>
    </row>
    <row r="155" ht="15.75" customHeight="1">
      <c r="D155" s="11"/>
    </row>
    <row r="156" ht="15.75" customHeight="1">
      <c r="D156" s="11"/>
    </row>
    <row r="157" ht="15.75" customHeight="1">
      <c r="D157" s="11"/>
    </row>
    <row r="158" ht="15.75" customHeight="1">
      <c r="D158" s="11"/>
    </row>
    <row r="159" ht="15.75" customHeight="1">
      <c r="D159" s="11"/>
    </row>
    <row r="160" ht="15.75" customHeight="1">
      <c r="D160" s="11"/>
    </row>
    <row r="161" ht="15.75" customHeight="1">
      <c r="D161" s="11"/>
    </row>
    <row r="162" ht="15.75" customHeight="1">
      <c r="D162" s="11"/>
    </row>
    <row r="163" ht="15.75" customHeight="1">
      <c r="D163" s="11"/>
    </row>
    <row r="164" ht="15.75" customHeight="1">
      <c r="D164" s="11"/>
    </row>
    <row r="165" ht="15.75" customHeight="1">
      <c r="D165" s="11"/>
    </row>
    <row r="166" ht="15.75" customHeight="1">
      <c r="D166" s="11"/>
    </row>
    <row r="167" ht="15.75" customHeight="1">
      <c r="D167" s="11"/>
    </row>
    <row r="168" ht="15.75" customHeight="1">
      <c r="D168" s="11"/>
    </row>
    <row r="169" ht="15.75" customHeight="1">
      <c r="D169" s="11"/>
    </row>
    <row r="170" ht="15.75" customHeight="1">
      <c r="D170" s="11"/>
    </row>
    <row r="171" ht="15.75" customHeight="1">
      <c r="D171" s="11"/>
    </row>
    <row r="172" ht="15.75" customHeight="1">
      <c r="D172" s="11"/>
    </row>
    <row r="173" ht="15.75" customHeight="1">
      <c r="D173" s="11"/>
    </row>
    <row r="174" ht="15.75" customHeight="1">
      <c r="D174" s="11"/>
    </row>
    <row r="175" ht="15.75" customHeight="1">
      <c r="D175" s="11"/>
    </row>
    <row r="176" ht="15.75" customHeight="1">
      <c r="D176" s="11"/>
    </row>
    <row r="177" ht="15.75" customHeight="1">
      <c r="D177" s="11"/>
    </row>
    <row r="178" ht="15.75" customHeight="1">
      <c r="D178" s="11"/>
    </row>
    <row r="179" ht="15.75" customHeight="1">
      <c r="D179" s="11"/>
    </row>
    <row r="180" ht="15.75" customHeight="1">
      <c r="D180" s="11"/>
    </row>
    <row r="181" ht="15.75" customHeight="1">
      <c r="D181" s="11"/>
    </row>
    <row r="182" ht="15.75" customHeight="1">
      <c r="D182" s="11"/>
    </row>
    <row r="183" ht="15.75" customHeight="1">
      <c r="D183" s="11"/>
    </row>
    <row r="184" ht="15.75" customHeight="1">
      <c r="D184" s="11"/>
    </row>
    <row r="185" ht="15.75" customHeight="1">
      <c r="D185" s="11"/>
    </row>
    <row r="186" ht="15.75" customHeight="1">
      <c r="D186" s="11"/>
    </row>
    <row r="187" ht="15.75" customHeight="1">
      <c r="D187" s="11"/>
    </row>
    <row r="188" ht="15.75" customHeight="1">
      <c r="D188" s="11"/>
    </row>
    <row r="189" ht="15.75" customHeight="1">
      <c r="D189" s="11"/>
    </row>
    <row r="190" ht="15.75" customHeight="1">
      <c r="D190" s="11"/>
    </row>
    <row r="191" ht="15.75" customHeight="1">
      <c r="D191" s="11"/>
    </row>
    <row r="192" ht="15.75" customHeight="1">
      <c r="D192" s="11"/>
    </row>
    <row r="193" ht="15.75" customHeight="1">
      <c r="D193" s="11"/>
    </row>
    <row r="194" ht="15.75" customHeight="1">
      <c r="D194" s="11"/>
    </row>
    <row r="195" ht="15.75" customHeight="1">
      <c r="D195" s="11"/>
    </row>
    <row r="196" ht="15.75" customHeight="1">
      <c r="D196" s="11"/>
    </row>
    <row r="197" ht="15.75" customHeight="1">
      <c r="D197" s="11"/>
    </row>
    <row r="198" ht="15.75" customHeight="1">
      <c r="D198" s="11"/>
    </row>
    <row r="199" ht="15.75" customHeight="1">
      <c r="D199" s="11"/>
    </row>
    <row r="200" ht="15.75" customHeight="1">
      <c r="D200" s="11"/>
    </row>
    <row r="201" ht="15.75" customHeight="1">
      <c r="D201" s="11"/>
    </row>
    <row r="202" ht="15.75" customHeight="1">
      <c r="D202" s="11"/>
    </row>
    <row r="203" ht="15.75" customHeight="1">
      <c r="D203" s="11"/>
    </row>
    <row r="204" ht="15.75" customHeight="1">
      <c r="D204" s="11"/>
    </row>
    <row r="205" ht="15.75" customHeight="1">
      <c r="D205" s="11"/>
    </row>
    <row r="206" ht="15.75" customHeight="1">
      <c r="D206" s="11"/>
    </row>
    <row r="207" ht="15.75" customHeight="1">
      <c r="D207" s="11"/>
    </row>
    <row r="208" ht="15.75" customHeight="1">
      <c r="D208" s="11"/>
    </row>
    <row r="209" ht="15.75" customHeight="1">
      <c r="D209" s="11"/>
    </row>
    <row r="210" ht="15.75" customHeight="1">
      <c r="D210" s="11"/>
    </row>
    <row r="211" ht="15.75" customHeight="1">
      <c r="D211" s="11"/>
    </row>
    <row r="212" ht="15.75" customHeight="1">
      <c r="D212" s="11"/>
    </row>
    <row r="213" ht="15.75" customHeight="1">
      <c r="D213" s="11"/>
    </row>
    <row r="214" ht="15.75" customHeight="1">
      <c r="D214" s="11"/>
    </row>
    <row r="215" ht="15.75" customHeight="1">
      <c r="D215" s="11"/>
    </row>
    <row r="216" ht="15.75" customHeight="1">
      <c r="D216" s="11"/>
    </row>
    <row r="217" ht="15.75" customHeight="1">
      <c r="D217" s="11"/>
    </row>
    <row r="218" ht="15.75" customHeight="1">
      <c r="D218" s="11"/>
    </row>
    <row r="219" ht="15.75" customHeight="1">
      <c r="D219" s="11"/>
    </row>
    <row r="220" ht="15.75" customHeight="1">
      <c r="D220" s="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drawing r:id="rId2"/>
</worksheet>
</file>